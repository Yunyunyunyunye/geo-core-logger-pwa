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180"/>
  </bookViews>
  <sheets>
    <sheet sheetId="10" name="前三" state="visible" r:id="rId4"/>
    <sheet sheetId="6" name="采取率投图" state="visible" r:id="rId5"/>
    <sheet sheetId="4" name="RQD投图" state="visible" r:id="rId6"/>
    <sheet sheetId="7" name="冲洗液投图" state="visible" r:id="rId7"/>
    <sheet sheetId="8" name="水位变幅投图" state="visible" r:id="rId8"/>
    <sheet sheetId="9" name="其他投图" state="visible" r:id="rId9"/>
    <sheet sheetId="11" name="Sheet1" state="visible" r:id="rId10"/>
  </sheets>
  <calcPr calcId="171027"/>
</workbook>
</file>

<file path=xl/sharedStrings.xml><?xml version="1.0" encoding="utf-8"?>
<sst xmlns="http://schemas.openxmlformats.org/spreadsheetml/2006/main" count="235" uniqueCount="38">
  <si>
    <t>层位</t>
  </si>
  <si>
    <t>风化带</t>
  </si>
  <si>
    <t>取样编号</t>
  </si>
  <si>
    <t>风化带文字坐标</t>
  </si>
  <si>
    <t>深度</t>
  </si>
  <si>
    <t>坐标</t>
  </si>
  <si>
    <t>标注</t>
  </si>
  <si>
    <t>8</t>
  </si>
  <si>
    <t>16</t>
  </si>
  <si>
    <t>18</t>
  </si>
  <si>
    <t>6</t>
  </si>
  <si>
    <t>14</t>
  </si>
  <si>
    <t>强风化</t>
  </si>
  <si>
    <t>中风化</t>
  </si>
  <si>
    <t>微风化</t>
  </si>
  <si>
    <t>孔深输入：</t>
  </si>
  <si>
    <t>x1</t>
  </si>
  <si>
    <t>y1</t>
  </si>
  <si>
    <t>x2</t>
  </si>
  <si>
    <t>y2</t>
  </si>
  <si>
    <t>=0</t>
  </si>
  <si>
    <r>
      <rPr>
        <charset val="134"/>
        <color theme="1"/>
        <sz val="11"/>
        <rFont val="宋体"/>
      </rPr>
      <t>起</t>
    </r>
  </si>
  <si>
    <r>
      <rPr>
        <charset val="134"/>
        <color theme="1"/>
        <sz val="11"/>
        <rFont val="宋体"/>
      </rPr>
      <t>止</t>
    </r>
  </si>
  <si>
    <t>起钻后</t>
  </si>
  <si>
    <t>下钻前</t>
  </si>
  <si>
    <t>水位变幅折线坐标</t>
  </si>
  <si>
    <t>含水段上下界孔深及厚度</t>
  </si>
  <si>
    <t>软弱段及及厚度</t>
  </si>
  <si>
    <t>静止水位</t>
  </si>
  <si>
    <t>钻孔结构</t>
  </si>
  <si>
    <t>含水段文字坐标(标注0以上坐标)</t>
  </si>
  <si>
    <t>软弱段文字坐标(标注0以上坐标)</t>
  </si>
  <si>
    <t>含水层厚度</t>
  </si>
  <si>
    <t>软弱段厚度</t>
  </si>
  <si>
    <t>自</t>
  </si>
  <si>
    <t>至</t>
  </si>
  <si>
    <t>孔径（mm）</t>
  </si>
  <si>
    <t>静止文字坐标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</si>
</sst>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"/>
    <numFmt numFmtId="165" formatCode="0.00_);[Red](0.00)"/>
  </numFmts>
  <fonts count="6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color theme="1"/>
      <scheme val="minor"/>
      <sz val="11"/>
      <name val="宋体"/>
    </font>
    <font>
      <charset val="134"/>
      <color theme="1"/>
      <sz val="11"/>
      <name val="Times New Roman"/>
    </font>
    <font>
      <charset val="134"/>
      <color theme="1"/>
      <sz val="11"/>
      <name val="宋体"/>
    </font>
    <font>
      <charset val="134"/>
      <color theme="0" tint="-0.349986266670736"/>
      <sz val="1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theme="4" tint="0.7998596148564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 applyProtection="1">
      <alignment horizontal="center" vertical="center"/>
      <protection locked="0"/>
    </xf>
    <xf numFmtId="2" fontId="1" fillId="8" borderId="0" xfId="0" applyNumberFormat="1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2" fontId="1" fillId="0" borderId="5" xfId="0" applyNumberFormat="1" applyFont="1" applyBorder="1" applyAlignment="1" applyProtection="1">
      <alignment horizontal="center" vertical="center"/>
      <protection locked="0"/>
    </xf>
    <xf numFmtId="2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4"/>
  <sheetViews>
    <sheetView workbookViewId="0" zoomScale="85" zoomScaleNormal="85">
      <selection activeCell="K681" sqref="K681"/>
    </sheetView>
  </sheetViews>
  <sheetFormatPr defaultRowHeight="15.6" outlineLevelRow="0" outlineLevelCol="0" x14ac:dyDescent="0" defaultColWidth="8.8" customHeight="1"/>
  <cols>
    <col min="1" max="1" width="8.8" style="25" customWidth="1"/>
    <col min="2" max="2" width="13.9" style="25" customWidth="1"/>
    <col min="3" max="4" width="8.8" style="25" customWidth="1"/>
    <col min="5" max="5" width="8.7" style="13" customWidth="1"/>
    <col min="6" max="6" width="8.8" style="25" customWidth="1"/>
    <col min="7" max="7" width="8.7" style="13" customWidth="1"/>
    <col min="8" max="9" width="8.8" style="25" customWidth="1"/>
    <col min="10" max="10" width="8.7" style="17" customWidth="1"/>
    <col min="11" max="11" width="12.8" style="17" customWidth="1"/>
    <col min="12" max="16384" width="8.8" style="25" customWidth="1"/>
  </cols>
  <sheetData>
    <row r="1" spans="1:11" x14ac:dyDescent="0.25">
      <c r="A1" s="26"/>
      <c r="B1" s="25"/>
      <c r="D1" s="25" t="s">
        <v>16</v>
      </c>
      <c r="E1" s="13" t="s">
        <v>17</v>
      </c>
      <c r="F1" s="25" t="s">
        <v>18</v>
      </c>
      <c r="G1" s="13" t="s">
        <v>19</v>
      </c>
      <c r="J1" s="17" t="str">
        <f t="array" ref="J1">IF(ROW(J1)&lt;=COUNTA(D:D)*2,IF(MOD(ROW(J1),2)=1,INDEX(D:D,(ROW(J1)+1)/2),INDEX(F:F,ROW(J1)/2)),"")</f>
        <v>x1</v>
      </c>
      <c r="K1" s="17" t="str">
        <f t="array" ref="K1">IF(ROW(K1)&lt;=COUNTA(E:E)*2,IF(MOD(ROW(K1),2)=1,INDEX(E:E,(ROW(K1)+1)/2),INDEX(G:G,ROW(K1)/2)),"")</f>
        <v>y1</v>
      </c>
    </row>
    <row r="2" spans="1:11" x14ac:dyDescent="0.25">
      <c r="A2" s="26"/>
      <c r="B2" s="25"/>
      <c r="D2" s="25" t="s">
        <v>20</v>
      </c>
      <c r="E2" s="13">
        <f>45+(B2/100)*4</f>
        <v>46.6842105263158</v>
      </c>
      <c r="F2" s="25">
        <f>0-A2</f>
        <v>-1.9</v>
      </c>
      <c r="G2" s="13">
        <f>45+(B2/100)*4</f>
        <v>46.6842105263158</v>
      </c>
      <c r="J2" s="17" t="str">
        <f t="array" ref="J2">IF(ROW(J2)&lt;=COUNTA(D:D)*2,IF(MOD(ROW(J2),2)=1,INDEX(D:D,(ROW(J2)+1)/2),INDEX(F:F,ROW(J2)/2)),"")</f>
        <v>x2</v>
      </c>
      <c r="K2" s="17" t="str">
        <f t="array" ref="K2">IF(ROW(K2)&lt;=COUNTA(E:E)*2,IF(MOD(ROW(K2),2)=1,INDEX(E:E,(ROW(K2)+1)/2),INDEX(G:G,ROW(K2)/2)),"")</f>
        <v>y2</v>
      </c>
    </row>
    <row r="3" spans="1:11" x14ac:dyDescent="0.25">
      <c r="A3" s="26"/>
      <c r="B3" s="25"/>
      <c r="D3" s="25">
        <f>0-A2</f>
        <v>-1.9</v>
      </c>
      <c r="E3" s="13">
        <f t="shared" ref="E3:E38" si="0">45+(B3/100)*4</f>
        <v>47.7</v>
      </c>
      <c r="F3" s="25">
        <f t="shared" ref="F3:F38" si="1">0-A3</f>
        <v>-3.9</v>
      </c>
      <c r="G3" s="13">
        <f t="shared" ref="G3:G38" si="2">45+(B3/100)*4</f>
        <v>47.7</v>
      </c>
      <c r="J3" s="17">
        <v>0</v>
      </c>
      <c r="K3" s="17">
        <f t="array" ref="K3">IF(ROW(K3)&lt;=COUNTA(E:E)*2,IF(MOD(ROW(K3),2)=1,INDEX(E:E,(ROW(K3)+1)/2),INDEX(G:G,ROW(K3)/2)),"")</f>
        <v>46.6842105263158</v>
      </c>
    </row>
    <row r="4" spans="1:11" x14ac:dyDescent="0.25">
      <c r="A4" s="26"/>
      <c r="B4" s="25"/>
      <c r="D4" s="25">
        <f t="shared" ref="D4:D38" si="3">0-A3</f>
        <v>-3.9</v>
      </c>
      <c r="E4" s="13">
        <f t="shared" si="0"/>
        <v>47.94</v>
      </c>
      <c r="F4" s="25">
        <f t="shared" si="1"/>
        <v>-5.9</v>
      </c>
      <c r="G4" s="13">
        <f t="shared" si="2"/>
        <v>47.94</v>
      </c>
      <c r="J4" s="17">
        <f t="array" ref="J4">IF(ROW(J4)&lt;=COUNTA(D:D)*2,IF(MOD(ROW(J4),2)=1,INDEX(D:D,(ROW(J4)+1)/2),INDEX(F:F,ROW(J4)/2)),"")</f>
        <v>-1.9</v>
      </c>
      <c r="K4" s="17">
        <f t="array" ref="K4">IF(ROW(K4)&lt;=COUNTA(E:E)*2,IF(MOD(ROW(K4),2)=1,INDEX(E:E,(ROW(K4)+1)/2),INDEX(G:G,ROW(K4)/2)),"")</f>
        <v>46.6842105263158</v>
      </c>
    </row>
    <row r="5" spans="1:11" x14ac:dyDescent="0.25">
      <c r="A5" s="26"/>
      <c r="B5" s="25"/>
      <c r="D5" s="25">
        <f t="shared" si="3"/>
        <v>-5.9</v>
      </c>
      <c r="E5" s="13">
        <f t="shared" si="0"/>
        <v>46.94</v>
      </c>
      <c r="F5" s="25">
        <f t="shared" si="1"/>
        <v>-7.9</v>
      </c>
      <c r="G5" s="13">
        <f t="shared" si="2"/>
        <v>46.94</v>
      </c>
      <c r="J5" s="17">
        <f t="array" ref="J5">IF(ROW(J5)&lt;=COUNTA(D:D)*2,IF(MOD(ROW(J5),2)=1,INDEX(D:D,(ROW(J5)+1)/2),INDEX(F:F,ROW(J5)/2)),"")</f>
        <v>-1.9</v>
      </c>
      <c r="K5" s="17">
        <f t="array" ref="K5">IF(ROW(K5)&lt;=COUNTA(E:E)*2,IF(MOD(ROW(K5),2)=1,INDEX(E:E,(ROW(K5)+1)/2),INDEX(G:G,ROW(K5)/2)),"")</f>
        <v>47.7</v>
      </c>
    </row>
    <row r="6" spans="1:11" x14ac:dyDescent="0.25">
      <c r="A6" s="26"/>
      <c r="B6" s="25"/>
      <c r="D6" s="25">
        <f t="shared" si="3"/>
        <v>-7.9</v>
      </c>
      <c r="E6" s="13">
        <f t="shared" si="0"/>
        <v>45.72</v>
      </c>
      <c r="F6" s="25">
        <f t="shared" si="1"/>
        <v>-9.9</v>
      </c>
      <c r="G6" s="13">
        <f t="shared" si="2"/>
        <v>45.72</v>
      </c>
      <c r="J6" s="17">
        <f t="array" ref="J6">IF(ROW(J6)&lt;=COUNTA(D:D)*2,IF(MOD(ROW(J6),2)=1,INDEX(D:D,(ROW(J6)+1)/2),INDEX(F:F,ROW(J6)/2)),"")</f>
        <v>-3.9</v>
      </c>
      <c r="K6" s="17">
        <f t="array" ref="K6">IF(ROW(K6)&lt;=COUNTA(E:E)*2,IF(MOD(ROW(K6),2)=1,INDEX(E:E,(ROW(K6)+1)/2),INDEX(G:G,ROW(K6)/2)),"")</f>
        <v>47.7</v>
      </c>
    </row>
    <row r="7" spans="1:11" x14ac:dyDescent="0.25">
      <c r="A7" s="26"/>
      <c r="B7" s="25"/>
      <c r="D7" s="25">
        <f t="shared" si="3"/>
        <v>-9.9</v>
      </c>
      <c r="E7" s="13">
        <f t="shared" si="0"/>
        <v>45.88</v>
      </c>
      <c r="F7" s="25">
        <f t="shared" si="1"/>
        <v>-11.9</v>
      </c>
      <c r="G7" s="13">
        <f t="shared" si="2"/>
        <v>45.88</v>
      </c>
      <c r="J7" s="17">
        <f t="array" ref="J7">IF(ROW(J7)&lt;=COUNTA(D:D)*2,IF(MOD(ROW(J7),2)=1,INDEX(D:D,(ROW(J7)+1)/2),INDEX(F:F,ROW(J7)/2)),"")</f>
        <v>-3.9</v>
      </c>
      <c r="K7" s="17">
        <f t="array" ref="K7">IF(ROW(K7)&lt;=COUNTA(E:E)*2,IF(MOD(ROW(K7),2)=1,INDEX(E:E,(ROW(K7)+1)/2),INDEX(G:G,ROW(K7)/2)),"")</f>
        <v>47.94</v>
      </c>
    </row>
    <row r="8" spans="1:11" x14ac:dyDescent="0.25">
      <c r="A8" s="26"/>
      <c r="B8" s="25"/>
      <c r="D8" s="25">
        <f t="shared" si="3"/>
        <v>-11.9</v>
      </c>
      <c r="E8" s="13">
        <f t="shared" si="0"/>
        <v>46.46</v>
      </c>
      <c r="F8" s="25">
        <f t="shared" si="1"/>
        <v>-13.9</v>
      </c>
      <c r="G8" s="13">
        <f t="shared" si="2"/>
        <v>46.46</v>
      </c>
      <c r="J8" s="17">
        <f t="array" ref="J8">IF(ROW(J8)&lt;=COUNTA(D:D)*2,IF(MOD(ROW(J8),2)=1,INDEX(D:D,(ROW(J8)+1)/2),INDEX(F:F,ROW(J8)/2)),"")</f>
        <v>-5.9</v>
      </c>
      <c r="K8" s="17">
        <f t="array" ref="K8">IF(ROW(K8)&lt;=COUNTA(E:E)*2,IF(MOD(ROW(K8),2)=1,INDEX(E:E,(ROW(K8)+1)/2),INDEX(G:G,ROW(K8)/2)),"")</f>
        <v>47.94</v>
      </c>
    </row>
    <row r="9" spans="1:11" x14ac:dyDescent="0.25">
      <c r="A9" s="26"/>
      <c r="B9" s="25"/>
      <c r="D9" s="25">
        <f t="shared" si="3"/>
        <v>-13.9</v>
      </c>
      <c r="E9" s="13">
        <f t="shared" si="0"/>
        <v>47.62</v>
      </c>
      <c r="F9" s="25">
        <f t="shared" si="1"/>
        <v>-15.9</v>
      </c>
      <c r="G9" s="13">
        <f t="shared" si="2"/>
        <v>47.62</v>
      </c>
      <c r="J9" s="17">
        <f t="array" ref="J9">IF(ROW(J9)&lt;=COUNTA(D:D)*2,IF(MOD(ROW(J9),2)=1,INDEX(D:D,(ROW(J9)+1)/2),INDEX(F:F,ROW(J9)/2)),"")</f>
        <v>-5.9</v>
      </c>
      <c r="K9" s="17">
        <f t="array" ref="K9">IF(ROW(K9)&lt;=COUNTA(E:E)*2,IF(MOD(ROW(K9),2)=1,INDEX(E:E,(ROW(K9)+1)/2),INDEX(G:G,ROW(K9)/2)),"")</f>
        <v>46.94</v>
      </c>
    </row>
    <row r="10" spans="1:11" x14ac:dyDescent="0.25">
      <c r="A10" s="26"/>
      <c r="B10" s="25"/>
      <c r="D10" s="25">
        <f t="shared" si="3"/>
        <v>-15.9</v>
      </c>
      <c r="E10" s="13">
        <f t="shared" si="0"/>
        <v>47.64</v>
      </c>
      <c r="F10" s="25">
        <f t="shared" si="1"/>
        <v>-17.9</v>
      </c>
      <c r="G10" s="13">
        <f t="shared" si="2"/>
        <v>47.64</v>
      </c>
      <c r="J10" s="17">
        <f t="array" ref="J10">IF(ROW(J10)&lt;=COUNTA(D:D)*2,IF(MOD(ROW(J10),2)=1,INDEX(D:D,(ROW(J10)+1)/2),INDEX(F:F,ROW(J10)/2)),"")</f>
        <v>-7.9</v>
      </c>
      <c r="K10" s="17">
        <f t="array" ref="K10">IF(ROW(K10)&lt;=COUNTA(E:E)*2,IF(MOD(ROW(K10),2)=1,INDEX(E:E,(ROW(K10)+1)/2),INDEX(G:G,ROW(K10)/2)),"")</f>
        <v>46.94</v>
      </c>
    </row>
    <row r="11" spans="1:11" x14ac:dyDescent="0.25">
      <c r="A11" s="26"/>
      <c r="B11" s="25"/>
      <c r="D11" s="25">
        <f t="shared" si="3"/>
        <v>-17.9</v>
      </c>
      <c r="E11" s="13">
        <f t="shared" si="0"/>
        <v>47.56</v>
      </c>
      <c r="F11" s="25">
        <f t="shared" si="1"/>
        <v>-19.9</v>
      </c>
      <c r="G11" s="13">
        <f t="shared" si="2"/>
        <v>47.56</v>
      </c>
      <c r="J11" s="17">
        <f t="array" ref="J11">IF(ROW(J11)&lt;=COUNTA(D:D)*2,IF(MOD(ROW(J11),2)=1,INDEX(D:D,(ROW(J11)+1)/2),INDEX(F:F,ROW(J11)/2)),"")</f>
        <v>-7.9</v>
      </c>
      <c r="K11" s="17">
        <f t="array" ref="K11">IF(ROW(K11)&lt;=COUNTA(E:E)*2,IF(MOD(ROW(K11),2)=1,INDEX(E:E,(ROW(K11)+1)/2),INDEX(G:G,ROW(K11)/2)),"")</f>
        <v>45.72</v>
      </c>
    </row>
    <row r="12" spans="1:11" x14ac:dyDescent="0.25">
      <c r="A12" s="26"/>
      <c r="B12" s="25"/>
      <c r="D12" s="25">
        <f t="shared" si="3"/>
        <v>-19.9</v>
      </c>
      <c r="E12" s="13">
        <f t="shared" si="0"/>
        <v>48.08</v>
      </c>
      <c r="F12" s="25">
        <f t="shared" si="1"/>
        <v>-21.9</v>
      </c>
      <c r="G12" s="13">
        <f t="shared" si="2"/>
        <v>48.08</v>
      </c>
      <c r="J12" s="17">
        <f t="array" ref="J12">IF(ROW(J12)&lt;=COUNTA(D:D)*2,IF(MOD(ROW(J12),2)=1,INDEX(D:D,(ROW(J12)+1)/2),INDEX(F:F,ROW(J12)/2)),"")</f>
        <v>-9.9</v>
      </c>
      <c r="K12" s="17">
        <f t="array" ref="K12">IF(ROW(K12)&lt;=COUNTA(E:E)*2,IF(MOD(ROW(K12),2)=1,INDEX(E:E,(ROW(K12)+1)/2),INDEX(G:G,ROW(K12)/2)),"")</f>
        <v>45.72</v>
      </c>
    </row>
    <row r="13" spans="1:11" x14ac:dyDescent="0.25">
      <c r="A13" s="26"/>
      <c r="B13" s="25"/>
      <c r="D13" s="25">
        <f t="shared" si="3"/>
        <v>-21.9</v>
      </c>
      <c r="E13" s="13">
        <f t="shared" si="0"/>
        <v>48.18</v>
      </c>
      <c r="F13" s="25">
        <f t="shared" si="1"/>
        <v>-23.9</v>
      </c>
      <c r="G13" s="13">
        <f t="shared" si="2"/>
        <v>48.18</v>
      </c>
      <c r="J13" s="17">
        <f t="array" ref="J13">IF(ROW(J13)&lt;=COUNTA(D:D)*2,IF(MOD(ROW(J13),2)=1,INDEX(D:D,(ROW(J13)+1)/2),INDEX(F:F,ROW(J13)/2)),"")</f>
        <v>-9.9</v>
      </c>
      <c r="K13" s="17">
        <f t="array" ref="K13">IF(ROW(K13)&lt;=COUNTA(E:E)*2,IF(MOD(ROW(K13),2)=1,INDEX(E:E,(ROW(K13)+1)/2),INDEX(G:G,ROW(K13)/2)),"")</f>
        <v>45.88</v>
      </c>
    </row>
    <row r="14" spans="1:11" x14ac:dyDescent="0.25">
      <c r="A14" s="26"/>
      <c r="B14" s="25"/>
      <c r="D14" s="25">
        <f t="shared" si="3"/>
        <v>-23.9</v>
      </c>
      <c r="E14" s="13">
        <f t="shared" si="0"/>
        <v>48.5</v>
      </c>
      <c r="F14" s="25">
        <f t="shared" si="1"/>
        <v>-25.9</v>
      </c>
      <c r="G14" s="13">
        <f t="shared" si="2"/>
        <v>48.5</v>
      </c>
      <c r="J14" s="17">
        <f t="array" ref="J14">IF(ROW(J14)&lt;=COUNTA(D:D)*2,IF(MOD(ROW(J14),2)=1,INDEX(D:D,(ROW(J14)+1)/2),INDEX(F:F,ROW(J14)/2)),"")</f>
        <v>-11.9</v>
      </c>
      <c r="K14" s="17">
        <f t="array" ref="K14">IF(ROW(K14)&lt;=COUNTA(E:E)*2,IF(MOD(ROW(K14),2)=1,INDEX(E:E,(ROW(K14)+1)/2),INDEX(G:G,ROW(K14)/2)),"")</f>
        <v>45.88</v>
      </c>
    </row>
    <row r="15" spans="1:11" x14ac:dyDescent="0.25">
      <c r="A15" s="26"/>
      <c r="B15" s="25"/>
      <c r="D15" s="25">
        <f t="shared" si="3"/>
        <v>-25.9</v>
      </c>
      <c r="E15" s="13">
        <f t="shared" si="0"/>
        <v>47.94</v>
      </c>
      <c r="F15" s="25">
        <f t="shared" si="1"/>
        <v>-27.9</v>
      </c>
      <c r="G15" s="13">
        <f t="shared" si="2"/>
        <v>47.94</v>
      </c>
      <c r="J15" s="17">
        <f t="array" ref="J15">IF(ROW(J15)&lt;=COUNTA(D:D)*2,IF(MOD(ROW(J15),2)=1,INDEX(D:D,(ROW(J15)+1)/2),INDEX(F:F,ROW(J15)/2)),"")</f>
        <v>-11.9</v>
      </c>
      <c r="K15" s="17">
        <f t="array" ref="K15">IF(ROW(K15)&lt;=COUNTA(E:E)*2,IF(MOD(ROW(K15),2)=1,INDEX(E:E,(ROW(K15)+1)/2),INDEX(G:G,ROW(K15)/2)),"")</f>
        <v>46.46</v>
      </c>
    </row>
    <row r="16" spans="1:11" x14ac:dyDescent="0.25">
      <c r="A16" s="26"/>
      <c r="B16" s="25"/>
      <c r="D16" s="25">
        <f t="shared" si="3"/>
        <v>-27.9</v>
      </c>
      <c r="E16" s="13">
        <f t="shared" si="0"/>
        <v>47.12</v>
      </c>
      <c r="F16" s="25">
        <f t="shared" si="1"/>
        <v>-29.9</v>
      </c>
      <c r="G16" s="13">
        <f t="shared" si="2"/>
        <v>47.12</v>
      </c>
      <c r="J16" s="17">
        <f t="array" ref="J16">IF(ROW(J16)&lt;=COUNTA(D:D)*2,IF(MOD(ROW(J16),2)=1,INDEX(D:D,(ROW(J16)+1)/2),INDEX(F:F,ROW(J16)/2)),"")</f>
        <v>-13.9</v>
      </c>
      <c r="K16" s="17">
        <f t="array" ref="K16">IF(ROW(K16)&lt;=COUNTA(E:E)*2,IF(MOD(ROW(K16),2)=1,INDEX(E:E,(ROW(K16)+1)/2),INDEX(G:G,ROW(K16)/2)),"")</f>
        <v>46.46</v>
      </c>
    </row>
    <row r="17" spans="1:11" x14ac:dyDescent="0.25">
      <c r="A17" s="26"/>
      <c r="B17" s="25"/>
      <c r="D17" s="25">
        <f t="shared" si="3"/>
        <v>-29.9</v>
      </c>
      <c r="E17" s="13">
        <f t="shared" si="0"/>
        <v>47.8</v>
      </c>
      <c r="F17" s="25">
        <f t="shared" si="1"/>
        <v>-31.9</v>
      </c>
      <c r="G17" s="13">
        <f t="shared" si="2"/>
        <v>47.8</v>
      </c>
      <c r="J17" s="17">
        <f t="array" ref="J17">IF(ROW(J17)&lt;=COUNTA(D:D)*2,IF(MOD(ROW(J17),2)=1,INDEX(D:D,(ROW(J17)+1)/2),INDEX(F:F,ROW(J17)/2)),"")</f>
        <v>-13.9</v>
      </c>
      <c r="K17" s="17">
        <f t="array" ref="K17">IF(ROW(K17)&lt;=COUNTA(E:E)*2,IF(MOD(ROW(K17),2)=1,INDEX(E:E,(ROW(K17)+1)/2),INDEX(G:G,ROW(K17)/2)),"")</f>
        <v>47.62</v>
      </c>
    </row>
    <row r="18" spans="1:11" x14ac:dyDescent="0.25">
      <c r="A18" s="26"/>
      <c r="B18" s="25"/>
      <c r="D18" s="25">
        <f t="shared" si="3"/>
        <v>-31.9</v>
      </c>
      <c r="E18" s="13">
        <f t="shared" si="0"/>
        <v>48.1</v>
      </c>
      <c r="F18" s="25">
        <f t="shared" si="1"/>
        <v>-33.9</v>
      </c>
      <c r="G18" s="13">
        <f t="shared" si="2"/>
        <v>48.1</v>
      </c>
      <c r="J18" s="17">
        <f t="array" ref="J18">IF(ROW(J18)&lt;=COUNTA(D:D)*2,IF(MOD(ROW(J18),2)=1,INDEX(D:D,(ROW(J18)+1)/2),INDEX(F:F,ROW(J18)/2)),"")</f>
        <v>-15.9</v>
      </c>
      <c r="K18" s="17">
        <f t="array" ref="K18">IF(ROW(K18)&lt;=COUNTA(E:E)*2,IF(MOD(ROW(K18),2)=1,INDEX(E:E,(ROW(K18)+1)/2),INDEX(G:G,ROW(K18)/2)),"")</f>
        <v>47.62</v>
      </c>
    </row>
    <row r="19" spans="1:11" x14ac:dyDescent="0.25">
      <c r="A19" s="26"/>
      <c r="B19" s="25"/>
      <c r="D19" s="25">
        <f t="shared" si="3"/>
        <v>-33.9</v>
      </c>
      <c r="E19" s="13">
        <f t="shared" si="0"/>
        <v>47.94</v>
      </c>
      <c r="F19" s="25">
        <f t="shared" si="1"/>
        <v>-35.9</v>
      </c>
      <c r="G19" s="13">
        <f t="shared" si="2"/>
        <v>47.94</v>
      </c>
      <c r="J19" s="17">
        <f t="array" ref="J19">IF(ROW(J19)&lt;=COUNTA(D:D)*2,IF(MOD(ROW(J19),2)=1,INDEX(D:D,(ROW(J19)+1)/2),INDEX(F:F,ROW(J19)/2)),"")</f>
        <v>-15.9</v>
      </c>
      <c r="K19" s="17">
        <f t="array" ref="K19">IF(ROW(K19)&lt;=COUNTA(E:E)*2,IF(MOD(ROW(K19),2)=1,INDEX(E:E,(ROW(K19)+1)/2),INDEX(G:G,ROW(K19)/2)),"")</f>
        <v>47.64</v>
      </c>
    </row>
    <row r="20" spans="1:11" x14ac:dyDescent="0.25">
      <c r="A20" s="26"/>
      <c r="B20" s="25"/>
      <c r="D20" s="25">
        <f t="shared" si="3"/>
        <v>-35.9</v>
      </c>
      <c r="E20" s="13">
        <f t="shared" si="0"/>
        <v>48.6</v>
      </c>
      <c r="F20" s="25">
        <f t="shared" si="1"/>
        <v>-37.9</v>
      </c>
      <c r="G20" s="13">
        <f t="shared" si="2"/>
        <v>48.6</v>
      </c>
      <c r="J20" s="17">
        <f t="array" ref="J20">IF(ROW(J20)&lt;=COUNTA(D:D)*2,IF(MOD(ROW(J20),2)=1,INDEX(D:D,(ROW(J20)+1)/2),INDEX(F:F,ROW(J20)/2)),"")</f>
        <v>-17.9</v>
      </c>
      <c r="K20" s="17">
        <f t="array" ref="K20">IF(ROW(K20)&lt;=COUNTA(E:E)*2,IF(MOD(ROW(K20),2)=1,INDEX(E:E,(ROW(K20)+1)/2),INDEX(G:G,ROW(K20)/2)),"")</f>
        <v>47.64</v>
      </c>
    </row>
    <row r="21" spans="1:11" x14ac:dyDescent="0.25">
      <c r="A21" s="26"/>
      <c r="B21" s="25"/>
      <c r="D21" s="25">
        <f t="shared" si="3"/>
        <v>-37.9</v>
      </c>
      <c r="E21" s="13">
        <f t="shared" si="0"/>
        <v>47.94</v>
      </c>
      <c r="F21" s="25">
        <f t="shared" si="1"/>
        <v>-39.9</v>
      </c>
      <c r="G21" s="13">
        <f t="shared" si="2"/>
        <v>47.94</v>
      </c>
      <c r="J21" s="17">
        <f t="array" ref="J21">IF(ROW(J21)&lt;=COUNTA(D:D)*2,IF(MOD(ROW(J21),2)=1,INDEX(D:D,(ROW(J21)+1)/2),INDEX(F:F,ROW(J21)/2)),"")</f>
        <v>-17.9</v>
      </c>
      <c r="K21" s="17">
        <f t="array" ref="K21">IF(ROW(K21)&lt;=COUNTA(E:E)*2,IF(MOD(ROW(K21),2)=1,INDEX(E:E,(ROW(K21)+1)/2),INDEX(G:G,ROW(K21)/2)),"")</f>
        <v>47.56</v>
      </c>
    </row>
    <row r="22" spans="1:11" x14ac:dyDescent="0.25">
      <c r="A22" s="26"/>
      <c r="B22" s="25"/>
      <c r="D22" s="25">
        <f t="shared" si="3"/>
        <v>-39.9</v>
      </c>
      <c r="E22" s="13">
        <f t="shared" si="0"/>
        <v>47.06</v>
      </c>
      <c r="F22" s="25">
        <f t="shared" si="1"/>
        <v>-41.9</v>
      </c>
      <c r="G22" s="13">
        <f t="shared" si="2"/>
        <v>47.06</v>
      </c>
      <c r="J22" s="17">
        <f t="array" ref="J22">IF(ROW(J22)&lt;=COUNTA(D:D)*2,IF(MOD(ROW(J22),2)=1,INDEX(D:D,(ROW(J22)+1)/2),INDEX(F:F,ROW(J22)/2)),"")</f>
        <v>-19.9</v>
      </c>
      <c r="K22" s="17">
        <f t="array" ref="K22">IF(ROW(K22)&lt;=COUNTA(E:E)*2,IF(MOD(ROW(K22),2)=1,INDEX(E:E,(ROW(K22)+1)/2),INDEX(G:G,ROW(K22)/2)),"")</f>
        <v>47.56</v>
      </c>
    </row>
    <row r="23" spans="1:11" x14ac:dyDescent="0.25">
      <c r="A23" s="26"/>
      <c r="B23" s="25"/>
      <c r="D23" s="25">
        <f t="shared" si="3"/>
        <v>-41.9</v>
      </c>
      <c r="E23" s="13">
        <f t="shared" si="0"/>
        <v>47.354</v>
      </c>
      <c r="F23" s="25">
        <f t="shared" si="1"/>
        <v>-43.9</v>
      </c>
      <c r="G23" s="13">
        <f t="shared" si="2"/>
        <v>47.354</v>
      </c>
      <c r="J23" s="17">
        <f t="array" ref="J23">IF(ROW(J23)&lt;=COUNTA(D:D)*2,IF(MOD(ROW(J23),2)=1,INDEX(D:D,(ROW(J23)+1)/2),INDEX(F:F,ROW(J23)/2)),"")</f>
        <v>-19.9</v>
      </c>
      <c r="K23" s="17">
        <f t="array" ref="K23">IF(ROW(K23)&lt;=COUNTA(E:E)*2,IF(MOD(ROW(K23),2)=1,INDEX(E:E,(ROW(K23)+1)/2),INDEX(G:G,ROW(K23)/2)),"")</f>
        <v>48.08</v>
      </c>
    </row>
    <row r="24" spans="1:11" x14ac:dyDescent="0.25">
      <c r="A24" s="26"/>
      <c r="B24" s="25"/>
      <c r="D24" s="25">
        <f t="shared" si="3"/>
        <v>-43.9</v>
      </c>
      <c r="E24" s="13">
        <f t="shared" si="0"/>
        <v>47.72</v>
      </c>
      <c r="F24" s="25">
        <f t="shared" si="1"/>
        <v>-45.9</v>
      </c>
      <c r="G24" s="13">
        <f t="shared" si="2"/>
        <v>47.72</v>
      </c>
      <c r="J24" s="17">
        <f t="array" ref="J24">IF(ROW(J24)&lt;=COUNTA(D:D)*2,IF(MOD(ROW(J24),2)=1,INDEX(D:D,(ROW(J24)+1)/2),INDEX(F:F,ROW(J24)/2)),"")</f>
        <v>-21.9</v>
      </c>
      <c r="K24" s="17">
        <f t="array" ref="K24">IF(ROW(K24)&lt;=COUNTA(E:E)*2,IF(MOD(ROW(K24),2)=1,INDEX(E:E,(ROW(K24)+1)/2),INDEX(G:G,ROW(K24)/2)),"")</f>
        <v>48.08</v>
      </c>
    </row>
    <row r="25" spans="1:11" x14ac:dyDescent="0.25">
      <c r="A25" s="26"/>
      <c r="B25" s="25"/>
      <c r="D25" s="25">
        <f t="shared" si="3"/>
        <v>-45.9</v>
      </c>
      <c r="E25" s="13">
        <f t="shared" si="0"/>
        <v>47.28</v>
      </c>
      <c r="F25" s="25">
        <f t="shared" si="1"/>
        <v>-47.9</v>
      </c>
      <c r="G25" s="13">
        <f t="shared" si="2"/>
        <v>47.28</v>
      </c>
      <c r="J25" s="17">
        <f t="array" ref="J25">IF(ROW(J25)&lt;=COUNTA(D:D)*2,IF(MOD(ROW(J25),2)=1,INDEX(D:D,(ROW(J25)+1)/2),INDEX(F:F,ROW(J25)/2)),"")</f>
        <v>-21.9</v>
      </c>
      <c r="K25" s="17">
        <f t="array" ref="K25">IF(ROW(K25)&lt;=COUNTA(E:E)*2,IF(MOD(ROW(K25),2)=1,INDEX(E:E,(ROW(K25)+1)/2),INDEX(G:G,ROW(K25)/2)),"")</f>
        <v>48.18</v>
      </c>
    </row>
    <row r="26" spans="1:11" x14ac:dyDescent="0.25">
      <c r="A26" s="26"/>
      <c r="B26" s="25"/>
      <c r="D26" s="25">
        <f t="shared" si="3"/>
        <v>-47.9</v>
      </c>
      <c r="E26" s="13">
        <f t="shared" si="0"/>
        <v>47.84</v>
      </c>
      <c r="F26" s="25">
        <f t="shared" si="1"/>
        <v>-49.9</v>
      </c>
      <c r="G26" s="13">
        <f t="shared" si="2"/>
        <v>47.84</v>
      </c>
      <c r="J26" s="17">
        <f t="array" ref="J26">IF(ROW(J26)&lt;=COUNTA(D:D)*2,IF(MOD(ROW(J26),2)=1,INDEX(D:D,(ROW(J26)+1)/2),INDEX(F:F,ROW(J26)/2)),"")</f>
        <v>-23.9</v>
      </c>
      <c r="K26" s="17">
        <f t="array" ref="K26">IF(ROW(K26)&lt;=COUNTA(E:E)*2,IF(MOD(ROW(K26),2)=1,INDEX(E:E,(ROW(K26)+1)/2),INDEX(G:G,ROW(K26)/2)),"")</f>
        <v>48.18</v>
      </c>
    </row>
    <row r="27" spans="1:11" x14ac:dyDescent="0.25">
      <c r="A27" s="26"/>
      <c r="B27" s="25"/>
      <c r="D27" s="25">
        <f t="shared" si="3"/>
        <v>-49.9</v>
      </c>
      <c r="E27" s="13">
        <f t="shared" si="0"/>
        <v>46.64</v>
      </c>
      <c r="F27" s="25">
        <f t="shared" si="1"/>
        <v>-51.9</v>
      </c>
      <c r="G27" s="13">
        <f t="shared" si="2"/>
        <v>46.64</v>
      </c>
      <c r="J27" s="17">
        <f t="array" ref="J27">IF(ROW(J27)&lt;=COUNTA(D:D)*2,IF(MOD(ROW(J27),2)=1,INDEX(D:D,(ROW(J27)+1)/2),INDEX(F:F,ROW(J27)/2)),"")</f>
        <v>-23.9</v>
      </c>
      <c r="K27" s="17">
        <f t="array" ref="K27">IF(ROW(K27)&lt;=COUNTA(E:E)*2,IF(MOD(ROW(K27),2)=1,INDEX(E:E,(ROW(K27)+1)/2),INDEX(G:G,ROW(K27)/2)),"")</f>
        <v>48.5</v>
      </c>
    </row>
    <row r="28" spans="1:11" x14ac:dyDescent="0.25">
      <c r="A28" s="26"/>
      <c r="B28" s="25"/>
      <c r="D28" s="25">
        <f t="shared" si="3"/>
        <v>-51.9</v>
      </c>
      <c r="E28" s="13">
        <f t="shared" si="0"/>
        <v>47.48</v>
      </c>
      <c r="F28" s="25">
        <f t="shared" si="1"/>
        <v>-53.9</v>
      </c>
      <c r="G28" s="13">
        <f t="shared" si="2"/>
        <v>47.48</v>
      </c>
      <c r="J28" s="17">
        <f t="array" ref="J28">IF(ROW(J28)&lt;=COUNTA(D:D)*2,IF(MOD(ROW(J28),2)=1,INDEX(D:D,(ROW(J28)+1)/2),INDEX(F:F,ROW(J28)/2)),"")</f>
        <v>-25.9</v>
      </c>
      <c r="K28" s="17">
        <f t="array" ref="K28">IF(ROW(K28)&lt;=COUNTA(E:E)*2,IF(MOD(ROW(K28),2)=1,INDEX(E:E,(ROW(K28)+1)/2),INDEX(G:G,ROW(K28)/2)),"")</f>
        <v>48.5</v>
      </c>
    </row>
    <row r="29" spans="1:11" x14ac:dyDescent="0.25">
      <c r="A29" s="26"/>
      <c r="B29" s="25"/>
      <c r="D29" s="25">
        <f t="shared" si="3"/>
        <v>-53.9</v>
      </c>
      <c r="E29" s="13">
        <f t="shared" si="0"/>
        <v>47.76</v>
      </c>
      <c r="F29" s="25">
        <f t="shared" si="1"/>
        <v>-55.9</v>
      </c>
      <c r="G29" s="13">
        <f t="shared" si="2"/>
        <v>47.76</v>
      </c>
      <c r="J29" s="17">
        <f t="array" ref="J29">IF(ROW(J29)&lt;=COUNTA(D:D)*2,IF(MOD(ROW(J29),2)=1,INDEX(D:D,(ROW(J29)+1)/2),INDEX(F:F,ROW(J29)/2)),"")</f>
        <v>-25.9</v>
      </c>
      <c r="K29" s="17">
        <f t="array" ref="K29">IF(ROW(K29)&lt;=COUNTA(E:E)*2,IF(MOD(ROW(K29),2)=1,INDEX(E:E,(ROW(K29)+1)/2),INDEX(G:G,ROW(K29)/2)),"")</f>
        <v>47.94</v>
      </c>
    </row>
    <row r="30" spans="1:11" x14ac:dyDescent="0.25">
      <c r="A30" s="26"/>
      <c r="B30" s="25"/>
      <c r="D30" s="25">
        <f t="shared" si="3"/>
        <v>-55.9</v>
      </c>
      <c r="E30" s="13">
        <f t="shared" si="0"/>
        <v>46.76</v>
      </c>
      <c r="F30" s="25">
        <f t="shared" si="1"/>
        <v>-57.9</v>
      </c>
      <c r="G30" s="13">
        <f t="shared" si="2"/>
        <v>46.76</v>
      </c>
      <c r="J30" s="17">
        <f t="array" ref="J30">IF(ROW(J30)&lt;=COUNTA(D:D)*2,IF(MOD(ROW(J30),2)=1,INDEX(D:D,(ROW(J30)+1)/2),INDEX(F:F,ROW(J30)/2)),"")</f>
        <v>-27.9</v>
      </c>
      <c r="K30" s="17">
        <f t="array" ref="K30">IF(ROW(K30)&lt;=COUNTA(E:E)*2,IF(MOD(ROW(K30),2)=1,INDEX(E:E,(ROW(K30)+1)/2),INDEX(G:G,ROW(K30)/2)),"")</f>
        <v>47.94</v>
      </c>
    </row>
    <row r="31" spans="1:11" x14ac:dyDescent="0.25">
      <c r="A31" s="26"/>
      <c r="B31" s="25"/>
      <c r="D31" s="25">
        <f t="shared" si="3"/>
        <v>-57.9</v>
      </c>
      <c r="E31" s="13">
        <f t="shared" si="0"/>
        <v>47.82</v>
      </c>
      <c r="F31" s="25">
        <f t="shared" si="1"/>
        <v>-59.9</v>
      </c>
      <c r="G31" s="13">
        <f t="shared" si="2"/>
        <v>47.82</v>
      </c>
      <c r="J31" s="17">
        <f t="array" ref="J31">IF(ROW(J31)&lt;=COUNTA(D:D)*2,IF(MOD(ROW(J31),2)=1,INDEX(D:D,(ROW(J31)+1)/2),INDEX(F:F,ROW(J31)/2)),"")</f>
        <v>-27.9</v>
      </c>
      <c r="K31" s="17">
        <f t="array" ref="K31">IF(ROW(K31)&lt;=COUNTA(E:E)*2,IF(MOD(ROW(K31),2)=1,INDEX(E:E,(ROW(K31)+1)/2),INDEX(G:G,ROW(K31)/2)),"")</f>
        <v>47.12</v>
      </c>
    </row>
    <row r="32" spans="1:11" x14ac:dyDescent="0.25">
      <c r="A32" s="26"/>
      <c r="B32" s="25"/>
      <c r="D32" s="25">
        <f t="shared" si="3"/>
        <v>-59.9</v>
      </c>
      <c r="E32" s="13">
        <f t="shared" si="0"/>
        <v>46.96</v>
      </c>
      <c r="F32" s="25">
        <f t="shared" si="1"/>
        <v>-61.9</v>
      </c>
      <c r="G32" s="13">
        <f t="shared" si="2"/>
        <v>46.96</v>
      </c>
      <c r="J32" s="17">
        <f t="array" ref="J32">IF(ROW(J32)&lt;=COUNTA(D:D)*2,IF(MOD(ROW(J32),2)=1,INDEX(D:D,(ROW(J32)+1)/2),INDEX(F:F,ROW(J32)/2)),"")</f>
        <v>-29.9</v>
      </c>
      <c r="K32" s="17">
        <f t="array" ref="K32">IF(ROW(K32)&lt;=COUNTA(E:E)*2,IF(MOD(ROW(K32),2)=1,INDEX(E:E,(ROW(K32)+1)/2),INDEX(G:G,ROW(K32)/2)),"")</f>
        <v>47.12</v>
      </c>
    </row>
    <row r="33" spans="1:11" x14ac:dyDescent="0.25">
      <c r="A33" s="26"/>
      <c r="B33" s="25"/>
      <c r="D33" s="25">
        <f t="shared" si="3"/>
        <v>-61.9</v>
      </c>
      <c r="E33" s="13">
        <f t="shared" si="0"/>
        <v>45.6</v>
      </c>
      <c r="F33" s="25">
        <f t="shared" si="1"/>
        <v>-63.9</v>
      </c>
      <c r="G33" s="13">
        <f t="shared" si="2"/>
        <v>45.6</v>
      </c>
      <c r="J33" s="17">
        <f t="array" ref="J33">IF(ROW(J33)&lt;=COUNTA(D:D)*2,IF(MOD(ROW(J33),2)=1,INDEX(D:D,(ROW(J33)+1)/2),INDEX(F:F,ROW(J33)/2)),"")</f>
        <v>-29.9</v>
      </c>
      <c r="K33" s="17">
        <f t="array" ref="K33">IF(ROW(K33)&lt;=COUNTA(E:E)*2,IF(MOD(ROW(K33),2)=1,INDEX(E:E,(ROW(K33)+1)/2),INDEX(G:G,ROW(K33)/2)),"")</f>
        <v>47.8</v>
      </c>
    </row>
    <row r="34" spans="1:11" x14ac:dyDescent="0.25">
      <c r="A34" s="26"/>
      <c r="B34" s="25"/>
      <c r="D34" s="25">
        <f t="shared" si="3"/>
        <v>-63.9</v>
      </c>
      <c r="E34" s="13">
        <f t="shared" si="0"/>
        <v>46.14</v>
      </c>
      <c r="F34" s="25">
        <f t="shared" si="1"/>
        <v>-65.9</v>
      </c>
      <c r="G34" s="13">
        <f t="shared" si="2"/>
        <v>46.14</v>
      </c>
      <c r="J34" s="17">
        <f t="array" ref="J34">IF(ROW(J34)&lt;=COUNTA(D:D)*2,IF(MOD(ROW(J34),2)=1,INDEX(D:D,(ROW(J34)+1)/2),INDEX(F:F,ROW(J34)/2)),"")</f>
        <v>-31.9</v>
      </c>
      <c r="K34" s="17">
        <f t="array" ref="K34">IF(ROW(K34)&lt;=COUNTA(E:E)*2,IF(MOD(ROW(K34),2)=1,INDEX(E:E,(ROW(K34)+1)/2),INDEX(G:G,ROW(K34)/2)),"")</f>
        <v>47.8</v>
      </c>
    </row>
    <row r="35" spans="1:11" x14ac:dyDescent="0.25">
      <c r="A35" s="26"/>
      <c r="B35" s="25"/>
      <c r="D35" s="25">
        <f t="shared" si="3"/>
        <v>-65.9</v>
      </c>
      <c r="E35" s="13">
        <f t="shared" si="0"/>
        <v>45.42</v>
      </c>
      <c r="F35" s="25">
        <f t="shared" si="1"/>
        <v>-67.9</v>
      </c>
      <c r="G35" s="13">
        <f t="shared" si="2"/>
        <v>45.42</v>
      </c>
      <c r="J35" s="17">
        <f t="array" ref="J35">IF(ROW(J35)&lt;=COUNTA(D:D)*2,IF(MOD(ROW(J35),2)=1,INDEX(D:D,(ROW(J35)+1)/2),INDEX(F:F,ROW(J35)/2)),"")</f>
        <v>-31.9</v>
      </c>
      <c r="K35" s="17">
        <f t="array" ref="K35">IF(ROW(K35)&lt;=COUNTA(E:E)*2,IF(MOD(ROW(K35),2)=1,INDEX(E:E,(ROW(K35)+1)/2),INDEX(G:G,ROW(K35)/2)),"")</f>
        <v>48.1</v>
      </c>
    </row>
    <row r="36" spans="1:11" x14ac:dyDescent="0.25">
      <c r="A36" s="26"/>
      <c r="B36" s="25"/>
      <c r="D36" s="25">
        <f t="shared" si="3"/>
        <v>-67.9</v>
      </c>
      <c r="E36" s="13">
        <f t="shared" si="0"/>
        <v>46.5</v>
      </c>
      <c r="F36" s="25">
        <f t="shared" si="1"/>
        <v>-69.9</v>
      </c>
      <c r="G36" s="13">
        <f t="shared" si="2"/>
        <v>46.5</v>
      </c>
      <c r="J36" s="17">
        <f t="array" ref="J36">IF(ROW(J36)&lt;=COUNTA(D:D)*2,IF(MOD(ROW(J36),2)=1,INDEX(D:D,(ROW(J36)+1)/2),INDEX(F:F,ROW(J36)/2)),"")</f>
        <v>-33.9</v>
      </c>
      <c r="K36" s="17">
        <f t="array" ref="K36">IF(ROW(K36)&lt;=COUNTA(E:E)*2,IF(MOD(ROW(K36),2)=1,INDEX(E:E,(ROW(K36)+1)/2),INDEX(G:G,ROW(K36)/2)),"")</f>
        <v>48.1</v>
      </c>
    </row>
    <row r="37" spans="1:11" x14ac:dyDescent="0.25">
      <c r="A37" s="26"/>
      <c r="B37" s="25"/>
      <c r="D37" s="25">
        <f t="shared" si="3"/>
        <v>-69.9</v>
      </c>
      <c r="E37" s="13">
        <f t="shared" si="0"/>
        <v>47.44</v>
      </c>
      <c r="F37" s="25">
        <f t="shared" si="1"/>
        <v>-71.9</v>
      </c>
      <c r="G37" s="13">
        <f t="shared" si="2"/>
        <v>47.44</v>
      </c>
      <c r="J37" s="17">
        <f t="array" ref="J37">IF(ROW(J37)&lt;=COUNTA(D:D)*2,IF(MOD(ROW(J37),2)=1,INDEX(D:D,(ROW(J37)+1)/2),INDEX(F:F,ROW(J37)/2)),"")</f>
        <v>-33.9</v>
      </c>
      <c r="K37" s="17">
        <f t="array" ref="K37">IF(ROW(K37)&lt;=COUNTA(E:E)*2,IF(MOD(ROW(K37),2)=1,INDEX(E:E,(ROW(K37)+1)/2),INDEX(G:G,ROW(K37)/2)),"")</f>
        <v>47.94</v>
      </c>
    </row>
    <row r="38" spans="1:11" x14ac:dyDescent="0.25">
      <c r="A38" s="26"/>
      <c r="B38" s="25"/>
      <c r="D38" s="25">
        <f t="shared" si="3"/>
        <v>-71.9</v>
      </c>
      <c r="E38" s="13">
        <f t="shared" si="0"/>
        <v>46.9</v>
      </c>
      <c r="F38" s="25">
        <f t="shared" si="1"/>
        <v>-73.9</v>
      </c>
      <c r="G38" s="13">
        <f t="shared" si="2"/>
        <v>46.9</v>
      </c>
      <c r="J38" s="17">
        <f t="array" ref="J38">IF(ROW(J38)&lt;=COUNTA(D:D)*2,IF(MOD(ROW(J38),2)=1,INDEX(D:D,(ROW(J38)+1)/2),INDEX(F:F,ROW(J38)/2)),"")</f>
        <v>-35.9</v>
      </c>
      <c r="K38" s="17">
        <f t="array" ref="K38">IF(ROW(K38)&lt;=COUNTA(E:E)*2,IF(MOD(ROW(K38),2)=1,INDEX(E:E,(ROW(K38)+1)/2),INDEX(G:G,ROW(K38)/2)),"")</f>
        <v>47.94</v>
      </c>
    </row>
    <row r="39" spans="1:11" x14ac:dyDescent="0.25">
      <c r="A39" s="26"/>
      <c r="B39" s="25"/>
      <c r="D39" s="25">
        <f t="shared" ref="D39:D44" si="4">0-A38</f>
        <v>-73.9</v>
      </c>
      <c r="E39" s="13">
        <f t="shared" ref="E39:E44" si="5">45+(B39/100)*4</f>
        <v>47.72</v>
      </c>
      <c r="F39" s="25">
        <f t="shared" ref="F39:F44" si="6">0-A39</f>
        <v>-75.9</v>
      </c>
      <c r="G39" s="13">
        <f t="shared" ref="G39:G44" si="7">45+(B39/100)*4</f>
        <v>47.72</v>
      </c>
      <c r="J39" s="17">
        <f t="array" ref="J39">IF(ROW(J39)&lt;=COUNTA(D:D)*2,IF(MOD(ROW(J39),2)=1,INDEX(D:D,(ROW(J39)+1)/2),INDEX(F:F,ROW(J39)/2)),"")</f>
        <v>-35.9</v>
      </c>
      <c r="K39" s="17">
        <f t="array" ref="K39">IF(ROW(K39)&lt;=COUNTA(E:E)*2,IF(MOD(ROW(K39),2)=1,INDEX(E:E,(ROW(K39)+1)/2),INDEX(G:G,ROW(K39)/2)),"")</f>
        <v>48.6</v>
      </c>
    </row>
    <row r="40" spans="1:11" x14ac:dyDescent="0.25">
      <c r="A40" s="26"/>
      <c r="B40" s="25"/>
      <c r="D40" s="25">
        <f t="shared" si="4"/>
        <v>-75.9</v>
      </c>
      <c r="E40" s="13">
        <f t="shared" si="5"/>
        <v>48.56</v>
      </c>
      <c r="F40" s="25">
        <f t="shared" si="6"/>
        <v>-77.9</v>
      </c>
      <c r="G40" s="13">
        <f t="shared" si="7"/>
        <v>48.56</v>
      </c>
      <c r="J40" s="17">
        <f t="array" ref="J40">IF(ROW(J40)&lt;=COUNTA(D:D)*2,IF(MOD(ROW(J40),2)=1,INDEX(D:D,(ROW(J40)+1)/2),INDEX(F:F,ROW(J40)/2)),"")</f>
        <v>-37.9</v>
      </c>
      <c r="K40" s="17">
        <f t="array" ref="K40">IF(ROW(K40)&lt;=COUNTA(E:E)*2,IF(MOD(ROW(K40),2)=1,INDEX(E:E,(ROW(K40)+1)/2),INDEX(G:G,ROW(K40)/2)),"")</f>
        <v>48.6</v>
      </c>
    </row>
    <row r="41" spans="1:11" x14ac:dyDescent="0.25">
      <c r="A41" s="26"/>
      <c r="B41" s="25"/>
      <c r="D41" s="25">
        <f t="shared" si="4"/>
        <v>-77.9</v>
      </c>
      <c r="E41" s="13">
        <f t="shared" si="5"/>
        <v>46.22</v>
      </c>
      <c r="F41" s="25">
        <f t="shared" si="6"/>
        <v>-79.9</v>
      </c>
      <c r="G41" s="13">
        <f t="shared" si="7"/>
        <v>46.22</v>
      </c>
      <c r="J41" s="17">
        <f t="array" ref="J41">IF(ROW(J41)&lt;=COUNTA(D:D)*2,IF(MOD(ROW(J41),2)=1,INDEX(D:D,(ROW(J41)+1)/2),INDEX(F:F,ROW(J41)/2)),"")</f>
        <v>-37.9</v>
      </c>
      <c r="K41" s="17">
        <f t="array" ref="K41">IF(ROW(K41)&lt;=COUNTA(E:E)*2,IF(MOD(ROW(K41),2)=1,INDEX(E:E,(ROW(K41)+1)/2),INDEX(G:G,ROW(K41)/2)),"")</f>
        <v>47.94</v>
      </c>
    </row>
    <row r="42" spans="1:11" x14ac:dyDescent="0.25">
      <c r="A42" s="26"/>
      <c r="B42" s="25"/>
      <c r="D42" s="25">
        <f t="shared" si="4"/>
        <v>-79.9</v>
      </c>
      <c r="E42" s="13">
        <f t="shared" si="5"/>
        <v>45.22</v>
      </c>
      <c r="F42" s="25">
        <f t="shared" si="6"/>
        <v>-81.9</v>
      </c>
      <c r="G42" s="13">
        <f t="shared" si="7"/>
        <v>45.22</v>
      </c>
      <c r="J42" s="17">
        <f t="array" ref="J42">IF(ROW(J42)&lt;=COUNTA(D:D)*2,IF(MOD(ROW(J42),2)=1,INDEX(D:D,(ROW(J42)+1)/2),INDEX(F:F,ROW(J42)/2)),"")</f>
        <v>-39.9</v>
      </c>
      <c r="K42" s="17">
        <f t="array" ref="K42">IF(ROW(K42)&lt;=COUNTA(E:E)*2,IF(MOD(ROW(K42),2)=1,INDEX(E:E,(ROW(K42)+1)/2),INDEX(G:G,ROW(K42)/2)),"")</f>
        <v>47.94</v>
      </c>
    </row>
    <row r="43" spans="1:11" x14ac:dyDescent="0.25">
      <c r="A43" s="26"/>
      <c r="B43" s="25"/>
      <c r="D43" s="25">
        <f t="shared" si="4"/>
        <v>-81.9</v>
      </c>
      <c r="E43" s="13">
        <f t="shared" si="5"/>
        <v>45.7</v>
      </c>
      <c r="F43" s="25">
        <f t="shared" si="6"/>
        <v>-83.9</v>
      </c>
      <c r="G43" s="13">
        <f t="shared" si="7"/>
        <v>45.7</v>
      </c>
      <c r="J43" s="17">
        <f t="array" ref="J43">IF(ROW(J43)&lt;=COUNTA(D:D)*2,IF(MOD(ROW(J43),2)=1,INDEX(D:D,(ROW(J43)+1)/2),INDEX(F:F,ROW(J43)/2)),"")</f>
        <v>-39.9</v>
      </c>
      <c r="K43" s="17">
        <f t="array" ref="K43">IF(ROW(K43)&lt;=COUNTA(E:E)*2,IF(MOD(ROW(K43),2)=1,INDEX(E:E,(ROW(K43)+1)/2),INDEX(G:G,ROW(K43)/2)),"")</f>
        <v>47.06</v>
      </c>
    </row>
    <row r="44" spans="1:11" x14ac:dyDescent="0.25">
      <c r="A44" s="26"/>
      <c r="B44" s="25"/>
      <c r="D44" s="25">
        <f t="shared" si="4"/>
        <v>-83.9</v>
      </c>
      <c r="E44" s="13">
        <f t="shared" si="5"/>
        <v>45.98</v>
      </c>
      <c r="F44" s="25">
        <f t="shared" si="6"/>
        <v>-85.9</v>
      </c>
      <c r="G44" s="13">
        <f t="shared" si="7"/>
        <v>45.98</v>
      </c>
      <c r="J44" s="17">
        <f t="array" ref="J44">IF(ROW(J44)&lt;=COUNTA(D:D)*2,IF(MOD(ROW(J44),2)=1,INDEX(D:D,(ROW(J44)+1)/2),INDEX(F:F,ROW(J44)/2)),"")</f>
        <v>-41.9</v>
      </c>
      <c r="K44" s="17">
        <f t="array" ref="K44">IF(ROW(K44)&lt;=COUNTA(E:E)*2,IF(MOD(ROW(K44),2)=1,INDEX(E:E,(ROW(K44)+1)/2),INDEX(G:G,ROW(K44)/2)),"")</f>
        <v>47.06</v>
      </c>
    </row>
    <row r="45" spans="1:11" x14ac:dyDescent="0.25">
      <c r="A45" s="26"/>
      <c r="B45" s="25"/>
      <c r="D45" s="25">
        <f t="shared" ref="D45:D76" si="8">0-A44</f>
        <v>-85.9</v>
      </c>
      <c r="E45" s="13">
        <f t="shared" ref="E45:E76" si="9">45+(B45/100)*4</f>
        <v>47.18</v>
      </c>
      <c r="F45" s="25">
        <f t="shared" ref="F45:F76" si="10">0-A45</f>
        <v>-87.9</v>
      </c>
      <c r="G45" s="13">
        <f t="shared" ref="G45:G76" si="11">45+(B45/100)*4</f>
        <v>47.18</v>
      </c>
      <c r="J45" s="17">
        <f t="array" ref="J45">IF(ROW(J45)&lt;=COUNTA(D:D)*2,IF(MOD(ROW(J45),2)=1,INDEX(D:D,(ROW(J45)+1)/2),INDEX(F:F,ROW(J45)/2)),"")</f>
        <v>-41.9</v>
      </c>
      <c r="K45" s="17">
        <f t="array" ref="K45">IF(ROW(K45)&lt;=COUNTA(E:E)*2,IF(MOD(ROW(K45),2)=1,INDEX(E:E,(ROW(K45)+1)/2),INDEX(G:G,ROW(K45)/2)),"")</f>
        <v>47.354</v>
      </c>
    </row>
    <row r="46" spans="1:11" x14ac:dyDescent="0.25">
      <c r="A46" s="26"/>
      <c r="B46" s="25"/>
      <c r="D46" s="25">
        <f t="shared" si="8"/>
        <v>-87.9</v>
      </c>
      <c r="E46" s="13">
        <f t="shared" si="9"/>
        <v>47.22</v>
      </c>
      <c r="F46" s="25">
        <f t="shared" si="10"/>
        <v>-89.9</v>
      </c>
      <c r="G46" s="13">
        <f t="shared" si="11"/>
        <v>47.22</v>
      </c>
      <c r="J46" s="17">
        <f t="array" ref="J46">IF(ROW(J46)&lt;=COUNTA(D:D)*2,IF(MOD(ROW(J46),2)=1,INDEX(D:D,(ROW(J46)+1)/2),INDEX(F:F,ROW(J46)/2)),"")</f>
        <v>-43.9</v>
      </c>
      <c r="K46" s="17">
        <f t="array" ref="K46">IF(ROW(K46)&lt;=COUNTA(E:E)*2,IF(MOD(ROW(K46),2)=1,INDEX(E:E,(ROW(K46)+1)/2),INDEX(G:G,ROW(K46)/2)),"")</f>
        <v>47.354</v>
      </c>
    </row>
    <row r="47" spans="1:11" x14ac:dyDescent="0.25">
      <c r="A47" s="26"/>
      <c r="B47" s="25"/>
      <c r="D47" s="25">
        <f t="shared" si="8"/>
        <v>-89.9</v>
      </c>
      <c r="E47" s="13">
        <f t="shared" si="9"/>
        <v>48.22</v>
      </c>
      <c r="F47" s="25">
        <f t="shared" si="10"/>
        <v>-91.9</v>
      </c>
      <c r="G47" s="13">
        <f t="shared" si="11"/>
        <v>48.22</v>
      </c>
      <c r="J47" s="17">
        <f t="array" ref="J47">IF(ROW(J47)&lt;=COUNTA(D:D)*2,IF(MOD(ROW(J47),2)=1,INDEX(D:D,(ROW(J47)+1)/2),INDEX(F:F,ROW(J47)/2)),"")</f>
        <v>-43.9</v>
      </c>
      <c r="K47" s="17">
        <f t="array" ref="K47">IF(ROW(K47)&lt;=COUNTA(E:E)*2,IF(MOD(ROW(K47),2)=1,INDEX(E:E,(ROW(K47)+1)/2),INDEX(G:G,ROW(K47)/2)),"")</f>
        <v>47.72</v>
      </c>
    </row>
    <row r="48" spans="1:11" x14ac:dyDescent="0.25">
      <c r="A48" s="26"/>
      <c r="B48" s="25"/>
      <c r="D48" s="25">
        <f t="shared" si="8"/>
        <v>-91.9</v>
      </c>
      <c r="E48" s="13">
        <f t="shared" si="9"/>
        <v>47.84</v>
      </c>
      <c r="F48" s="25">
        <f t="shared" si="10"/>
        <v>-93.9</v>
      </c>
      <c r="G48" s="13">
        <f t="shared" si="11"/>
        <v>47.84</v>
      </c>
      <c r="J48" s="17">
        <f t="array" ref="J48">IF(ROW(J48)&lt;=COUNTA(D:D)*2,IF(MOD(ROW(J48),2)=1,INDEX(D:D,(ROW(J48)+1)/2),INDEX(F:F,ROW(J48)/2)),"")</f>
        <v>-45.9</v>
      </c>
      <c r="K48" s="17">
        <f t="array" ref="K48">IF(ROW(K48)&lt;=COUNTA(E:E)*2,IF(MOD(ROW(K48),2)=1,INDEX(E:E,(ROW(K48)+1)/2),INDEX(G:G,ROW(K48)/2)),"")</f>
        <v>47.72</v>
      </c>
    </row>
    <row r="49" spans="1:11" x14ac:dyDescent="0.25">
      <c r="A49" s="26"/>
      <c r="B49" s="25"/>
      <c r="D49" s="25">
        <f t="shared" si="8"/>
        <v>-93.9</v>
      </c>
      <c r="E49" s="13">
        <f t="shared" si="9"/>
        <v>46.24</v>
      </c>
      <c r="F49" s="25">
        <f t="shared" si="10"/>
        <v>-95.9</v>
      </c>
      <c r="G49" s="13">
        <f t="shared" si="11"/>
        <v>46.24</v>
      </c>
      <c r="J49" s="17">
        <f t="array" ref="J49">IF(ROW(J49)&lt;=COUNTA(D:D)*2,IF(MOD(ROW(J49),2)=1,INDEX(D:D,(ROW(J49)+1)/2),INDEX(F:F,ROW(J49)/2)),"")</f>
        <v>-45.9</v>
      </c>
      <c r="K49" s="17">
        <f t="array" ref="K49">IF(ROW(K49)&lt;=COUNTA(E:E)*2,IF(MOD(ROW(K49),2)=1,INDEX(E:E,(ROW(K49)+1)/2),INDEX(G:G,ROW(K49)/2)),"")</f>
        <v>47.28</v>
      </c>
    </row>
    <row r="50" spans="1:11" x14ac:dyDescent="0.25">
      <c r="A50" s="26"/>
      <c r="B50" s="25"/>
      <c r="D50" s="25">
        <f t="shared" si="8"/>
        <v>-95.9</v>
      </c>
      <c r="E50" s="13">
        <f t="shared" si="9"/>
        <v>47.9</v>
      </c>
      <c r="F50" s="25">
        <f t="shared" si="10"/>
        <v>-97.9</v>
      </c>
      <c r="G50" s="13">
        <f t="shared" si="11"/>
        <v>47.9</v>
      </c>
      <c r="J50" s="17">
        <f t="array" ref="J50">IF(ROW(J50)&lt;=COUNTA(D:D)*2,IF(MOD(ROW(J50),2)=1,INDEX(D:D,(ROW(J50)+1)/2),INDEX(F:F,ROW(J50)/2)),"")</f>
        <v>-47.9</v>
      </c>
      <c r="K50" s="17">
        <f t="array" ref="K50">IF(ROW(K50)&lt;=COUNTA(E:E)*2,IF(MOD(ROW(K50),2)=1,INDEX(E:E,(ROW(K50)+1)/2),INDEX(G:G,ROW(K50)/2)),"")</f>
        <v>47.28</v>
      </c>
    </row>
    <row r="51" spans="1:11" x14ac:dyDescent="0.25">
      <c r="A51" s="26"/>
      <c r="B51" s="25"/>
      <c r="D51" s="25">
        <f t="shared" si="8"/>
        <v>-97.9</v>
      </c>
      <c r="E51" s="13">
        <f t="shared" si="9"/>
        <v>48.32</v>
      </c>
      <c r="F51" s="25">
        <f t="shared" si="10"/>
        <v>-99.9</v>
      </c>
      <c r="G51" s="13">
        <f t="shared" si="11"/>
        <v>48.32</v>
      </c>
      <c r="J51" s="17">
        <f t="array" ref="J51">IF(ROW(J51)&lt;=COUNTA(D:D)*2,IF(MOD(ROW(J51),2)=1,INDEX(D:D,(ROW(J51)+1)/2),INDEX(F:F,ROW(J51)/2)),"")</f>
        <v>-47.9</v>
      </c>
      <c r="K51" s="17">
        <f t="array" ref="K51">IF(ROW(K51)&lt;=COUNTA(E:E)*2,IF(MOD(ROW(K51),2)=1,INDEX(E:E,(ROW(K51)+1)/2),INDEX(G:G,ROW(K51)/2)),"")</f>
        <v>47.84</v>
      </c>
    </row>
    <row r="52" spans="1:11" x14ac:dyDescent="0.25">
      <c r="A52" s="26"/>
      <c r="B52" s="25"/>
      <c r="D52" s="25">
        <f t="shared" si="8"/>
        <v>-99.9</v>
      </c>
      <c r="E52" s="13">
        <f t="shared" si="9"/>
        <v>48.46</v>
      </c>
      <c r="F52" s="25">
        <f t="shared" si="10"/>
        <v>-101.9</v>
      </c>
      <c r="G52" s="13">
        <f t="shared" si="11"/>
        <v>48.46</v>
      </c>
      <c r="J52" s="17">
        <f t="array" ref="J52">IF(ROW(J52)&lt;=COUNTA(D:D)*2,IF(MOD(ROW(J52),2)=1,INDEX(D:D,(ROW(J52)+1)/2),INDEX(F:F,ROW(J52)/2)),"")</f>
        <v>-49.9</v>
      </c>
      <c r="K52" s="17">
        <f t="array" ref="K52">IF(ROW(K52)&lt;=COUNTA(E:E)*2,IF(MOD(ROW(K52),2)=1,INDEX(E:E,(ROW(K52)+1)/2),INDEX(G:G,ROW(K52)/2)),"")</f>
        <v>47.84</v>
      </c>
    </row>
    <row r="53" spans="1:11" x14ac:dyDescent="0.25">
      <c r="A53" s="26"/>
      <c r="B53" s="25"/>
      <c r="D53" s="25">
        <f t="shared" si="8"/>
        <v>-101.9</v>
      </c>
      <c r="E53" s="13">
        <f t="shared" si="9"/>
        <v>47.16</v>
      </c>
      <c r="F53" s="25">
        <f t="shared" si="10"/>
        <v>-103.9</v>
      </c>
      <c r="G53" s="13">
        <f t="shared" si="11"/>
        <v>47.16</v>
      </c>
      <c r="J53" s="17">
        <f t="array" ref="J53">IF(ROW(J53)&lt;=COUNTA(D:D)*2,IF(MOD(ROW(J53),2)=1,INDEX(D:D,(ROW(J53)+1)/2),INDEX(F:F,ROW(J53)/2)),"")</f>
        <v>-49.9</v>
      </c>
      <c r="K53" s="17">
        <f t="array" ref="K53">IF(ROW(K53)&lt;=COUNTA(E:E)*2,IF(MOD(ROW(K53),2)=1,INDEX(E:E,(ROW(K53)+1)/2),INDEX(G:G,ROW(K53)/2)),"")</f>
        <v>46.64</v>
      </c>
    </row>
    <row r="54" spans="1:11" x14ac:dyDescent="0.25">
      <c r="A54" s="26"/>
      <c r="B54" s="25"/>
      <c r="D54" s="25">
        <f t="shared" si="8"/>
        <v>-103.9</v>
      </c>
      <c r="E54" s="13">
        <f t="shared" si="9"/>
        <v>47.48</v>
      </c>
      <c r="F54" s="25">
        <f t="shared" si="10"/>
        <v>-105.9</v>
      </c>
      <c r="G54" s="13">
        <f t="shared" si="11"/>
        <v>47.48</v>
      </c>
      <c r="J54" s="17">
        <f t="array" ref="J54">IF(ROW(J54)&lt;=COUNTA(D:D)*2,IF(MOD(ROW(J54),2)=1,INDEX(D:D,(ROW(J54)+1)/2),INDEX(F:F,ROW(J54)/2)),"")</f>
        <v>-51.9</v>
      </c>
      <c r="K54" s="17">
        <f t="array" ref="K54">IF(ROW(K54)&lt;=COUNTA(E:E)*2,IF(MOD(ROW(K54),2)=1,INDEX(E:E,(ROW(K54)+1)/2),INDEX(G:G,ROW(K54)/2)),"")</f>
        <v>46.64</v>
      </c>
    </row>
    <row r="55" spans="1:11" x14ac:dyDescent="0.25">
      <c r="A55" s="26"/>
      <c r="B55" s="25"/>
      <c r="D55" s="25">
        <f t="shared" si="8"/>
        <v>-105.9</v>
      </c>
      <c r="E55" s="13">
        <f t="shared" si="9"/>
        <v>48.02</v>
      </c>
      <c r="F55" s="25">
        <f t="shared" si="10"/>
        <v>-107.9</v>
      </c>
      <c r="G55" s="13">
        <f t="shared" si="11"/>
        <v>48.02</v>
      </c>
      <c r="J55" s="17">
        <f t="array" ref="J55">IF(ROW(J55)&lt;=COUNTA(D:D)*2,IF(MOD(ROW(J55),2)=1,INDEX(D:D,(ROW(J55)+1)/2),INDEX(F:F,ROW(J55)/2)),"")</f>
        <v>-51.9</v>
      </c>
      <c r="K55" s="17">
        <f t="array" ref="K55">IF(ROW(K55)&lt;=COUNTA(E:E)*2,IF(MOD(ROW(K55),2)=1,INDEX(E:E,(ROW(K55)+1)/2),INDEX(G:G,ROW(K55)/2)),"")</f>
        <v>47.48</v>
      </c>
    </row>
    <row r="56" spans="1:11" x14ac:dyDescent="0.25">
      <c r="A56" s="26"/>
      <c r="B56" s="25"/>
      <c r="D56" s="25">
        <f t="shared" si="8"/>
        <v>-107.9</v>
      </c>
      <c r="E56" s="13">
        <f t="shared" si="9"/>
        <v>46.82</v>
      </c>
      <c r="F56" s="25">
        <f t="shared" si="10"/>
        <v>-109.9</v>
      </c>
      <c r="G56" s="13">
        <f t="shared" si="11"/>
        <v>46.82</v>
      </c>
      <c r="J56" s="17">
        <f t="array" ref="J56">IF(ROW(J56)&lt;=COUNTA(D:D)*2,IF(MOD(ROW(J56),2)=1,INDEX(D:D,(ROW(J56)+1)/2),INDEX(F:F,ROW(J56)/2)),"")</f>
        <v>-53.9</v>
      </c>
      <c r="K56" s="17">
        <f t="array" ref="K56">IF(ROW(K56)&lt;=COUNTA(E:E)*2,IF(MOD(ROW(K56),2)=1,INDEX(E:E,(ROW(K56)+1)/2),INDEX(G:G,ROW(K56)/2)),"")</f>
        <v>47.48</v>
      </c>
    </row>
    <row r="57" spans="1:11" x14ac:dyDescent="0.25">
      <c r="A57" s="26"/>
      <c r="B57" s="25"/>
      <c r="D57" s="25">
        <f t="shared" si="8"/>
        <v>-109.9</v>
      </c>
      <c r="E57" s="13">
        <f t="shared" si="9"/>
        <v>46.26</v>
      </c>
      <c r="F57" s="25">
        <f t="shared" si="10"/>
        <v>-111.9</v>
      </c>
      <c r="G57" s="13">
        <f t="shared" si="11"/>
        <v>46.26</v>
      </c>
      <c r="J57" s="17">
        <f t="array" ref="J57">IF(ROW(J57)&lt;=COUNTA(D:D)*2,IF(MOD(ROW(J57),2)=1,INDEX(D:D,(ROW(J57)+1)/2),INDEX(F:F,ROW(J57)/2)),"")</f>
        <v>-53.9</v>
      </c>
      <c r="K57" s="17">
        <f t="array" ref="K57">IF(ROW(K57)&lt;=COUNTA(E:E)*2,IF(MOD(ROW(K57),2)=1,INDEX(E:E,(ROW(K57)+1)/2),INDEX(G:G,ROW(K57)/2)),"")</f>
        <v>47.76</v>
      </c>
    </row>
    <row r="58" spans="1:11" x14ac:dyDescent="0.25">
      <c r="A58" s="26"/>
      <c r="B58" s="25"/>
      <c r="D58" s="25">
        <f t="shared" si="8"/>
        <v>-111.9</v>
      </c>
      <c r="E58" s="13">
        <f t="shared" si="9"/>
        <v>47.12</v>
      </c>
      <c r="F58" s="25">
        <f t="shared" si="10"/>
        <v>-113.9</v>
      </c>
      <c r="G58" s="13">
        <f t="shared" si="11"/>
        <v>47.12</v>
      </c>
      <c r="J58" s="17">
        <f t="array" ref="J58">IF(ROW(J58)&lt;=COUNTA(D:D)*2,IF(MOD(ROW(J58),2)=1,INDEX(D:D,(ROW(J58)+1)/2),INDEX(F:F,ROW(J58)/2)),"")</f>
        <v>-55.9</v>
      </c>
      <c r="K58" s="17">
        <f t="array" ref="K58">IF(ROW(K58)&lt;=COUNTA(E:E)*2,IF(MOD(ROW(K58),2)=1,INDEX(E:E,(ROW(K58)+1)/2),INDEX(G:G,ROW(K58)/2)),"")</f>
        <v>47.76</v>
      </c>
    </row>
    <row r="59" spans="1:11" x14ac:dyDescent="0.25">
      <c r="A59" s="26"/>
      <c r="B59" s="25"/>
      <c r="D59" s="25">
        <f t="shared" si="8"/>
        <v>-113.9</v>
      </c>
      <c r="E59" s="13">
        <f t="shared" si="9"/>
        <v>45</v>
      </c>
      <c r="F59" s="25">
        <f t="shared" si="10"/>
        <v>-115.9</v>
      </c>
      <c r="G59" s="13">
        <f t="shared" si="11"/>
        <v>45</v>
      </c>
      <c r="J59" s="17">
        <f t="array" ref="J59">IF(ROW(J59)&lt;=COUNTA(D:D)*2,IF(MOD(ROW(J59),2)=1,INDEX(D:D,(ROW(J59)+1)/2),INDEX(F:F,ROW(J59)/2)),"")</f>
        <v>-55.9</v>
      </c>
      <c r="K59" s="17">
        <f t="array" ref="K59">IF(ROW(K59)&lt;=COUNTA(E:E)*2,IF(MOD(ROW(K59),2)=1,INDEX(E:E,(ROW(K59)+1)/2),INDEX(G:G,ROW(K59)/2)),"")</f>
        <v>46.76</v>
      </c>
    </row>
    <row r="60" spans="1:11" x14ac:dyDescent="0.25">
      <c r="A60" s="29"/>
      <c r="B60" s="25"/>
      <c r="D60" s="25">
        <f t="shared" si="8"/>
        <v>-115.9</v>
      </c>
      <c r="E60" s="13">
        <f t="shared" si="9"/>
        <v>47.28</v>
      </c>
      <c r="F60" s="25">
        <f t="shared" si="10"/>
        <v>-117.9</v>
      </c>
      <c r="G60" s="13">
        <f t="shared" si="11"/>
        <v>47.28</v>
      </c>
      <c r="J60" s="17">
        <f t="array" ref="J60">IF(ROW(J60)&lt;=COUNTA(D:D)*2,IF(MOD(ROW(J60),2)=1,INDEX(D:D,(ROW(J60)+1)/2),INDEX(F:F,ROW(J60)/2)),"")</f>
        <v>-57.9</v>
      </c>
      <c r="K60" s="17">
        <f t="array" ref="K60">IF(ROW(K60)&lt;=COUNTA(E:E)*2,IF(MOD(ROW(K60),2)=1,INDEX(E:E,(ROW(K60)+1)/2),INDEX(G:G,ROW(K60)/2)),"")</f>
        <v>46.76</v>
      </c>
    </row>
    <row r="61" spans="1:11" x14ac:dyDescent="0.25">
      <c r="A61" s="29"/>
      <c r="B61" s="25"/>
      <c r="D61" s="25">
        <f t="shared" si="8"/>
        <v>-117.9</v>
      </c>
      <c r="E61" s="13">
        <f t="shared" si="9"/>
        <v>45.82</v>
      </c>
      <c r="F61" s="25">
        <f t="shared" si="10"/>
        <v>-119.9</v>
      </c>
      <c r="G61" s="13">
        <f t="shared" si="11"/>
        <v>45.82</v>
      </c>
      <c r="J61" s="17">
        <f t="array" ref="J61">IF(ROW(J61)&lt;=COUNTA(D:D)*2,IF(MOD(ROW(J61),2)=1,INDEX(D:D,(ROW(J61)+1)/2),INDEX(F:F,ROW(J61)/2)),"")</f>
        <v>-57.9</v>
      </c>
      <c r="K61" s="17">
        <f t="array" ref="K61">IF(ROW(K61)&lt;=COUNTA(E:E)*2,IF(MOD(ROW(K61),2)=1,INDEX(E:E,(ROW(K61)+1)/2),INDEX(G:G,ROW(K61)/2)),"")</f>
        <v>47.82</v>
      </c>
    </row>
    <row r="62" spans="1:11" x14ac:dyDescent="0.25">
      <c r="A62" s="29"/>
      <c r="B62" s="25"/>
      <c r="D62" s="25">
        <f t="shared" si="8"/>
        <v>-119.9</v>
      </c>
      <c r="E62" s="13">
        <f t="shared" si="9"/>
        <v>45.2</v>
      </c>
      <c r="F62" s="25">
        <f t="shared" si="10"/>
        <v>-121.9</v>
      </c>
      <c r="G62" s="13">
        <f t="shared" si="11"/>
        <v>45.2</v>
      </c>
      <c r="J62" s="17">
        <f t="array" ref="J62">IF(ROW(J62)&lt;=COUNTA(D:D)*2,IF(MOD(ROW(J62),2)=1,INDEX(D:D,(ROW(J62)+1)/2),INDEX(F:F,ROW(J62)/2)),"")</f>
        <v>-59.9</v>
      </c>
      <c r="K62" s="17">
        <f t="array" ref="K62">IF(ROW(K62)&lt;=COUNTA(E:E)*2,IF(MOD(ROW(K62),2)=1,INDEX(E:E,(ROW(K62)+1)/2),INDEX(G:G,ROW(K62)/2)),"")</f>
        <v>47.82</v>
      </c>
    </row>
    <row r="63" spans="1:11" x14ac:dyDescent="0.25">
      <c r="A63" s="29"/>
      <c r="B63" s="25"/>
      <c r="D63" s="25">
        <f t="shared" si="8"/>
        <v>-121.9</v>
      </c>
      <c r="E63" s="13">
        <f t="shared" si="9"/>
        <v>45</v>
      </c>
      <c r="F63" s="25">
        <f t="shared" si="10"/>
        <v>-123.9</v>
      </c>
      <c r="G63" s="13">
        <f t="shared" si="11"/>
        <v>45</v>
      </c>
      <c r="J63" s="17">
        <f t="array" ref="J63">IF(ROW(J63)&lt;=COUNTA(D:D)*2,IF(MOD(ROW(J63),2)=1,INDEX(D:D,(ROW(J63)+1)/2),INDEX(F:F,ROW(J63)/2)),"")</f>
        <v>-59.9</v>
      </c>
      <c r="K63" s="17">
        <f t="array" ref="K63">IF(ROW(K63)&lt;=COUNTA(E:E)*2,IF(MOD(ROW(K63),2)=1,INDEX(E:E,(ROW(K63)+1)/2),INDEX(G:G,ROW(K63)/2)),"")</f>
        <v>46.96</v>
      </c>
    </row>
    <row r="64" spans="1:11" x14ac:dyDescent="0.25">
      <c r="A64" s="29"/>
      <c r="B64" s="25"/>
      <c r="D64" s="25">
        <f t="shared" si="8"/>
        <v>-123.9</v>
      </c>
      <c r="E64" s="13">
        <f t="shared" si="9"/>
        <v>45.62</v>
      </c>
      <c r="F64" s="25">
        <f t="shared" si="10"/>
        <v>-125.9</v>
      </c>
      <c r="G64" s="13">
        <f t="shared" si="11"/>
        <v>45.62</v>
      </c>
      <c r="J64" s="17">
        <f t="array" ref="J64">IF(ROW(J64)&lt;=COUNTA(D:D)*2,IF(MOD(ROW(J64),2)=1,INDEX(D:D,(ROW(J64)+1)/2),INDEX(F:F,ROW(J64)/2)),"")</f>
        <v>-61.9</v>
      </c>
      <c r="K64" s="17">
        <f t="array" ref="K64">IF(ROW(K64)&lt;=COUNTA(E:E)*2,IF(MOD(ROW(K64),2)=1,INDEX(E:E,(ROW(K64)+1)/2),INDEX(G:G,ROW(K64)/2)),"")</f>
        <v>46.96</v>
      </c>
    </row>
    <row r="65" spans="1:11" x14ac:dyDescent="0.25">
      <c r="A65" s="29"/>
      <c r="B65" s="25"/>
      <c r="D65" s="25">
        <f t="shared" si="8"/>
        <v>-125.9</v>
      </c>
      <c r="E65" s="13">
        <f t="shared" si="9"/>
        <v>45.24</v>
      </c>
      <c r="F65" s="25">
        <f t="shared" si="10"/>
        <v>-127.9</v>
      </c>
      <c r="G65" s="13">
        <f t="shared" si="11"/>
        <v>45.24</v>
      </c>
      <c r="J65" s="17">
        <f t="array" ref="J65">IF(ROW(J65)&lt;=COUNTA(D:D)*2,IF(MOD(ROW(J65),2)=1,INDEX(D:D,(ROW(J65)+1)/2),INDEX(F:F,ROW(J65)/2)),"")</f>
        <v>-61.9</v>
      </c>
      <c r="K65" s="17">
        <f t="array" ref="K65">IF(ROW(K65)&lt;=COUNTA(E:E)*2,IF(MOD(ROW(K65),2)=1,INDEX(E:E,(ROW(K65)+1)/2),INDEX(G:G,ROW(K65)/2)),"")</f>
        <v>45.6</v>
      </c>
    </row>
    <row r="66" spans="1:11" x14ac:dyDescent="0.25">
      <c r="A66" s="29"/>
      <c r="B66" s="25"/>
      <c r="D66" s="25">
        <f t="shared" si="8"/>
        <v>-127.9</v>
      </c>
      <c r="E66" s="13">
        <f t="shared" si="9"/>
        <v>45.7</v>
      </c>
      <c r="F66" s="25">
        <f t="shared" si="10"/>
        <v>-129.9</v>
      </c>
      <c r="G66" s="13">
        <f t="shared" si="11"/>
        <v>45.7</v>
      </c>
      <c r="J66" s="17">
        <f t="array" ref="J66">IF(ROW(J66)&lt;=COUNTA(D:D)*2,IF(MOD(ROW(J66),2)=1,INDEX(D:D,(ROW(J66)+1)/2),INDEX(F:F,ROW(J66)/2)),"")</f>
        <v>-63.9</v>
      </c>
      <c r="K66" s="17">
        <f t="array" ref="K66">IF(ROW(K66)&lt;=COUNTA(E:E)*2,IF(MOD(ROW(K66),2)=1,INDEX(E:E,(ROW(K66)+1)/2),INDEX(G:G,ROW(K66)/2)),"")</f>
        <v>45.6</v>
      </c>
    </row>
    <row r="67" spans="1:11" x14ac:dyDescent="0.25">
      <c r="A67" s="29"/>
      <c r="B67" s="25"/>
      <c r="D67" s="25">
        <f t="shared" si="8"/>
        <v>-129.9</v>
      </c>
      <c r="E67" s="13">
        <f t="shared" si="9"/>
        <v>47.58</v>
      </c>
      <c r="F67" s="25">
        <f t="shared" si="10"/>
        <v>-131.9</v>
      </c>
      <c r="G67" s="13">
        <f t="shared" si="11"/>
        <v>47.58</v>
      </c>
      <c r="J67" s="17">
        <f t="array" ref="J67">IF(ROW(J67)&lt;=COUNTA(D:D)*2,IF(MOD(ROW(J67),2)=1,INDEX(D:D,(ROW(J67)+1)/2),INDEX(F:F,ROW(J67)/2)),"")</f>
        <v>-63.9</v>
      </c>
      <c r="K67" s="17">
        <f t="array" ref="K67">IF(ROW(K67)&lt;=COUNTA(E:E)*2,IF(MOD(ROW(K67),2)=1,INDEX(E:E,(ROW(K67)+1)/2),INDEX(G:G,ROW(K67)/2)),"")</f>
        <v>46.14</v>
      </c>
    </row>
    <row r="68" spans="1:11" x14ac:dyDescent="0.25">
      <c r="A68" s="29"/>
      <c r="B68" s="25"/>
      <c r="D68" s="25">
        <f t="shared" si="8"/>
        <v>-131.9</v>
      </c>
      <c r="E68" s="13">
        <f t="shared" si="9"/>
        <v>47.16</v>
      </c>
      <c r="F68" s="25">
        <f t="shared" si="10"/>
        <v>-133.9</v>
      </c>
      <c r="G68" s="13">
        <f t="shared" si="11"/>
        <v>47.16</v>
      </c>
      <c r="J68" s="17">
        <f t="array" ref="J68">IF(ROW(J68)&lt;=COUNTA(D:D)*2,IF(MOD(ROW(J68),2)=1,INDEX(D:D,(ROW(J68)+1)/2),INDEX(F:F,ROW(J68)/2)),"")</f>
        <v>-65.9</v>
      </c>
      <c r="K68" s="17">
        <f t="array" ref="K68">IF(ROW(K68)&lt;=COUNTA(E:E)*2,IF(MOD(ROW(K68),2)=1,INDEX(E:E,(ROW(K68)+1)/2),INDEX(G:G,ROW(K68)/2)),"")</f>
        <v>46.14</v>
      </c>
    </row>
    <row r="69" spans="1:11" x14ac:dyDescent="0.25">
      <c r="A69" s="29"/>
      <c r="B69" s="25"/>
      <c r="D69" s="25">
        <f t="shared" si="8"/>
        <v>-133.9</v>
      </c>
      <c r="E69" s="13">
        <f t="shared" si="9"/>
        <v>47.56</v>
      </c>
      <c r="F69" s="25">
        <f t="shared" si="10"/>
        <v>-135.9</v>
      </c>
      <c r="G69" s="13">
        <f t="shared" si="11"/>
        <v>47.56</v>
      </c>
      <c r="J69" s="17">
        <f t="array" ref="J69">IF(ROW(J69)&lt;=COUNTA(D:D)*2,IF(MOD(ROW(J69),2)=1,INDEX(D:D,(ROW(J69)+1)/2),INDEX(F:F,ROW(J69)/2)),"")</f>
        <v>-65.9</v>
      </c>
      <c r="K69" s="17">
        <f t="array" ref="K69">IF(ROW(K69)&lt;=COUNTA(E:E)*2,IF(MOD(ROW(K69),2)=1,INDEX(E:E,(ROW(K69)+1)/2),INDEX(G:G,ROW(K69)/2)),"")</f>
        <v>45.42</v>
      </c>
    </row>
    <row r="70" spans="1:11" x14ac:dyDescent="0.25">
      <c r="A70" s="26"/>
      <c r="B70" s="25"/>
      <c r="D70" s="25">
        <f t="shared" si="8"/>
        <v>-135.9</v>
      </c>
      <c r="E70" s="13">
        <f t="shared" si="9"/>
        <v>47.1</v>
      </c>
      <c r="F70" s="25">
        <f t="shared" si="10"/>
        <v>-137.9</v>
      </c>
      <c r="G70" s="13">
        <f t="shared" si="11"/>
        <v>47.1</v>
      </c>
      <c r="J70" s="17">
        <f t="array" ref="J70">IF(ROW(J70)&lt;=COUNTA(D:D)*2,IF(MOD(ROW(J70),2)=1,INDEX(D:D,(ROW(J70)+1)/2),INDEX(F:F,ROW(J70)/2)),"")</f>
        <v>-67.9</v>
      </c>
      <c r="K70" s="17">
        <f t="array" ref="K70">IF(ROW(K70)&lt;=COUNTA(E:E)*2,IF(MOD(ROW(K70),2)=1,INDEX(E:E,(ROW(K70)+1)/2),INDEX(G:G,ROW(K70)/2)),"")</f>
        <v>45.42</v>
      </c>
    </row>
    <row r="71" spans="1:11" x14ac:dyDescent="0.25">
      <c r="A71" s="26"/>
      <c r="B71" s="25"/>
      <c r="D71" s="25">
        <f t="shared" si="8"/>
        <v>-137.9</v>
      </c>
      <c r="E71" s="13">
        <f t="shared" si="9"/>
        <v>48.46</v>
      </c>
      <c r="F71" s="25">
        <f t="shared" si="10"/>
        <v>-139.9</v>
      </c>
      <c r="G71" s="13">
        <f t="shared" si="11"/>
        <v>48.46</v>
      </c>
      <c r="J71" s="17">
        <f t="array" ref="J71">IF(ROW(J71)&lt;=COUNTA(D:D)*2,IF(MOD(ROW(J71),2)=1,INDEX(D:D,(ROW(J71)+1)/2),INDEX(F:F,ROW(J71)/2)),"")</f>
        <v>-67.9</v>
      </c>
      <c r="K71" s="17">
        <f t="array" ref="K71">IF(ROW(K71)&lt;=COUNTA(E:E)*2,IF(MOD(ROW(K71),2)=1,INDEX(E:E,(ROW(K71)+1)/2),INDEX(G:G,ROW(K71)/2)),"")</f>
        <v>46.5</v>
      </c>
    </row>
    <row r="72" spans="1:11" x14ac:dyDescent="0.25">
      <c r="A72" s="26"/>
      <c r="B72" s="25"/>
      <c r="D72" s="25">
        <f t="shared" si="8"/>
        <v>-139.9</v>
      </c>
      <c r="E72" s="13">
        <f t="shared" si="9"/>
        <v>47.66</v>
      </c>
      <c r="F72" s="25">
        <f t="shared" si="10"/>
        <v>-141.9</v>
      </c>
      <c r="G72" s="13">
        <f t="shared" si="11"/>
        <v>47.66</v>
      </c>
      <c r="J72" s="17">
        <f t="array" ref="J72">IF(ROW(J72)&lt;=COUNTA(D:D)*2,IF(MOD(ROW(J72),2)=1,INDEX(D:D,(ROW(J72)+1)/2),INDEX(F:F,ROW(J72)/2)),"")</f>
        <v>-69.9</v>
      </c>
      <c r="K72" s="17">
        <f t="array" ref="K72">IF(ROW(K72)&lt;=COUNTA(E:E)*2,IF(MOD(ROW(K72),2)=1,INDEX(E:E,(ROW(K72)+1)/2),INDEX(G:G,ROW(K72)/2)),"")</f>
        <v>46.5</v>
      </c>
    </row>
    <row r="73" spans="1:11" x14ac:dyDescent="0.25">
      <c r="A73" s="26"/>
      <c r="B73" s="25"/>
      <c r="D73" s="25">
        <f t="shared" si="8"/>
        <v>-141.9</v>
      </c>
      <c r="E73" s="13">
        <f t="shared" si="9"/>
        <v>46.86</v>
      </c>
      <c r="F73" s="25">
        <f t="shared" si="10"/>
        <v>-143.9</v>
      </c>
      <c r="G73" s="13">
        <f t="shared" si="11"/>
        <v>46.86</v>
      </c>
      <c r="J73" s="17">
        <f t="array" ref="J73">IF(ROW(J73)&lt;=COUNTA(D:D)*2,IF(MOD(ROW(J73),2)=1,INDEX(D:D,(ROW(J73)+1)/2),INDEX(F:F,ROW(J73)/2)),"")</f>
        <v>-69.9</v>
      </c>
      <c r="K73" s="17">
        <f t="array" ref="K73">IF(ROW(K73)&lt;=COUNTA(E:E)*2,IF(MOD(ROW(K73),2)=1,INDEX(E:E,(ROW(K73)+1)/2),INDEX(G:G,ROW(K73)/2)),"")</f>
        <v>47.44</v>
      </c>
    </row>
    <row r="74" spans="1:11" x14ac:dyDescent="0.25">
      <c r="A74" s="26"/>
      <c r="B74" s="25"/>
      <c r="D74" s="25">
        <f t="shared" si="8"/>
        <v>-143.9</v>
      </c>
      <c r="E74" s="13">
        <f t="shared" si="9"/>
        <v>45.64</v>
      </c>
      <c r="F74" s="25">
        <f t="shared" si="10"/>
        <v>-145.9</v>
      </c>
      <c r="G74" s="13">
        <f t="shared" si="11"/>
        <v>45.64</v>
      </c>
      <c r="J74" s="17">
        <f t="array" ref="J74">IF(ROW(J74)&lt;=COUNTA(D:D)*2,IF(MOD(ROW(J74),2)=1,INDEX(D:D,(ROW(J74)+1)/2),INDEX(F:F,ROW(J74)/2)),"")</f>
        <v>-71.9</v>
      </c>
      <c r="K74" s="17">
        <f t="array" ref="K74">IF(ROW(K74)&lt;=COUNTA(E:E)*2,IF(MOD(ROW(K74),2)=1,INDEX(E:E,(ROW(K74)+1)/2),INDEX(G:G,ROW(K74)/2)),"")</f>
        <v>47.44</v>
      </c>
    </row>
    <row r="75" spans="1:11" x14ac:dyDescent="0.25">
      <c r="A75" s="26"/>
      <c r="B75" s="25"/>
      <c r="D75" s="25">
        <f t="shared" si="8"/>
        <v>-145.9</v>
      </c>
      <c r="E75" s="13">
        <f t="shared" si="9"/>
        <v>46.94</v>
      </c>
      <c r="F75" s="25">
        <f t="shared" si="10"/>
        <v>-147.9</v>
      </c>
      <c r="G75" s="13">
        <f t="shared" si="11"/>
        <v>46.94</v>
      </c>
      <c r="J75" s="17">
        <f t="array" ref="J75">IF(ROW(J75)&lt;=COUNTA(D:D)*2,IF(MOD(ROW(J75),2)=1,INDEX(D:D,(ROW(J75)+1)/2),INDEX(F:F,ROW(J75)/2)),"")</f>
        <v>-71.9</v>
      </c>
      <c r="K75" s="17">
        <f t="array" ref="K75">IF(ROW(K75)&lt;=COUNTA(E:E)*2,IF(MOD(ROW(K75),2)=1,INDEX(E:E,(ROW(K75)+1)/2),INDEX(G:G,ROW(K75)/2)),"")</f>
        <v>46.9</v>
      </c>
    </row>
    <row r="76" spans="1:11" x14ac:dyDescent="0.25">
      <c r="A76" s="26"/>
      <c r="B76" s="25"/>
      <c r="D76" s="25">
        <f t="shared" si="8"/>
        <v>-147.9</v>
      </c>
      <c r="E76" s="13">
        <f t="shared" si="9"/>
        <v>48.36</v>
      </c>
      <c r="F76" s="25">
        <f t="shared" si="10"/>
        <v>-149.9</v>
      </c>
      <c r="G76" s="13">
        <f t="shared" si="11"/>
        <v>48.36</v>
      </c>
      <c r="J76" s="17">
        <f t="array" ref="J76">IF(ROW(J76)&lt;=COUNTA(D:D)*2,IF(MOD(ROW(J76),2)=1,INDEX(D:D,(ROW(J76)+1)/2),INDEX(F:F,ROW(J76)/2)),"")</f>
        <v>-73.9</v>
      </c>
      <c r="K76" s="17">
        <f t="array" ref="K76">IF(ROW(K76)&lt;=COUNTA(E:E)*2,IF(MOD(ROW(K76),2)=1,INDEX(E:E,(ROW(K76)+1)/2),INDEX(G:G,ROW(K76)/2)),"")</f>
        <v>46.9</v>
      </c>
    </row>
    <row r="77" spans="1:11" x14ac:dyDescent="0.25">
      <c r="A77" s="26"/>
      <c r="B77" s="25"/>
      <c r="D77" s="25">
        <f t="shared" ref="D77:D114" si="12">0-A76</f>
        <v>-149.9</v>
      </c>
      <c r="E77" s="13">
        <f t="shared" ref="E77:E114" si="13">45+(B77/100)*4</f>
        <v>46.76</v>
      </c>
      <c r="F77" s="25">
        <f t="shared" ref="F77:F114" si="14">0-A77</f>
        <v>-151.9</v>
      </c>
      <c r="G77" s="13">
        <f t="shared" ref="G77:G114" si="15">45+(B77/100)*4</f>
        <v>46.76</v>
      </c>
      <c r="J77" s="17">
        <f t="array" ref="J77">IF(ROW(J77)&lt;=COUNTA(D:D)*2,IF(MOD(ROW(J77),2)=1,INDEX(D:D,(ROW(J77)+1)/2),INDEX(F:F,ROW(J77)/2)),"")</f>
        <v>-73.9</v>
      </c>
      <c r="K77" s="17">
        <f t="array" ref="K77">IF(ROW(K77)&lt;=COUNTA(E:E)*2,IF(MOD(ROW(K77),2)=1,INDEX(E:E,(ROW(K77)+1)/2),INDEX(G:G,ROW(K77)/2)),"")</f>
        <v>47.72</v>
      </c>
    </row>
    <row r="78" spans="1:11" x14ac:dyDescent="0.25">
      <c r="A78" s="26"/>
      <c r="B78" s="25"/>
      <c r="D78" s="25">
        <f t="shared" si="12"/>
        <v>-151.9</v>
      </c>
      <c r="E78" s="13">
        <f t="shared" si="13"/>
        <v>46.36</v>
      </c>
      <c r="F78" s="25">
        <f t="shared" si="14"/>
        <v>-153.9</v>
      </c>
      <c r="G78" s="13">
        <f t="shared" si="15"/>
        <v>46.36</v>
      </c>
      <c r="J78" s="17">
        <f t="array" ref="J78">IF(ROW(J78)&lt;=COUNTA(D:D)*2,IF(MOD(ROW(J78),2)=1,INDEX(D:D,(ROW(J78)+1)/2),INDEX(F:F,ROW(J78)/2)),"")</f>
        <v>-75.9</v>
      </c>
      <c r="K78" s="17">
        <f t="array" ref="K78">IF(ROW(K78)&lt;=COUNTA(E:E)*2,IF(MOD(ROW(K78),2)=1,INDEX(E:E,(ROW(K78)+1)/2),INDEX(G:G,ROW(K78)/2)),"")</f>
        <v>47.72</v>
      </c>
    </row>
    <row r="79" spans="1:11" x14ac:dyDescent="0.25">
      <c r="A79" s="26"/>
      <c r="B79" s="25"/>
      <c r="D79" s="25">
        <f t="shared" si="12"/>
        <v>-153.9</v>
      </c>
      <c r="E79" s="13">
        <f t="shared" si="13"/>
        <v>46.9</v>
      </c>
      <c r="F79" s="25">
        <f t="shared" si="14"/>
        <v>-155.9</v>
      </c>
      <c r="G79" s="13">
        <f t="shared" si="15"/>
        <v>46.9</v>
      </c>
      <c r="J79" s="17">
        <f t="array" ref="J79">IF(ROW(J79)&lt;=COUNTA(D:D)*2,IF(MOD(ROW(J79),2)=1,INDEX(D:D,(ROW(J79)+1)/2),INDEX(F:F,ROW(J79)/2)),"")</f>
        <v>-75.9</v>
      </c>
      <c r="K79" s="17">
        <f t="array" ref="K79">IF(ROW(K79)&lt;=COUNTA(E:E)*2,IF(MOD(ROW(K79),2)=1,INDEX(E:E,(ROW(K79)+1)/2),INDEX(G:G,ROW(K79)/2)),"")</f>
        <v>48.56</v>
      </c>
    </row>
    <row r="80" spans="1:11" x14ac:dyDescent="0.25">
      <c r="A80" s="26"/>
      <c r="B80" s="25"/>
      <c r="D80" s="25">
        <f t="shared" si="12"/>
        <v>-155.9</v>
      </c>
      <c r="E80" s="13">
        <f t="shared" si="13"/>
        <v>47.54</v>
      </c>
      <c r="F80" s="25">
        <f t="shared" si="14"/>
        <v>-157.9</v>
      </c>
      <c r="G80" s="13">
        <f t="shared" si="15"/>
        <v>47.54</v>
      </c>
      <c r="J80" s="17">
        <f t="array" ref="J80">IF(ROW(J80)&lt;=COUNTA(D:D)*2,IF(MOD(ROW(J80),2)=1,INDEX(D:D,(ROW(J80)+1)/2),INDEX(F:F,ROW(J80)/2)),"")</f>
        <v>-77.9</v>
      </c>
      <c r="K80" s="17">
        <f t="array" ref="K80">IF(ROW(K80)&lt;=COUNTA(E:E)*2,IF(MOD(ROW(K80),2)=1,INDEX(E:E,(ROW(K80)+1)/2),INDEX(G:G,ROW(K80)/2)),"")</f>
        <v>48.56</v>
      </c>
    </row>
    <row r="81" spans="1:11" x14ac:dyDescent="0.25">
      <c r="A81" s="26"/>
      <c r="B81" s="25"/>
      <c r="D81" s="25">
        <f t="shared" si="12"/>
        <v>-157.9</v>
      </c>
      <c r="E81" s="13">
        <f t="shared" si="13"/>
        <v>47.4</v>
      </c>
      <c r="F81" s="25">
        <f t="shared" si="14"/>
        <v>-159.9</v>
      </c>
      <c r="G81" s="13">
        <f t="shared" si="15"/>
        <v>47.4</v>
      </c>
      <c r="J81" s="17">
        <f t="array" ref="J81">IF(ROW(J81)&lt;=COUNTA(D:D)*2,IF(MOD(ROW(J81),2)=1,INDEX(D:D,(ROW(J81)+1)/2),INDEX(F:F,ROW(J81)/2)),"")</f>
        <v>-77.9</v>
      </c>
      <c r="K81" s="17">
        <f t="array" ref="K81">IF(ROW(K81)&lt;=COUNTA(E:E)*2,IF(MOD(ROW(K81),2)=1,INDEX(E:E,(ROW(K81)+1)/2),INDEX(G:G,ROW(K81)/2)),"")</f>
        <v>46.22</v>
      </c>
    </row>
    <row r="82" spans="1:11" x14ac:dyDescent="0.25">
      <c r="A82" s="26"/>
      <c r="B82" s="25"/>
      <c r="D82" s="25">
        <f t="shared" si="12"/>
        <v>-159.9</v>
      </c>
      <c r="E82" s="13">
        <f t="shared" si="13"/>
        <v>48.34</v>
      </c>
      <c r="F82" s="25">
        <f t="shared" si="14"/>
        <v>-161.9</v>
      </c>
      <c r="G82" s="13">
        <f t="shared" si="15"/>
        <v>48.34</v>
      </c>
      <c r="J82" s="17">
        <f t="array" ref="J82">IF(ROW(J82)&lt;=COUNTA(D:D)*2,IF(MOD(ROW(J82),2)=1,INDEX(D:D,(ROW(J82)+1)/2),INDEX(F:F,ROW(J82)/2)),"")</f>
        <v>-79.9</v>
      </c>
      <c r="K82" s="17">
        <f t="array" ref="K82">IF(ROW(K82)&lt;=COUNTA(E:E)*2,IF(MOD(ROW(K82),2)=1,INDEX(E:E,(ROW(K82)+1)/2),INDEX(G:G,ROW(K82)/2)),"")</f>
        <v>46.22</v>
      </c>
    </row>
    <row r="83" spans="1:11" x14ac:dyDescent="0.25">
      <c r="A83" s="26"/>
      <c r="B83" s="25"/>
      <c r="D83" s="25">
        <f t="shared" si="12"/>
        <v>-161.9</v>
      </c>
      <c r="E83" s="13">
        <f t="shared" si="13"/>
        <v>47.54</v>
      </c>
      <c r="F83" s="25">
        <f t="shared" si="14"/>
        <v>-163.9</v>
      </c>
      <c r="G83" s="13">
        <f t="shared" si="15"/>
        <v>47.54</v>
      </c>
      <c r="J83" s="17">
        <f t="array" ref="J83">IF(ROW(J83)&lt;=COUNTA(D:D)*2,IF(MOD(ROW(J83),2)=1,INDEX(D:D,(ROW(J83)+1)/2),INDEX(F:F,ROW(J83)/2)),"")</f>
        <v>-79.9</v>
      </c>
      <c r="K83" s="17">
        <f t="array" ref="K83">IF(ROW(K83)&lt;=COUNTA(E:E)*2,IF(MOD(ROW(K83),2)=1,INDEX(E:E,(ROW(K83)+1)/2),INDEX(G:G,ROW(K83)/2)),"")</f>
        <v>45.22</v>
      </c>
    </row>
    <row r="84" spans="1:11" x14ac:dyDescent="0.25">
      <c r="A84" s="26"/>
      <c r="B84" s="25"/>
      <c r="D84" s="25">
        <f t="shared" si="12"/>
        <v>-163.9</v>
      </c>
      <c r="E84" s="13">
        <f t="shared" si="13"/>
        <v>47.7</v>
      </c>
      <c r="F84" s="25">
        <f t="shared" si="14"/>
        <v>-165.9</v>
      </c>
      <c r="G84" s="13">
        <f t="shared" si="15"/>
        <v>47.7</v>
      </c>
      <c r="J84" s="17">
        <f t="array" ref="J84">IF(ROW(J84)&lt;=COUNTA(D:D)*2,IF(MOD(ROW(J84),2)=1,INDEX(D:D,(ROW(J84)+1)/2),INDEX(F:F,ROW(J84)/2)),"")</f>
        <v>-81.9</v>
      </c>
      <c r="K84" s="17">
        <f t="array" ref="K84">IF(ROW(K84)&lt;=COUNTA(E:E)*2,IF(MOD(ROW(K84),2)=1,INDEX(E:E,(ROW(K84)+1)/2),INDEX(G:G,ROW(K84)/2)),"")</f>
        <v>45.22</v>
      </c>
    </row>
    <row r="85" spans="1:11" x14ac:dyDescent="0.25">
      <c r="A85" s="26"/>
      <c r="B85" s="25"/>
      <c r="D85" s="25">
        <f t="shared" si="12"/>
        <v>-165.9</v>
      </c>
      <c r="E85" s="13">
        <f t="shared" si="13"/>
        <v>47.86</v>
      </c>
      <c r="F85" s="25">
        <f t="shared" si="14"/>
        <v>-167.9</v>
      </c>
      <c r="G85" s="13">
        <f t="shared" si="15"/>
        <v>47.86</v>
      </c>
      <c r="J85" s="17">
        <f t="array" ref="J85">IF(ROW(J85)&lt;=COUNTA(D:D)*2,IF(MOD(ROW(J85),2)=1,INDEX(D:D,(ROW(J85)+1)/2),INDEX(F:F,ROW(J85)/2)),"")</f>
        <v>-81.9</v>
      </c>
      <c r="K85" s="17">
        <f t="array" ref="K85">IF(ROW(K85)&lt;=COUNTA(E:E)*2,IF(MOD(ROW(K85),2)=1,INDEX(E:E,(ROW(K85)+1)/2),INDEX(G:G,ROW(K85)/2)),"")</f>
        <v>45.7</v>
      </c>
    </row>
    <row r="86" spans="1:11" x14ac:dyDescent="0.25">
      <c r="A86" s="26"/>
      <c r="B86" s="25"/>
      <c r="D86" s="25">
        <f t="shared" si="12"/>
        <v>-167.9</v>
      </c>
      <c r="E86" s="13">
        <f t="shared" si="13"/>
        <v>47.7</v>
      </c>
      <c r="F86" s="25">
        <f t="shared" si="14"/>
        <v>-169.9</v>
      </c>
      <c r="G86" s="13">
        <f t="shared" si="15"/>
        <v>47.7</v>
      </c>
      <c r="J86" s="17">
        <f t="array" ref="J86">IF(ROW(J86)&lt;=COUNTA(D:D)*2,IF(MOD(ROW(J86),2)=1,INDEX(D:D,(ROW(J86)+1)/2),INDEX(F:F,ROW(J86)/2)),"")</f>
        <v>-83.9</v>
      </c>
      <c r="K86" s="17">
        <f t="array" ref="K86">IF(ROW(K86)&lt;=COUNTA(E:E)*2,IF(MOD(ROW(K86),2)=1,INDEX(E:E,(ROW(K86)+1)/2),INDEX(G:G,ROW(K86)/2)),"")</f>
        <v>45.7</v>
      </c>
    </row>
    <row r="87" spans="1:11" x14ac:dyDescent="0.25">
      <c r="A87" s="26"/>
      <c r="B87" s="25"/>
      <c r="D87" s="25">
        <f t="shared" si="12"/>
        <v>-169.9</v>
      </c>
      <c r="E87" s="13">
        <f t="shared" si="13"/>
        <v>47.68</v>
      </c>
      <c r="F87" s="25">
        <f t="shared" si="14"/>
        <v>-171.9</v>
      </c>
      <c r="G87" s="13">
        <f t="shared" si="15"/>
        <v>47.68</v>
      </c>
      <c r="J87" s="17">
        <f t="array" ref="J87">IF(ROW(J87)&lt;=COUNTA(D:D)*2,IF(MOD(ROW(J87),2)=1,INDEX(D:D,(ROW(J87)+1)/2),INDEX(F:F,ROW(J87)/2)),"")</f>
        <v>-83.9</v>
      </c>
      <c r="K87" s="17">
        <f t="array" ref="K87">IF(ROW(K87)&lt;=COUNTA(E:E)*2,IF(MOD(ROW(K87),2)=1,INDEX(E:E,(ROW(K87)+1)/2),INDEX(G:G,ROW(K87)/2)),"")</f>
        <v>45.98</v>
      </c>
    </row>
    <row r="88" spans="1:11" x14ac:dyDescent="0.25">
      <c r="A88" s="26"/>
      <c r="B88" s="25"/>
      <c r="D88" s="25">
        <f t="shared" si="12"/>
        <v>-171.9</v>
      </c>
      <c r="E88" s="13">
        <f t="shared" si="13"/>
        <v>48.24</v>
      </c>
      <c r="F88" s="25">
        <f t="shared" si="14"/>
        <v>-173.9</v>
      </c>
      <c r="G88" s="13">
        <f t="shared" si="15"/>
        <v>48.24</v>
      </c>
      <c r="J88" s="17">
        <f t="array" ref="J88">IF(ROW(J88)&lt;=COUNTA(D:D)*2,IF(MOD(ROW(J88),2)=1,INDEX(D:D,(ROW(J88)+1)/2),INDEX(F:F,ROW(J88)/2)),"")</f>
        <v>-85.9</v>
      </c>
      <c r="K88" s="17">
        <f t="array" ref="K88">IF(ROW(K88)&lt;=COUNTA(E:E)*2,IF(MOD(ROW(K88),2)=1,INDEX(E:E,(ROW(K88)+1)/2),INDEX(G:G,ROW(K88)/2)),"")</f>
        <v>45.98</v>
      </c>
    </row>
    <row r="89" spans="1:11" x14ac:dyDescent="0.25">
      <c r="A89" s="26"/>
      <c r="B89" s="25"/>
      <c r="D89" s="25">
        <f t="shared" si="12"/>
        <v>-173.9</v>
      </c>
      <c r="E89" s="13">
        <f t="shared" si="13"/>
        <v>47.02</v>
      </c>
      <c r="F89" s="25">
        <f t="shared" si="14"/>
        <v>-175.9</v>
      </c>
      <c r="G89" s="13">
        <f t="shared" si="15"/>
        <v>47.02</v>
      </c>
      <c r="J89" s="17">
        <f t="array" ref="J89">IF(ROW(J89)&lt;=COUNTA(D:D)*2,IF(MOD(ROW(J89),2)=1,INDEX(D:D,(ROW(J89)+1)/2),INDEX(F:F,ROW(J89)/2)),"")</f>
        <v>-85.9</v>
      </c>
      <c r="K89" s="17">
        <f t="array" ref="K89">IF(ROW(K89)&lt;=COUNTA(E:E)*2,IF(MOD(ROW(K89),2)=1,INDEX(E:E,(ROW(K89)+1)/2),INDEX(G:G,ROW(K89)/2)),"")</f>
        <v>47.18</v>
      </c>
    </row>
    <row r="90" spans="1:11" x14ac:dyDescent="0.25">
      <c r="A90" s="25"/>
      <c r="B90" s="25"/>
      <c r="D90" s="25">
        <f t="shared" si="12"/>
        <v>-175.9</v>
      </c>
      <c r="E90" s="13">
        <f t="shared" si="13"/>
        <v>47.82</v>
      </c>
      <c r="F90" s="25">
        <f t="shared" si="14"/>
        <v>-177.9</v>
      </c>
      <c r="G90" s="13">
        <f t="shared" si="15"/>
        <v>47.82</v>
      </c>
      <c r="J90" s="17">
        <f t="array" ref="J90">IF(ROW(J90)&lt;=COUNTA(D:D)*2,IF(MOD(ROW(J90),2)=1,INDEX(D:D,(ROW(J90)+1)/2),INDEX(F:F,ROW(J90)/2)),"")</f>
        <v>-87.9</v>
      </c>
      <c r="K90" s="17">
        <f t="array" ref="K90">IF(ROW(K90)&lt;=COUNTA(E:E)*2,IF(MOD(ROW(K90),2)=1,INDEX(E:E,(ROW(K90)+1)/2),INDEX(G:G,ROW(K90)/2)),"")</f>
        <v>47.18</v>
      </c>
    </row>
    <row r="91" spans="1:11" x14ac:dyDescent="0.25">
      <c r="A91" s="25"/>
      <c r="B91" s="25"/>
      <c r="D91" s="25">
        <f t="shared" si="12"/>
        <v>-177.9</v>
      </c>
      <c r="E91" s="13">
        <f t="shared" si="13"/>
        <v>47.42</v>
      </c>
      <c r="F91" s="25">
        <f t="shared" si="14"/>
        <v>-179.9</v>
      </c>
      <c r="G91" s="13">
        <f t="shared" si="15"/>
        <v>47.42</v>
      </c>
      <c r="J91" s="17">
        <f t="array" ref="J91">IF(ROW(J91)&lt;=COUNTA(D:D)*2,IF(MOD(ROW(J91),2)=1,INDEX(D:D,(ROW(J91)+1)/2),INDEX(F:F,ROW(J91)/2)),"")</f>
        <v>-87.9</v>
      </c>
      <c r="K91" s="17">
        <f t="array" ref="K91">IF(ROW(K91)&lt;=COUNTA(E:E)*2,IF(MOD(ROW(K91),2)=1,INDEX(E:E,(ROW(K91)+1)/2),INDEX(G:G,ROW(K91)/2)),"")</f>
        <v>47.22</v>
      </c>
    </row>
    <row r="92" spans="1:11" x14ac:dyDescent="0.25">
      <c r="A92" s="25"/>
      <c r="B92" s="25"/>
      <c r="D92" s="25">
        <f t="shared" si="12"/>
        <v>-179.9</v>
      </c>
      <c r="E92" s="13">
        <f t="shared" si="13"/>
        <v>48.12</v>
      </c>
      <c r="F92" s="25">
        <f t="shared" si="14"/>
        <v>-181.9</v>
      </c>
      <c r="G92" s="13">
        <f t="shared" si="15"/>
        <v>48.12</v>
      </c>
      <c r="J92" s="17">
        <f t="array" ref="J92">IF(ROW(J92)&lt;=COUNTA(D:D)*2,IF(MOD(ROW(J92),2)=1,INDEX(D:D,(ROW(J92)+1)/2),INDEX(F:F,ROW(J92)/2)),"")</f>
        <v>-89.9</v>
      </c>
      <c r="K92" s="17">
        <f t="array" ref="K92">IF(ROW(K92)&lt;=COUNTA(E:E)*2,IF(MOD(ROW(K92),2)=1,INDEX(E:E,(ROW(K92)+1)/2),INDEX(G:G,ROW(K92)/2)),"")</f>
        <v>47.22</v>
      </c>
    </row>
    <row r="93" spans="1:11" x14ac:dyDescent="0.25">
      <c r="A93" s="25"/>
      <c r="B93" s="25"/>
      <c r="D93" s="25">
        <f t="shared" si="12"/>
        <v>-181.9</v>
      </c>
      <c r="E93" s="13">
        <f t="shared" si="13"/>
        <v>48.58</v>
      </c>
      <c r="F93" s="25">
        <f t="shared" si="14"/>
        <v>-183.9</v>
      </c>
      <c r="G93" s="13">
        <f t="shared" si="15"/>
        <v>48.58</v>
      </c>
      <c r="J93" s="17">
        <f t="array" ref="J93">IF(ROW(J93)&lt;=COUNTA(D:D)*2,IF(MOD(ROW(J93),2)=1,INDEX(D:D,(ROW(J93)+1)/2),INDEX(F:F,ROW(J93)/2)),"")</f>
        <v>-89.9</v>
      </c>
      <c r="K93" s="17">
        <f t="array" ref="K93">IF(ROW(K93)&lt;=COUNTA(E:E)*2,IF(MOD(ROW(K93),2)=1,INDEX(E:E,(ROW(K93)+1)/2),INDEX(G:G,ROW(K93)/2)),"")</f>
        <v>48.22</v>
      </c>
    </row>
    <row r="94" spans="1:11" x14ac:dyDescent="0.25">
      <c r="A94" s="25"/>
      <c r="B94" s="25"/>
      <c r="D94" s="25">
        <f t="shared" si="12"/>
        <v>-183.9</v>
      </c>
      <c r="E94" s="13">
        <f t="shared" si="13"/>
        <v>48.66</v>
      </c>
      <c r="F94" s="25">
        <f t="shared" si="14"/>
        <v>-185.9</v>
      </c>
      <c r="G94" s="13">
        <f t="shared" si="15"/>
        <v>48.66</v>
      </c>
      <c r="J94" s="17">
        <f t="array" ref="J94">IF(ROW(J94)&lt;=COUNTA(D:D)*2,IF(MOD(ROW(J94),2)=1,INDEX(D:D,(ROW(J94)+1)/2),INDEX(F:F,ROW(J94)/2)),"")</f>
        <v>-91.9</v>
      </c>
      <c r="K94" s="17">
        <f t="array" ref="K94">IF(ROW(K94)&lt;=COUNTA(E:E)*2,IF(MOD(ROW(K94),2)=1,INDEX(E:E,(ROW(K94)+1)/2),INDEX(G:G,ROW(K94)/2)),"")</f>
        <v>48.22</v>
      </c>
    </row>
    <row r="95" spans="1:11" x14ac:dyDescent="0.25">
      <c r="A95" s="25"/>
      <c r="B95" s="25"/>
      <c r="D95" s="25">
        <f t="shared" si="12"/>
        <v>-185.9</v>
      </c>
      <c r="E95" s="13">
        <f t="shared" si="13"/>
        <v>48.64</v>
      </c>
      <c r="F95" s="25">
        <f t="shared" si="14"/>
        <v>-187.9</v>
      </c>
      <c r="G95" s="13">
        <f t="shared" si="15"/>
        <v>48.64</v>
      </c>
      <c r="J95" s="17">
        <f t="array" ref="J95">IF(ROW(J95)&lt;=COUNTA(D:D)*2,IF(MOD(ROW(J95),2)=1,INDEX(D:D,(ROW(J95)+1)/2),INDEX(F:F,ROW(J95)/2)),"")</f>
        <v>-91.9</v>
      </c>
      <c r="K95" s="17">
        <f t="array" ref="K95">IF(ROW(K95)&lt;=COUNTA(E:E)*2,IF(MOD(ROW(K95),2)=1,INDEX(E:E,(ROW(K95)+1)/2),INDEX(G:G,ROW(K95)/2)),"")</f>
        <v>47.84</v>
      </c>
    </row>
    <row r="96" spans="1:11" x14ac:dyDescent="0.25">
      <c r="A96" s="25"/>
      <c r="B96" s="25"/>
      <c r="D96" s="25">
        <f t="shared" si="12"/>
        <v>-187.9</v>
      </c>
      <c r="E96" s="13">
        <f t="shared" si="13"/>
        <v>48.26</v>
      </c>
      <c r="F96" s="25">
        <f t="shared" si="14"/>
        <v>-189.9</v>
      </c>
      <c r="G96" s="13">
        <f t="shared" si="15"/>
        <v>48.26</v>
      </c>
      <c r="J96" s="17">
        <f t="array" ref="J96">IF(ROW(J96)&lt;=COUNTA(D:D)*2,IF(MOD(ROW(J96),2)=1,INDEX(D:D,(ROW(J96)+1)/2),INDEX(F:F,ROW(J96)/2)),"")</f>
        <v>-93.9</v>
      </c>
      <c r="K96" s="17">
        <f t="array" ref="K96">IF(ROW(K96)&lt;=COUNTA(E:E)*2,IF(MOD(ROW(K96),2)=1,INDEX(E:E,(ROW(K96)+1)/2),INDEX(G:G,ROW(K96)/2)),"")</f>
        <v>47.84</v>
      </c>
    </row>
    <row r="97" spans="1:11" x14ac:dyDescent="0.25">
      <c r="A97" s="25"/>
      <c r="B97" s="25"/>
      <c r="D97" s="25">
        <f t="shared" si="12"/>
        <v>-189.9</v>
      </c>
      <c r="E97" s="13">
        <f t="shared" si="13"/>
        <v>48.3</v>
      </c>
      <c r="F97" s="25">
        <f t="shared" si="14"/>
        <v>-191.9</v>
      </c>
      <c r="G97" s="13">
        <f t="shared" si="15"/>
        <v>48.3</v>
      </c>
      <c r="J97" s="17">
        <f t="array" ref="J97">IF(ROW(J97)&lt;=COUNTA(D:D)*2,IF(MOD(ROW(J97),2)=1,INDEX(D:D,(ROW(J97)+1)/2),INDEX(F:F,ROW(J97)/2)),"")</f>
        <v>-93.9</v>
      </c>
      <c r="K97" s="17">
        <f t="array" ref="K97">IF(ROW(K97)&lt;=COUNTA(E:E)*2,IF(MOD(ROW(K97),2)=1,INDEX(E:E,(ROW(K97)+1)/2),INDEX(G:G,ROW(K97)/2)),"")</f>
        <v>46.24</v>
      </c>
    </row>
    <row r="98" spans="1:11" x14ac:dyDescent="0.25">
      <c r="A98" s="25"/>
      <c r="B98" s="25"/>
      <c r="D98" s="25">
        <f t="shared" si="12"/>
        <v>-191.9</v>
      </c>
      <c r="E98" s="13">
        <f t="shared" si="13"/>
        <v>48.3</v>
      </c>
      <c r="F98" s="25">
        <f t="shared" si="14"/>
        <v>-193.9</v>
      </c>
      <c r="G98" s="13">
        <f t="shared" si="15"/>
        <v>48.3</v>
      </c>
      <c r="J98" s="17">
        <f t="array" ref="J98">IF(ROW(J98)&lt;=COUNTA(D:D)*2,IF(MOD(ROW(J98),2)=1,INDEX(D:D,(ROW(J98)+1)/2),INDEX(F:F,ROW(J98)/2)),"")</f>
        <v>-95.9</v>
      </c>
      <c r="K98" s="17">
        <f t="array" ref="K98">IF(ROW(K98)&lt;=COUNTA(E:E)*2,IF(MOD(ROW(K98),2)=1,INDEX(E:E,(ROW(K98)+1)/2),INDEX(G:G,ROW(K98)/2)),"")</f>
        <v>46.24</v>
      </c>
    </row>
    <row r="99" spans="1:11" x14ac:dyDescent="0.25">
      <c r="A99" s="25"/>
      <c r="B99" s="25"/>
      <c r="D99" s="25">
        <f t="shared" si="12"/>
        <v>-193.9</v>
      </c>
      <c r="E99" s="13">
        <f t="shared" si="13"/>
        <v>47.96</v>
      </c>
      <c r="F99" s="25">
        <f t="shared" si="14"/>
        <v>-195.9</v>
      </c>
      <c r="G99" s="13">
        <f t="shared" si="15"/>
        <v>47.96</v>
      </c>
      <c r="J99" s="17">
        <f t="array" ref="J99">IF(ROW(J99)&lt;=COUNTA(D:D)*2,IF(MOD(ROW(J99),2)=1,INDEX(D:D,(ROW(J99)+1)/2),INDEX(F:F,ROW(J99)/2)),"")</f>
        <v>-95.9</v>
      </c>
      <c r="K99" s="17">
        <f t="array" ref="K99">IF(ROW(K99)&lt;=COUNTA(E:E)*2,IF(MOD(ROW(K99),2)=1,INDEX(E:E,(ROW(K99)+1)/2),INDEX(G:G,ROW(K99)/2)),"")</f>
        <v>47.9</v>
      </c>
    </row>
    <row r="100" spans="1:11" x14ac:dyDescent="0.25">
      <c r="A100" s="25"/>
      <c r="B100" s="25"/>
      <c r="D100" s="25">
        <f t="shared" si="12"/>
        <v>-195.9</v>
      </c>
      <c r="E100" s="13">
        <f t="shared" si="13"/>
        <v>47.88</v>
      </c>
      <c r="F100" s="25">
        <f t="shared" si="14"/>
        <v>-197.9</v>
      </c>
      <c r="G100" s="13">
        <f t="shared" si="15"/>
        <v>47.88</v>
      </c>
      <c r="J100" s="17">
        <f t="array" ref="J100">IF(ROW(J100)&lt;=COUNTA(D:D)*2,IF(MOD(ROW(J100),2)=1,INDEX(D:D,(ROW(J100)+1)/2),INDEX(F:F,ROW(J100)/2)),"")</f>
        <v>-97.9</v>
      </c>
      <c r="K100" s="17">
        <f t="array" ref="K100">IF(ROW(K100)&lt;=COUNTA(E:E)*2,IF(MOD(ROW(K100),2)=1,INDEX(E:E,(ROW(K100)+1)/2),INDEX(G:G,ROW(K100)/2)),"")</f>
        <v>47.9</v>
      </c>
    </row>
    <row r="101" spans="1:11" x14ac:dyDescent="0.25">
      <c r="A101" s="25"/>
      <c r="B101" s="25"/>
      <c r="D101" s="25">
        <f t="shared" si="12"/>
        <v>-197.9</v>
      </c>
      <c r="E101" s="13">
        <f t="shared" si="13"/>
        <v>48.46</v>
      </c>
      <c r="F101" s="25">
        <f t="shared" si="14"/>
        <v>-199.9</v>
      </c>
      <c r="G101" s="13">
        <f t="shared" si="15"/>
        <v>48.46</v>
      </c>
      <c r="J101" s="17">
        <f t="array" ref="J101">IF(ROW(J101)&lt;=COUNTA(D:D)*2,IF(MOD(ROW(J101),2)=1,INDEX(D:D,(ROW(J101)+1)/2),INDEX(F:F,ROW(J101)/2)),"")</f>
        <v>-97.9</v>
      </c>
      <c r="K101" s="17">
        <f t="array" ref="K101">IF(ROW(K101)&lt;=COUNTA(E:E)*2,IF(MOD(ROW(K101),2)=1,INDEX(E:E,(ROW(K101)+1)/2),INDEX(G:G,ROW(K101)/2)),"")</f>
        <v>48.32</v>
      </c>
    </row>
    <row r="102" spans="1:11" x14ac:dyDescent="0.25">
      <c r="A102" s="25"/>
      <c r="B102" s="25"/>
      <c r="D102" s="25">
        <f t="shared" si="12"/>
        <v>-199.9</v>
      </c>
      <c r="E102" s="13">
        <f t="shared" si="13"/>
        <v>48.26</v>
      </c>
      <c r="F102" s="25">
        <f t="shared" si="14"/>
        <v>-201.9</v>
      </c>
      <c r="G102" s="13">
        <f t="shared" si="15"/>
        <v>48.26</v>
      </c>
      <c r="J102" s="17">
        <f t="array" ref="J102">IF(ROW(J102)&lt;=COUNTA(D:D)*2,IF(MOD(ROW(J102),2)=1,INDEX(D:D,(ROW(J102)+1)/2),INDEX(F:F,ROW(J102)/2)),"")</f>
        <v>-99.9</v>
      </c>
      <c r="K102" s="17">
        <f t="array" ref="K102">IF(ROW(K102)&lt;=COUNTA(E:E)*2,IF(MOD(ROW(K102),2)=1,INDEX(E:E,(ROW(K102)+1)/2),INDEX(G:G,ROW(K102)/2)),"")</f>
        <v>48.32</v>
      </c>
    </row>
    <row r="103" spans="1:11" x14ac:dyDescent="0.25">
      <c r="A103" s="25"/>
      <c r="B103" s="25"/>
      <c r="D103" s="25">
        <f t="shared" si="12"/>
        <v>-201.9</v>
      </c>
      <c r="E103" s="13">
        <f t="shared" si="13"/>
        <v>48.24</v>
      </c>
      <c r="F103" s="25">
        <f t="shared" si="14"/>
        <v>-203.9</v>
      </c>
      <c r="G103" s="13">
        <f t="shared" si="15"/>
        <v>48.24</v>
      </c>
      <c r="J103" s="17">
        <f t="array" ref="J103">IF(ROW(J103)&lt;=COUNTA(D:D)*2,IF(MOD(ROW(J103),2)=1,INDEX(D:D,(ROW(J103)+1)/2),INDEX(F:F,ROW(J103)/2)),"")</f>
        <v>-99.9</v>
      </c>
      <c r="K103" s="17">
        <f t="array" ref="K103">IF(ROW(K103)&lt;=COUNTA(E:E)*2,IF(MOD(ROW(K103),2)=1,INDEX(E:E,(ROW(K103)+1)/2),INDEX(G:G,ROW(K103)/2)),"")</f>
        <v>48.46</v>
      </c>
    </row>
    <row r="104" spans="1:11" x14ac:dyDescent="0.25">
      <c r="A104" s="25"/>
      <c r="B104" s="25"/>
      <c r="D104" s="25">
        <f t="shared" si="12"/>
        <v>-203.9</v>
      </c>
      <c r="E104" s="13">
        <f t="shared" si="13"/>
        <v>46.38</v>
      </c>
      <c r="F104" s="25">
        <f t="shared" si="14"/>
        <v>-205.9</v>
      </c>
      <c r="G104" s="13">
        <f t="shared" si="15"/>
        <v>46.38</v>
      </c>
      <c r="J104" s="17">
        <f t="array" ref="J104">IF(ROW(J104)&lt;=COUNTA(D:D)*2,IF(MOD(ROW(J104),2)=1,INDEX(D:D,(ROW(J104)+1)/2),INDEX(F:F,ROW(J104)/2)),"")</f>
        <v>-101.9</v>
      </c>
      <c r="K104" s="17">
        <f t="array" ref="K104">IF(ROW(K104)&lt;=COUNTA(E:E)*2,IF(MOD(ROW(K104),2)=1,INDEX(E:E,(ROW(K104)+1)/2),INDEX(G:G,ROW(K104)/2)),"")</f>
        <v>48.46</v>
      </c>
    </row>
    <row r="105" spans="1:11" x14ac:dyDescent="0.25">
      <c r="A105" s="25"/>
      <c r="B105" s="25"/>
      <c r="D105" s="25">
        <f t="shared" si="12"/>
        <v>-205.9</v>
      </c>
      <c r="E105" s="13">
        <f t="shared" si="13"/>
        <v>47.24</v>
      </c>
      <c r="F105" s="25">
        <f t="shared" si="14"/>
        <v>-207.9</v>
      </c>
      <c r="G105" s="13">
        <f t="shared" si="15"/>
        <v>47.24</v>
      </c>
      <c r="J105" s="17">
        <f t="array" ref="J105">IF(ROW(J105)&lt;=COUNTA(D:D)*2,IF(MOD(ROW(J105),2)=1,INDEX(D:D,(ROW(J105)+1)/2),INDEX(F:F,ROW(J105)/2)),"")</f>
        <v>-101.9</v>
      </c>
      <c r="K105" s="17">
        <f t="array" ref="K105">IF(ROW(K105)&lt;=COUNTA(E:E)*2,IF(MOD(ROW(K105),2)=1,INDEX(E:E,(ROW(K105)+1)/2),INDEX(G:G,ROW(K105)/2)),"")</f>
        <v>47.16</v>
      </c>
    </row>
    <row r="106" spans="1:11" x14ac:dyDescent="0.25">
      <c r="A106" s="25"/>
      <c r="B106" s="25"/>
      <c r="D106" s="25">
        <f t="shared" si="12"/>
        <v>-207.9</v>
      </c>
      <c r="E106" s="13">
        <f t="shared" si="13"/>
        <v>47.02</v>
      </c>
      <c r="F106" s="25">
        <f t="shared" si="14"/>
        <v>-209.9</v>
      </c>
      <c r="G106" s="13">
        <f t="shared" si="15"/>
        <v>47.02</v>
      </c>
      <c r="J106" s="17">
        <f t="array" ref="J106">IF(ROW(J106)&lt;=COUNTA(D:D)*2,IF(MOD(ROW(J106),2)=1,INDEX(D:D,(ROW(J106)+1)/2),INDEX(F:F,ROW(J106)/2)),"")</f>
        <v>-103.9</v>
      </c>
      <c r="K106" s="17">
        <f t="array" ref="K106">IF(ROW(K106)&lt;=COUNTA(E:E)*2,IF(MOD(ROW(K106),2)=1,INDEX(E:E,(ROW(K106)+1)/2),INDEX(G:G,ROW(K106)/2)),"")</f>
        <v>47.16</v>
      </c>
    </row>
    <row r="107" spans="1:11" x14ac:dyDescent="0.25">
      <c r="A107" s="25"/>
      <c r="B107" s="25"/>
      <c r="D107" s="25">
        <f t="shared" si="12"/>
        <v>-209.9</v>
      </c>
      <c r="E107" s="13">
        <f t="shared" si="13"/>
        <v>47.28</v>
      </c>
      <c r="F107" s="25">
        <f t="shared" si="14"/>
        <v>-211.9</v>
      </c>
      <c r="G107" s="13">
        <f t="shared" si="15"/>
        <v>47.28</v>
      </c>
      <c r="J107" s="17">
        <f t="array" ref="J107">IF(ROW(J107)&lt;=COUNTA(D:D)*2,IF(MOD(ROW(J107),2)=1,INDEX(D:D,(ROW(J107)+1)/2),INDEX(F:F,ROW(J107)/2)),"")</f>
        <v>-103.9</v>
      </c>
      <c r="K107" s="17">
        <f t="array" ref="K107">IF(ROW(K107)&lt;=COUNTA(E:E)*2,IF(MOD(ROW(K107),2)=1,INDEX(E:E,(ROW(K107)+1)/2),INDEX(G:G,ROW(K107)/2)),"")</f>
        <v>47.48</v>
      </c>
    </row>
    <row r="108" spans="1:11" x14ac:dyDescent="0.25">
      <c r="A108" s="25"/>
      <c r="B108" s="25"/>
      <c r="D108" s="25">
        <f t="shared" si="12"/>
        <v>-211.9</v>
      </c>
      <c r="E108" s="13">
        <f t="shared" si="13"/>
        <v>47.36</v>
      </c>
      <c r="F108" s="25">
        <f t="shared" si="14"/>
        <v>-213.9</v>
      </c>
      <c r="G108" s="13">
        <f t="shared" si="15"/>
        <v>47.36</v>
      </c>
      <c r="J108" s="17">
        <f t="array" ref="J108">IF(ROW(J108)&lt;=COUNTA(D:D)*2,IF(MOD(ROW(J108),2)=1,INDEX(D:D,(ROW(J108)+1)/2),INDEX(F:F,ROW(J108)/2)),"")</f>
        <v>-105.9</v>
      </c>
      <c r="K108" s="17">
        <f t="array" ref="K108">IF(ROW(K108)&lt;=COUNTA(E:E)*2,IF(MOD(ROW(K108),2)=1,INDEX(E:E,(ROW(K108)+1)/2),INDEX(G:G,ROW(K108)/2)),"")</f>
        <v>47.48</v>
      </c>
    </row>
    <row r="109" spans="1:11" x14ac:dyDescent="0.25">
      <c r="A109" s="25"/>
      <c r="B109" s="25"/>
      <c r="D109" s="25">
        <f t="shared" si="12"/>
        <v>-213.9</v>
      </c>
      <c r="E109" s="13">
        <f t="shared" si="13"/>
        <v>47.84</v>
      </c>
      <c r="F109" s="25">
        <f t="shared" si="14"/>
        <v>-215.9</v>
      </c>
      <c r="G109" s="13">
        <f t="shared" si="15"/>
        <v>47.84</v>
      </c>
      <c r="J109" s="17">
        <f t="array" ref="J109">IF(ROW(J109)&lt;=COUNTA(D:D)*2,IF(MOD(ROW(J109),2)=1,INDEX(D:D,(ROW(J109)+1)/2),INDEX(F:F,ROW(J109)/2)),"")</f>
        <v>-105.9</v>
      </c>
      <c r="K109" s="17">
        <f t="array" ref="K109">IF(ROW(K109)&lt;=COUNTA(E:E)*2,IF(MOD(ROW(K109),2)=1,INDEX(E:E,(ROW(K109)+1)/2),INDEX(G:G,ROW(K109)/2)),"")</f>
        <v>48.02</v>
      </c>
    </row>
    <row r="110" spans="1:11" x14ac:dyDescent="0.25">
      <c r="A110" s="25"/>
      <c r="B110" s="25"/>
      <c r="D110" s="25">
        <f t="shared" si="12"/>
        <v>-215.9</v>
      </c>
      <c r="E110" s="13">
        <f t="shared" si="13"/>
        <v>47.94</v>
      </c>
      <c r="F110" s="25">
        <f t="shared" si="14"/>
        <v>-217.9</v>
      </c>
      <c r="G110" s="13">
        <f t="shared" si="15"/>
        <v>47.94</v>
      </c>
      <c r="J110" s="17">
        <f t="array" ref="J110">IF(ROW(J110)&lt;=COUNTA(D:D)*2,IF(MOD(ROW(J110),2)=1,INDEX(D:D,(ROW(J110)+1)/2),INDEX(F:F,ROW(J110)/2)),"")</f>
        <v>-107.9</v>
      </c>
      <c r="K110" s="17">
        <f t="array" ref="K110">IF(ROW(K110)&lt;=COUNTA(E:E)*2,IF(MOD(ROW(K110),2)=1,INDEX(E:E,(ROW(K110)+1)/2),INDEX(G:G,ROW(K110)/2)),"")</f>
        <v>48.02</v>
      </c>
    </row>
    <row r="111" spans="1:11" x14ac:dyDescent="0.25">
      <c r="A111" s="25"/>
      <c r="B111" s="25"/>
      <c r="D111" s="25">
        <f t="shared" si="12"/>
        <v>-217.9</v>
      </c>
      <c r="E111" s="13">
        <f t="shared" si="13"/>
        <v>48.46</v>
      </c>
      <c r="F111" s="25">
        <f t="shared" si="14"/>
        <v>-219.9</v>
      </c>
      <c r="G111" s="13">
        <f t="shared" si="15"/>
        <v>48.46</v>
      </c>
      <c r="J111" s="17">
        <f t="array" ref="J111">IF(ROW(J111)&lt;=COUNTA(D:D)*2,IF(MOD(ROW(J111),2)=1,INDEX(D:D,(ROW(J111)+1)/2),INDEX(F:F,ROW(J111)/2)),"")</f>
        <v>-107.9</v>
      </c>
      <c r="K111" s="17">
        <f t="array" ref="K111">IF(ROW(K111)&lt;=COUNTA(E:E)*2,IF(MOD(ROW(K111),2)=1,INDEX(E:E,(ROW(K111)+1)/2),INDEX(G:G,ROW(K111)/2)),"")</f>
        <v>46.82</v>
      </c>
    </row>
    <row r="112" spans="1:11" x14ac:dyDescent="0.25">
      <c r="A112" s="25"/>
      <c r="B112" s="25"/>
      <c r="D112" s="25">
        <f t="shared" si="12"/>
        <v>-219.9</v>
      </c>
      <c r="E112" s="13">
        <f t="shared" si="13"/>
        <v>48.16</v>
      </c>
      <c r="F112" s="25">
        <f t="shared" si="14"/>
        <v>-221.9</v>
      </c>
      <c r="G112" s="13">
        <f t="shared" si="15"/>
        <v>48.16</v>
      </c>
      <c r="J112" s="17">
        <f t="array" ref="J112">IF(ROW(J112)&lt;=COUNTA(D:D)*2,IF(MOD(ROW(J112),2)=1,INDEX(D:D,(ROW(J112)+1)/2),INDEX(F:F,ROW(J112)/2)),"")</f>
        <v>-109.9</v>
      </c>
      <c r="K112" s="17">
        <f t="array" ref="K112">IF(ROW(K112)&lt;=COUNTA(E:E)*2,IF(MOD(ROW(K112),2)=1,INDEX(E:E,(ROW(K112)+1)/2),INDEX(G:G,ROW(K112)/2)),"")</f>
        <v>46.82</v>
      </c>
    </row>
    <row r="113" spans="1:11" x14ac:dyDescent="0.25">
      <c r="A113" s="25"/>
      <c r="B113" s="25"/>
      <c r="D113" s="25">
        <f t="shared" si="12"/>
        <v>-221.9</v>
      </c>
      <c r="E113" s="13">
        <f t="shared" si="13"/>
        <v>47.24</v>
      </c>
      <c r="F113" s="25">
        <f t="shared" si="14"/>
        <v>-223.9</v>
      </c>
      <c r="G113" s="13">
        <f t="shared" si="15"/>
        <v>47.24</v>
      </c>
      <c r="J113" s="17">
        <f t="array" ref="J113">IF(ROW(J113)&lt;=COUNTA(D:D)*2,IF(MOD(ROW(J113),2)=1,INDEX(D:D,(ROW(J113)+1)/2),INDEX(F:F,ROW(J113)/2)),"")</f>
        <v>-109.9</v>
      </c>
      <c r="K113" s="17">
        <f t="array" ref="K113">IF(ROW(K113)&lt;=COUNTA(E:E)*2,IF(MOD(ROW(K113),2)=1,INDEX(E:E,(ROW(K113)+1)/2),INDEX(G:G,ROW(K113)/2)),"")</f>
        <v>46.26</v>
      </c>
    </row>
    <row r="114" spans="1:11" x14ac:dyDescent="0.25">
      <c r="A114" s="25"/>
      <c r="B114" s="25"/>
      <c r="D114" s="25">
        <f t="shared" si="12"/>
        <v>-223.9</v>
      </c>
      <c r="E114" s="13">
        <f t="shared" si="13"/>
        <v>48.1</v>
      </c>
      <c r="F114" s="25">
        <f t="shared" si="14"/>
        <v>-225.9</v>
      </c>
      <c r="G114" s="13">
        <f t="shared" si="15"/>
        <v>48.1</v>
      </c>
      <c r="J114" s="17">
        <f t="array" ref="J114">IF(ROW(J114)&lt;=COUNTA(D:D)*2,IF(MOD(ROW(J114),2)=1,INDEX(D:D,(ROW(J114)+1)/2),INDEX(F:F,ROW(J114)/2)),"")</f>
        <v>-111.9</v>
      </c>
      <c r="K114" s="17">
        <f t="array" ref="K114">IF(ROW(K114)&lt;=COUNTA(E:E)*2,IF(MOD(ROW(K114),2)=1,INDEX(E:E,(ROW(K114)+1)/2),INDEX(G:G,ROW(K114)/2)),"")</f>
        <v>46.26</v>
      </c>
    </row>
    <row r="115" spans="1:11" x14ac:dyDescent="0.25">
      <c r="A115" s="25"/>
      <c r="B115" s="25"/>
      <c r="D115" s="25">
        <f t="shared" ref="D115:D146" si="16">0-A114</f>
        <v>-225.9</v>
      </c>
      <c r="E115" s="13">
        <f t="shared" ref="E115:E146" si="17">45+(B115/100)*4</f>
        <v>48.12</v>
      </c>
      <c r="F115" s="25">
        <f t="shared" ref="F115:F146" si="18">0-A115</f>
        <v>-227.9</v>
      </c>
      <c r="G115" s="13">
        <f t="shared" ref="G115:G146" si="19">45+(B115/100)*4</f>
        <v>48.12</v>
      </c>
      <c r="J115" s="17">
        <f t="array" ref="J115">IF(ROW(J115)&lt;=COUNTA(D:D)*2,IF(MOD(ROW(J115),2)=1,INDEX(D:D,(ROW(J115)+1)/2),INDEX(F:F,ROW(J115)/2)),"")</f>
        <v>-111.9</v>
      </c>
      <c r="K115" s="17">
        <f t="array" ref="K115">IF(ROW(K115)&lt;=COUNTA(E:E)*2,IF(MOD(ROW(K115),2)=1,INDEX(E:E,(ROW(K115)+1)/2),INDEX(G:G,ROW(K115)/2)),"")</f>
        <v>47.12</v>
      </c>
    </row>
    <row r="116" spans="1:11" x14ac:dyDescent="0.25">
      <c r="A116" s="25"/>
      <c r="B116" s="25"/>
      <c r="D116" s="25">
        <f t="shared" si="16"/>
        <v>-227.9</v>
      </c>
      <c r="E116" s="13">
        <f t="shared" si="17"/>
        <v>48.6</v>
      </c>
      <c r="F116" s="25">
        <f t="shared" si="18"/>
        <v>-229.9</v>
      </c>
      <c r="G116" s="13">
        <f t="shared" si="19"/>
        <v>48.6</v>
      </c>
      <c r="J116" s="17">
        <f t="array" ref="J116">IF(ROW(J116)&lt;=COUNTA(D:D)*2,IF(MOD(ROW(J116),2)=1,INDEX(D:D,(ROW(J116)+1)/2),INDEX(F:F,ROW(J116)/2)),"")</f>
        <v>-113.9</v>
      </c>
      <c r="K116" s="17">
        <f t="array" ref="K116">IF(ROW(K116)&lt;=COUNTA(E:E)*2,IF(MOD(ROW(K116),2)=1,INDEX(E:E,(ROW(K116)+1)/2),INDEX(G:G,ROW(K116)/2)),"")</f>
        <v>47.12</v>
      </c>
    </row>
    <row r="117" spans="1:11" x14ac:dyDescent="0.25">
      <c r="A117" s="25"/>
      <c r="B117" s="25"/>
      <c r="D117" s="25">
        <f t="shared" si="16"/>
        <v>-229.9</v>
      </c>
      <c r="E117" s="13">
        <f t="shared" si="17"/>
        <v>48.22</v>
      </c>
      <c r="F117" s="25">
        <f t="shared" si="18"/>
        <v>-231.9</v>
      </c>
      <c r="G117" s="13">
        <f t="shared" si="19"/>
        <v>48.22</v>
      </c>
      <c r="J117" s="17">
        <f t="array" ref="J117">IF(ROW(J117)&lt;=COUNTA(D:D)*2,IF(MOD(ROW(J117),2)=1,INDEX(D:D,(ROW(J117)+1)/2),INDEX(F:F,ROW(J117)/2)),"")</f>
        <v>-113.9</v>
      </c>
      <c r="K117" s="17">
        <f t="array" ref="K117">IF(ROW(K117)&lt;=COUNTA(E:E)*2,IF(MOD(ROW(K117),2)=1,INDEX(E:E,(ROW(K117)+1)/2),INDEX(G:G,ROW(K117)/2)),"")</f>
        <v>45</v>
      </c>
    </row>
    <row r="118" spans="1:11" x14ac:dyDescent="0.25">
      <c r="A118" s="25"/>
      <c r="B118" s="25"/>
      <c r="D118" s="25">
        <f t="shared" si="16"/>
        <v>-231.9</v>
      </c>
      <c r="E118" s="13">
        <f t="shared" si="17"/>
        <v>48.48</v>
      </c>
      <c r="F118" s="25">
        <f t="shared" si="18"/>
        <v>-233.9</v>
      </c>
      <c r="G118" s="13">
        <f t="shared" si="19"/>
        <v>48.48</v>
      </c>
      <c r="J118" s="17">
        <f t="array" ref="J118">IF(ROW(J118)&lt;=COUNTA(D:D)*2,IF(MOD(ROW(J118),2)=1,INDEX(D:D,(ROW(J118)+1)/2),INDEX(F:F,ROW(J118)/2)),"")</f>
        <v>-115.9</v>
      </c>
      <c r="K118" s="17">
        <f t="array" ref="K118">IF(ROW(K118)&lt;=COUNTA(E:E)*2,IF(MOD(ROW(K118),2)=1,INDEX(E:E,(ROW(K118)+1)/2),INDEX(G:G,ROW(K118)/2)),"")</f>
        <v>45</v>
      </c>
    </row>
    <row r="119" spans="1:11" x14ac:dyDescent="0.25">
      <c r="A119" s="25"/>
      <c r="B119" s="25"/>
      <c r="D119" s="25">
        <f t="shared" si="16"/>
        <v>-233.9</v>
      </c>
      <c r="E119" s="13">
        <f t="shared" si="17"/>
        <v>46.92</v>
      </c>
      <c r="F119" s="25">
        <f t="shared" si="18"/>
        <v>-235.9</v>
      </c>
      <c r="G119" s="13">
        <f t="shared" si="19"/>
        <v>46.92</v>
      </c>
      <c r="J119" s="17">
        <f t="array" ref="J119">IF(ROW(J119)&lt;=COUNTA(D:D)*2,IF(MOD(ROW(J119),2)=1,INDEX(D:D,(ROW(J119)+1)/2),INDEX(F:F,ROW(J119)/2)),"")</f>
        <v>-115.9</v>
      </c>
      <c r="K119" s="17">
        <f t="array" ref="K119">IF(ROW(K119)&lt;=COUNTA(E:E)*2,IF(MOD(ROW(K119),2)=1,INDEX(E:E,(ROW(K119)+1)/2),INDEX(G:G,ROW(K119)/2)),"")</f>
        <v>47.28</v>
      </c>
    </row>
    <row r="120" spans="1:11" x14ac:dyDescent="0.25">
      <c r="A120" s="25"/>
      <c r="B120" s="25"/>
      <c r="D120" s="25">
        <f t="shared" si="16"/>
        <v>-235.9</v>
      </c>
      <c r="E120" s="13">
        <f t="shared" si="17"/>
        <v>48.8</v>
      </c>
      <c r="F120" s="25">
        <f t="shared" si="18"/>
        <v>-237.9</v>
      </c>
      <c r="G120" s="13">
        <f t="shared" si="19"/>
        <v>48.8</v>
      </c>
      <c r="J120" s="17">
        <f t="array" ref="J120">IF(ROW(J120)&lt;=COUNTA(D:D)*2,IF(MOD(ROW(J120),2)=1,INDEX(D:D,(ROW(J120)+1)/2),INDEX(F:F,ROW(J120)/2)),"")</f>
        <v>-117.9</v>
      </c>
      <c r="K120" s="17">
        <f t="array" ref="K120">IF(ROW(K120)&lt;=COUNTA(E:E)*2,IF(MOD(ROW(K120),2)=1,INDEX(E:E,(ROW(K120)+1)/2),INDEX(G:G,ROW(K120)/2)),"")</f>
        <v>47.28</v>
      </c>
    </row>
    <row r="121" spans="1:11" x14ac:dyDescent="0.25">
      <c r="A121" s="25"/>
      <c r="B121" s="25"/>
      <c r="D121" s="25">
        <f t="shared" si="16"/>
        <v>-237.9</v>
      </c>
      <c r="E121" s="13">
        <f t="shared" si="17"/>
        <v>48.46</v>
      </c>
      <c r="F121" s="25">
        <f t="shared" si="18"/>
        <v>-239.9</v>
      </c>
      <c r="G121" s="13">
        <f t="shared" si="19"/>
        <v>48.46</v>
      </c>
      <c r="J121" s="17">
        <f t="array" ref="J121">IF(ROW(J121)&lt;=COUNTA(D:D)*2,IF(MOD(ROW(J121),2)=1,INDEX(D:D,(ROW(J121)+1)/2),INDEX(F:F,ROW(J121)/2)),"")</f>
        <v>-117.9</v>
      </c>
      <c r="K121" s="17">
        <f t="array" ref="K121">IF(ROW(K121)&lt;=COUNTA(E:E)*2,IF(MOD(ROW(K121),2)=1,INDEX(E:E,(ROW(K121)+1)/2),INDEX(G:G,ROW(K121)/2)),"")</f>
        <v>45.82</v>
      </c>
    </row>
    <row r="122" spans="1:11" x14ac:dyDescent="0.25">
      <c r="A122" s="25"/>
      <c r="B122" s="25"/>
      <c r="D122" s="25">
        <f t="shared" si="16"/>
        <v>-239.9</v>
      </c>
      <c r="E122" s="13">
        <f t="shared" si="17"/>
        <v>48.18</v>
      </c>
      <c r="F122" s="25">
        <f t="shared" si="18"/>
        <v>-241.9</v>
      </c>
      <c r="G122" s="13">
        <f t="shared" si="19"/>
        <v>48.18</v>
      </c>
      <c r="J122" s="17">
        <f t="array" ref="J122">IF(ROW(J122)&lt;=COUNTA(D:D)*2,IF(MOD(ROW(J122),2)=1,INDEX(D:D,(ROW(J122)+1)/2),INDEX(F:F,ROW(J122)/2)),"")</f>
        <v>-119.9</v>
      </c>
      <c r="K122" s="17">
        <f t="array" ref="K122">IF(ROW(K122)&lt;=COUNTA(E:E)*2,IF(MOD(ROW(K122),2)=1,INDEX(E:E,(ROW(K122)+1)/2),INDEX(G:G,ROW(K122)/2)),"")</f>
        <v>45.82</v>
      </c>
    </row>
    <row r="123" spans="1:11" x14ac:dyDescent="0.25">
      <c r="A123" s="25"/>
      <c r="B123" s="25"/>
      <c r="D123" s="25">
        <f t="shared" si="16"/>
        <v>-241.9</v>
      </c>
      <c r="E123" s="13">
        <f t="shared" si="17"/>
        <v>47.92</v>
      </c>
      <c r="F123" s="25">
        <f t="shared" si="18"/>
        <v>-243.9</v>
      </c>
      <c r="G123" s="13">
        <f t="shared" si="19"/>
        <v>47.92</v>
      </c>
      <c r="J123" s="17">
        <f t="array" ref="J123">IF(ROW(J123)&lt;=COUNTA(D:D)*2,IF(MOD(ROW(J123),2)=1,INDEX(D:D,(ROW(J123)+1)/2),INDEX(F:F,ROW(J123)/2)),"")</f>
        <v>-119.9</v>
      </c>
      <c r="K123" s="17">
        <f t="array" ref="K123">IF(ROW(K123)&lt;=COUNTA(E:E)*2,IF(MOD(ROW(K123),2)=1,INDEX(E:E,(ROW(K123)+1)/2),INDEX(G:G,ROW(K123)/2)),"")</f>
        <v>45.2</v>
      </c>
    </row>
    <row r="124" spans="1:11" x14ac:dyDescent="0.25">
      <c r="A124" s="25"/>
      <c r="B124" s="25"/>
      <c r="D124" s="25">
        <f t="shared" si="16"/>
        <v>-243.9</v>
      </c>
      <c r="E124" s="13">
        <f t="shared" si="17"/>
        <v>48.16</v>
      </c>
      <c r="F124" s="25">
        <f t="shared" si="18"/>
        <v>-245.9</v>
      </c>
      <c r="G124" s="13">
        <f t="shared" si="19"/>
        <v>48.16</v>
      </c>
      <c r="J124" s="17">
        <f t="array" ref="J124">IF(ROW(J124)&lt;=COUNTA(D:D)*2,IF(MOD(ROW(J124),2)=1,INDEX(D:D,(ROW(J124)+1)/2),INDEX(F:F,ROW(J124)/2)),"")</f>
        <v>-121.9</v>
      </c>
      <c r="K124" s="17">
        <f t="array" ref="K124">IF(ROW(K124)&lt;=COUNTA(E:E)*2,IF(MOD(ROW(K124),2)=1,INDEX(E:E,(ROW(K124)+1)/2),INDEX(G:G,ROW(K124)/2)),"")</f>
        <v>45.2</v>
      </c>
    </row>
    <row r="125" spans="1:11" x14ac:dyDescent="0.25">
      <c r="A125" s="25"/>
      <c r="B125" s="25"/>
      <c r="D125" s="25">
        <f t="shared" si="16"/>
        <v>-245.9</v>
      </c>
      <c r="E125" s="13">
        <f t="shared" si="17"/>
        <v>46.78</v>
      </c>
      <c r="F125" s="25">
        <f t="shared" si="18"/>
        <v>-247.9</v>
      </c>
      <c r="G125" s="13">
        <f t="shared" si="19"/>
        <v>46.78</v>
      </c>
      <c r="J125" s="17">
        <f t="array" ref="J125">IF(ROW(J125)&lt;=COUNTA(D:D)*2,IF(MOD(ROW(J125),2)=1,INDEX(D:D,(ROW(J125)+1)/2),INDEX(F:F,ROW(J125)/2)),"")</f>
        <v>-121.9</v>
      </c>
      <c r="K125" s="17">
        <f t="array" ref="K125">IF(ROW(K125)&lt;=COUNTA(E:E)*2,IF(MOD(ROW(K125),2)=1,INDEX(E:E,(ROW(K125)+1)/2),INDEX(G:G,ROW(K125)/2)),"")</f>
        <v>45</v>
      </c>
    </row>
    <row r="126" spans="1:11" x14ac:dyDescent="0.25">
      <c r="A126" s="25"/>
      <c r="B126" s="25"/>
      <c r="D126" s="25">
        <f t="shared" si="16"/>
        <v>-247.9</v>
      </c>
      <c r="E126" s="13">
        <f t="shared" si="17"/>
        <v>46.86</v>
      </c>
      <c r="F126" s="25">
        <f t="shared" si="18"/>
        <v>-249.9</v>
      </c>
      <c r="G126" s="13">
        <f t="shared" si="19"/>
        <v>46.86</v>
      </c>
      <c r="J126" s="17">
        <f t="array" ref="J126">IF(ROW(J126)&lt;=COUNTA(D:D)*2,IF(MOD(ROW(J126),2)=1,INDEX(D:D,(ROW(J126)+1)/2),INDEX(F:F,ROW(J126)/2)),"")</f>
        <v>-123.9</v>
      </c>
      <c r="K126" s="17">
        <f t="array" ref="K126">IF(ROW(K126)&lt;=COUNTA(E:E)*2,IF(MOD(ROW(K126),2)=1,INDEX(E:E,(ROW(K126)+1)/2),INDEX(G:G,ROW(K126)/2)),"")</f>
        <v>45</v>
      </c>
    </row>
    <row r="127" spans="1:11" x14ac:dyDescent="0.25">
      <c r="A127" s="25"/>
      <c r="B127" s="25"/>
      <c r="D127" s="25">
        <f t="shared" si="16"/>
        <v>-249.9</v>
      </c>
      <c r="E127" s="13">
        <f t="shared" si="17"/>
        <v>47.9</v>
      </c>
      <c r="F127" s="25">
        <f t="shared" si="18"/>
        <v>-251.9</v>
      </c>
      <c r="G127" s="13">
        <f t="shared" si="19"/>
        <v>47.9</v>
      </c>
      <c r="J127" s="17">
        <f t="array" ref="J127">IF(ROW(J127)&lt;=COUNTA(D:D)*2,IF(MOD(ROW(J127),2)=1,INDEX(D:D,(ROW(J127)+1)/2),INDEX(F:F,ROW(J127)/2)),"")</f>
        <v>-123.9</v>
      </c>
      <c r="K127" s="17">
        <f t="array" ref="K127">IF(ROW(K127)&lt;=COUNTA(E:E)*2,IF(MOD(ROW(K127),2)=1,INDEX(E:E,(ROW(K127)+1)/2),INDEX(G:G,ROW(K127)/2)),"")</f>
        <v>45.62</v>
      </c>
    </row>
    <row r="128" spans="1:11" x14ac:dyDescent="0.25">
      <c r="A128" s="25"/>
      <c r="B128" s="25"/>
      <c r="D128" s="25">
        <f t="shared" si="16"/>
        <v>-251.9</v>
      </c>
      <c r="E128" s="13">
        <f t="shared" si="17"/>
        <v>47.72</v>
      </c>
      <c r="F128" s="25">
        <f t="shared" si="18"/>
        <v>-253.9</v>
      </c>
      <c r="G128" s="13">
        <f t="shared" si="19"/>
        <v>47.72</v>
      </c>
      <c r="J128" s="17">
        <f t="array" ref="J128">IF(ROW(J128)&lt;=COUNTA(D:D)*2,IF(MOD(ROW(J128),2)=1,INDEX(D:D,(ROW(J128)+1)/2),INDEX(F:F,ROW(J128)/2)),"")</f>
        <v>-125.9</v>
      </c>
      <c r="K128" s="17">
        <f t="array" ref="K128">IF(ROW(K128)&lt;=COUNTA(E:E)*2,IF(MOD(ROW(K128),2)=1,INDEX(E:E,(ROW(K128)+1)/2),INDEX(G:G,ROW(K128)/2)),"")</f>
        <v>45.62</v>
      </c>
    </row>
    <row r="129" spans="1:11" x14ac:dyDescent="0.25">
      <c r="A129" s="25"/>
      <c r="B129" s="25"/>
      <c r="D129" s="25">
        <f t="shared" si="16"/>
        <v>-253.9</v>
      </c>
      <c r="E129" s="13">
        <f t="shared" si="17"/>
        <v>47.64</v>
      </c>
      <c r="F129" s="25">
        <f t="shared" si="18"/>
        <v>-255.9</v>
      </c>
      <c r="G129" s="13">
        <f t="shared" si="19"/>
        <v>47.64</v>
      </c>
      <c r="J129" s="17">
        <f t="array" ref="J129">IF(ROW(J129)&lt;=COUNTA(D:D)*2,IF(MOD(ROW(J129),2)=1,INDEX(D:D,(ROW(J129)+1)/2),INDEX(F:F,ROW(J129)/2)),"")</f>
        <v>-125.9</v>
      </c>
      <c r="K129" s="17">
        <f t="array" ref="K129">IF(ROW(K129)&lt;=COUNTA(E:E)*2,IF(MOD(ROW(K129),2)=1,INDEX(E:E,(ROW(K129)+1)/2),INDEX(G:G,ROW(K129)/2)),"")</f>
        <v>45.24</v>
      </c>
    </row>
    <row r="130" spans="1:11" x14ac:dyDescent="0.25">
      <c r="A130" s="25"/>
      <c r="B130" s="25"/>
      <c r="D130" s="25">
        <f t="shared" si="16"/>
        <v>-255.9</v>
      </c>
      <c r="E130" s="13">
        <f t="shared" si="17"/>
        <v>47.06</v>
      </c>
      <c r="F130" s="25">
        <f t="shared" si="18"/>
        <v>-257.9</v>
      </c>
      <c r="G130" s="13">
        <f t="shared" si="19"/>
        <v>47.06</v>
      </c>
      <c r="J130" s="17">
        <f t="array" ref="J130">IF(ROW(J130)&lt;=COUNTA(D:D)*2,IF(MOD(ROW(J130),2)=1,INDEX(D:D,(ROW(J130)+1)/2),INDEX(F:F,ROW(J130)/2)),"")</f>
        <v>-127.9</v>
      </c>
      <c r="K130" s="17">
        <f t="array" ref="K130">IF(ROW(K130)&lt;=COUNTA(E:E)*2,IF(MOD(ROW(K130),2)=1,INDEX(E:E,(ROW(K130)+1)/2),INDEX(G:G,ROW(K130)/2)),"")</f>
        <v>45.24</v>
      </c>
    </row>
    <row r="131" spans="1:11" x14ac:dyDescent="0.25">
      <c r="A131" s="25"/>
      <c r="B131" s="25"/>
      <c r="D131" s="25">
        <f t="shared" si="16"/>
        <v>-257.9</v>
      </c>
      <c r="E131" s="13">
        <f t="shared" si="17"/>
        <v>47.52</v>
      </c>
      <c r="F131" s="25">
        <f t="shared" si="18"/>
        <v>-259.9</v>
      </c>
      <c r="G131" s="13">
        <f t="shared" si="19"/>
        <v>47.52</v>
      </c>
      <c r="J131" s="17">
        <f t="array" ref="J131">IF(ROW(J131)&lt;=COUNTA(D:D)*2,IF(MOD(ROW(J131),2)=1,INDEX(D:D,(ROW(J131)+1)/2),INDEX(F:F,ROW(J131)/2)),"")</f>
        <v>-127.9</v>
      </c>
      <c r="K131" s="17">
        <f t="array" ref="K131">IF(ROW(K131)&lt;=COUNTA(E:E)*2,IF(MOD(ROW(K131),2)=1,INDEX(E:E,(ROW(K131)+1)/2),INDEX(G:G,ROW(K131)/2)),"")</f>
        <v>45.7</v>
      </c>
    </row>
    <row r="132" spans="1:11" x14ac:dyDescent="0.25">
      <c r="A132" s="25"/>
      <c r="B132" s="25"/>
      <c r="D132" s="25">
        <f t="shared" si="16"/>
        <v>-259.9</v>
      </c>
      <c r="E132" s="13">
        <f t="shared" si="17"/>
        <v>47.34</v>
      </c>
      <c r="F132" s="25">
        <f t="shared" si="18"/>
        <v>-261.9</v>
      </c>
      <c r="G132" s="13">
        <f t="shared" si="19"/>
        <v>47.34</v>
      </c>
      <c r="J132" s="17">
        <f t="array" ref="J132">IF(ROW(J132)&lt;=COUNTA(D:D)*2,IF(MOD(ROW(J132),2)=1,INDEX(D:D,(ROW(J132)+1)/2),INDEX(F:F,ROW(J132)/2)),"")</f>
        <v>-129.9</v>
      </c>
      <c r="K132" s="17">
        <f t="array" ref="K132">IF(ROW(K132)&lt;=COUNTA(E:E)*2,IF(MOD(ROW(K132),2)=1,INDEX(E:E,(ROW(K132)+1)/2),INDEX(G:G,ROW(K132)/2)),"")</f>
        <v>45.7</v>
      </c>
    </row>
    <row r="133" spans="1:11" x14ac:dyDescent="0.25">
      <c r="A133" s="25"/>
      <c r="B133" s="25"/>
      <c r="D133" s="25">
        <f t="shared" si="16"/>
        <v>-261.9</v>
      </c>
      <c r="E133" s="13">
        <f t="shared" si="17"/>
        <v>47.12</v>
      </c>
      <c r="F133" s="25">
        <f t="shared" si="18"/>
        <v>-263.9</v>
      </c>
      <c r="G133" s="13">
        <f t="shared" si="19"/>
        <v>47.12</v>
      </c>
      <c r="J133" s="17">
        <f t="array" ref="J133">IF(ROW(J133)&lt;=COUNTA(D:D)*2,IF(MOD(ROW(J133),2)=1,INDEX(D:D,(ROW(J133)+1)/2),INDEX(F:F,ROW(J133)/2)),"")</f>
        <v>-129.9</v>
      </c>
      <c r="K133" s="17">
        <f t="array" ref="K133">IF(ROW(K133)&lt;=COUNTA(E:E)*2,IF(MOD(ROW(K133),2)=1,INDEX(E:E,(ROW(K133)+1)/2),INDEX(G:G,ROW(K133)/2)),"")</f>
        <v>47.58</v>
      </c>
    </row>
    <row r="134" spans="1:11" x14ac:dyDescent="0.25">
      <c r="A134" s="25"/>
      <c r="B134" s="25"/>
      <c r="D134" s="25">
        <f t="shared" si="16"/>
        <v>-263.9</v>
      </c>
      <c r="E134" s="13">
        <f t="shared" si="17"/>
        <v>46.42</v>
      </c>
      <c r="F134" s="25">
        <f t="shared" si="18"/>
        <v>-265.9</v>
      </c>
      <c r="G134" s="13">
        <f t="shared" si="19"/>
        <v>46.42</v>
      </c>
      <c r="J134" s="17">
        <f t="array" ref="J134">IF(ROW(J134)&lt;=COUNTA(D:D)*2,IF(MOD(ROW(J134),2)=1,INDEX(D:D,(ROW(J134)+1)/2),INDEX(F:F,ROW(J134)/2)),"")</f>
        <v>-131.9</v>
      </c>
      <c r="K134" s="17">
        <f t="array" ref="K134">IF(ROW(K134)&lt;=COUNTA(E:E)*2,IF(MOD(ROW(K134),2)=1,INDEX(E:E,(ROW(K134)+1)/2),INDEX(G:G,ROW(K134)/2)),"")</f>
        <v>47.58</v>
      </c>
    </row>
    <row r="135" spans="1:11" x14ac:dyDescent="0.25">
      <c r="A135" s="25"/>
      <c r="B135" s="25"/>
      <c r="D135" s="25">
        <f t="shared" si="16"/>
        <v>-265.9</v>
      </c>
      <c r="E135" s="13">
        <f t="shared" si="17"/>
        <v>47.2</v>
      </c>
      <c r="F135" s="25">
        <f t="shared" si="18"/>
        <v>-267.9</v>
      </c>
      <c r="G135" s="13">
        <f t="shared" si="19"/>
        <v>47.2</v>
      </c>
      <c r="J135" s="17">
        <f t="array" ref="J135">IF(ROW(J135)&lt;=COUNTA(D:D)*2,IF(MOD(ROW(J135),2)=1,INDEX(D:D,(ROW(J135)+1)/2),INDEX(F:F,ROW(J135)/2)),"")</f>
        <v>-131.9</v>
      </c>
      <c r="K135" s="17">
        <f t="array" ref="K135">IF(ROW(K135)&lt;=COUNTA(E:E)*2,IF(MOD(ROW(K135),2)=1,INDEX(E:E,(ROW(K135)+1)/2),INDEX(G:G,ROW(K135)/2)),"")</f>
        <v>47.16</v>
      </c>
    </row>
    <row r="136" spans="1:11" x14ac:dyDescent="0.25">
      <c r="A136" s="25"/>
      <c r="B136" s="25"/>
      <c r="D136" s="25">
        <f t="shared" si="16"/>
        <v>-267.9</v>
      </c>
      <c r="E136" s="13">
        <f t="shared" si="17"/>
        <v>48.12</v>
      </c>
      <c r="F136" s="25">
        <f t="shared" si="18"/>
        <v>-269.9</v>
      </c>
      <c r="G136" s="13">
        <f t="shared" si="19"/>
        <v>48.12</v>
      </c>
      <c r="J136" s="17">
        <f t="array" ref="J136">IF(ROW(J136)&lt;=COUNTA(D:D)*2,IF(MOD(ROW(J136),2)=1,INDEX(D:D,(ROW(J136)+1)/2),INDEX(F:F,ROW(J136)/2)),"")</f>
        <v>-133.9</v>
      </c>
      <c r="K136" s="17">
        <f t="array" ref="K136">IF(ROW(K136)&lt;=COUNTA(E:E)*2,IF(MOD(ROW(K136),2)=1,INDEX(E:E,(ROW(K136)+1)/2),INDEX(G:G,ROW(K136)/2)),"")</f>
        <v>47.16</v>
      </c>
    </row>
    <row r="137" spans="1:11" x14ac:dyDescent="0.25">
      <c r="A137" s="25"/>
      <c r="B137" s="25"/>
      <c r="D137" s="25">
        <f t="shared" si="16"/>
        <v>-269.9</v>
      </c>
      <c r="E137" s="13">
        <f t="shared" si="17"/>
        <v>48</v>
      </c>
      <c r="F137" s="25">
        <f t="shared" si="18"/>
        <v>-271.9</v>
      </c>
      <c r="G137" s="13">
        <f t="shared" si="19"/>
        <v>48</v>
      </c>
      <c r="J137" s="17">
        <f t="array" ref="J137">IF(ROW(J137)&lt;=COUNTA(D:D)*2,IF(MOD(ROW(J137),2)=1,INDEX(D:D,(ROW(J137)+1)/2),INDEX(F:F,ROW(J137)/2)),"")</f>
        <v>-133.9</v>
      </c>
      <c r="K137" s="17">
        <f t="array" ref="K137">IF(ROW(K137)&lt;=COUNTA(E:E)*2,IF(MOD(ROW(K137),2)=1,INDEX(E:E,(ROW(K137)+1)/2),INDEX(G:G,ROW(K137)/2)),"")</f>
        <v>47.56</v>
      </c>
    </row>
    <row r="138" spans="1:11" x14ac:dyDescent="0.25">
      <c r="A138" s="25"/>
      <c r="B138" s="25"/>
      <c r="D138" s="25">
        <f t="shared" si="16"/>
        <v>-271.9</v>
      </c>
      <c r="E138" s="13">
        <f t="shared" si="17"/>
        <v>46.7</v>
      </c>
      <c r="F138" s="25">
        <f t="shared" si="18"/>
        <v>-273.9</v>
      </c>
      <c r="G138" s="13">
        <f t="shared" si="19"/>
        <v>46.7</v>
      </c>
      <c r="J138" s="17">
        <f t="array" ref="J138">IF(ROW(J138)&lt;=COUNTA(D:D)*2,IF(MOD(ROW(J138),2)=1,INDEX(D:D,(ROW(J138)+1)/2),INDEX(F:F,ROW(J138)/2)),"")</f>
        <v>-135.9</v>
      </c>
      <c r="K138" s="17">
        <f t="array" ref="K138">IF(ROW(K138)&lt;=COUNTA(E:E)*2,IF(MOD(ROW(K138),2)=1,INDEX(E:E,(ROW(K138)+1)/2),INDEX(G:G,ROW(K138)/2)),"")</f>
        <v>47.56</v>
      </c>
    </row>
    <row r="139" spans="1:11" x14ac:dyDescent="0.25">
      <c r="A139" s="25"/>
      <c r="B139" s="25"/>
      <c r="D139" s="25">
        <f t="shared" si="16"/>
        <v>-273.9</v>
      </c>
      <c r="E139" s="13">
        <f t="shared" si="17"/>
        <v>48.22</v>
      </c>
      <c r="F139" s="25">
        <f t="shared" si="18"/>
        <v>-275.9</v>
      </c>
      <c r="G139" s="13">
        <f t="shared" si="19"/>
        <v>48.22</v>
      </c>
      <c r="J139" s="17">
        <f t="array" ref="J139">IF(ROW(J139)&lt;=COUNTA(D:D)*2,IF(MOD(ROW(J139),2)=1,INDEX(D:D,(ROW(J139)+1)/2),INDEX(F:F,ROW(J139)/2)),"")</f>
        <v>-135.9</v>
      </c>
      <c r="K139" s="17">
        <f t="array" ref="K139">IF(ROW(K139)&lt;=COUNTA(E:E)*2,IF(MOD(ROW(K139),2)=1,INDEX(E:E,(ROW(K139)+1)/2),INDEX(G:G,ROW(K139)/2)),"")</f>
        <v>47.1</v>
      </c>
    </row>
    <row r="140" spans="1:11" x14ac:dyDescent="0.25">
      <c r="A140" s="25"/>
      <c r="B140" s="25"/>
      <c r="D140" s="25">
        <f t="shared" si="16"/>
        <v>-275.9</v>
      </c>
      <c r="E140" s="13">
        <f t="shared" si="17"/>
        <v>46.82</v>
      </c>
      <c r="F140" s="25">
        <f t="shared" si="18"/>
        <v>-277.9</v>
      </c>
      <c r="G140" s="13">
        <f t="shared" si="19"/>
        <v>46.82</v>
      </c>
      <c r="J140" s="17">
        <f t="array" ref="J140">IF(ROW(J140)&lt;=COUNTA(D:D)*2,IF(MOD(ROW(J140),2)=1,INDEX(D:D,(ROW(J140)+1)/2),INDEX(F:F,ROW(J140)/2)),"")</f>
        <v>-137.9</v>
      </c>
      <c r="K140" s="17">
        <f t="array" ref="K140">IF(ROW(K140)&lt;=COUNTA(E:E)*2,IF(MOD(ROW(K140),2)=1,INDEX(E:E,(ROW(K140)+1)/2),INDEX(G:G,ROW(K140)/2)),"")</f>
        <v>47.1</v>
      </c>
    </row>
    <row r="141" spans="1:11" x14ac:dyDescent="0.25">
      <c r="A141" s="25"/>
      <c r="B141" s="25"/>
      <c r="D141" s="25">
        <f t="shared" si="16"/>
        <v>-277.9</v>
      </c>
      <c r="E141" s="13">
        <f t="shared" si="17"/>
        <v>47.8</v>
      </c>
      <c r="F141" s="25">
        <f t="shared" si="18"/>
        <v>-279.9</v>
      </c>
      <c r="G141" s="13">
        <f t="shared" si="19"/>
        <v>47.8</v>
      </c>
      <c r="J141" s="17">
        <f t="array" ref="J141">IF(ROW(J141)&lt;=COUNTA(D:D)*2,IF(MOD(ROW(J141),2)=1,INDEX(D:D,(ROW(J141)+1)/2),INDEX(F:F,ROW(J141)/2)),"")</f>
        <v>-137.9</v>
      </c>
      <c r="K141" s="17">
        <f t="array" ref="K141">IF(ROW(K141)&lt;=COUNTA(E:E)*2,IF(MOD(ROW(K141),2)=1,INDEX(E:E,(ROW(K141)+1)/2),INDEX(G:G,ROW(K141)/2)),"")</f>
        <v>48.46</v>
      </c>
    </row>
    <row r="142" spans="1:11" x14ac:dyDescent="0.25">
      <c r="A142" s="25"/>
      <c r="B142" s="25"/>
      <c r="D142" s="25">
        <f t="shared" si="16"/>
        <v>-279.9</v>
      </c>
      <c r="E142" s="13">
        <f t="shared" si="17"/>
        <v>47.26</v>
      </c>
      <c r="F142" s="25">
        <f t="shared" si="18"/>
        <v>-281.9</v>
      </c>
      <c r="G142" s="13">
        <f t="shared" si="19"/>
        <v>47.26</v>
      </c>
      <c r="J142" s="17">
        <f t="array" ref="J142">IF(ROW(J142)&lt;=COUNTA(D:D)*2,IF(MOD(ROW(J142),2)=1,INDEX(D:D,(ROW(J142)+1)/2),INDEX(F:F,ROW(J142)/2)),"")</f>
        <v>-139.9</v>
      </c>
      <c r="K142" s="17">
        <f t="array" ref="K142">IF(ROW(K142)&lt;=COUNTA(E:E)*2,IF(MOD(ROW(K142),2)=1,INDEX(E:E,(ROW(K142)+1)/2),INDEX(G:G,ROW(K142)/2)),"")</f>
        <v>48.46</v>
      </c>
    </row>
    <row r="143" spans="1:11" x14ac:dyDescent="0.25">
      <c r="A143" s="25"/>
      <c r="B143" s="25"/>
      <c r="D143" s="25">
        <f t="shared" si="16"/>
        <v>-281.9</v>
      </c>
      <c r="E143" s="13">
        <f t="shared" si="17"/>
        <v>47.32</v>
      </c>
      <c r="F143" s="25">
        <f t="shared" si="18"/>
        <v>-283.9</v>
      </c>
      <c r="G143" s="13">
        <f t="shared" si="19"/>
        <v>47.32</v>
      </c>
      <c r="J143" s="17">
        <f t="array" ref="J143">IF(ROW(J143)&lt;=COUNTA(D:D)*2,IF(MOD(ROW(J143),2)=1,INDEX(D:D,(ROW(J143)+1)/2),INDEX(F:F,ROW(J143)/2)),"")</f>
        <v>-139.9</v>
      </c>
      <c r="K143" s="17">
        <f t="array" ref="K143">IF(ROW(K143)&lt;=COUNTA(E:E)*2,IF(MOD(ROW(K143),2)=1,INDEX(E:E,(ROW(K143)+1)/2),INDEX(G:G,ROW(K143)/2)),"")</f>
        <v>47.66</v>
      </c>
    </row>
    <row r="144" spans="1:11" x14ac:dyDescent="0.25">
      <c r="A144" s="25"/>
      <c r="B144" s="25"/>
      <c r="D144" s="25">
        <f t="shared" si="16"/>
        <v>-283.9</v>
      </c>
      <c r="E144" s="13">
        <f t="shared" si="17"/>
        <v>47.22</v>
      </c>
      <c r="F144" s="25">
        <f t="shared" si="18"/>
        <v>-285.9</v>
      </c>
      <c r="G144" s="13">
        <f t="shared" si="19"/>
        <v>47.22</v>
      </c>
      <c r="J144" s="17">
        <f t="array" ref="J144">IF(ROW(J144)&lt;=COUNTA(D:D)*2,IF(MOD(ROW(J144),2)=1,INDEX(D:D,(ROW(J144)+1)/2),INDEX(F:F,ROW(J144)/2)),"")</f>
        <v>-141.9</v>
      </c>
      <c r="K144" s="17">
        <f t="array" ref="K144">IF(ROW(K144)&lt;=COUNTA(E:E)*2,IF(MOD(ROW(K144),2)=1,INDEX(E:E,(ROW(K144)+1)/2),INDEX(G:G,ROW(K144)/2)),"")</f>
        <v>47.66</v>
      </c>
    </row>
    <row r="145" spans="1:11" x14ac:dyDescent="0.25">
      <c r="A145" s="25"/>
      <c r="B145" s="25"/>
      <c r="D145" s="25">
        <f t="shared" si="16"/>
        <v>-285.9</v>
      </c>
      <c r="E145" s="13">
        <f t="shared" si="17"/>
        <v>47.42</v>
      </c>
      <c r="F145" s="25">
        <f t="shared" si="18"/>
        <v>-287.9</v>
      </c>
      <c r="G145" s="13">
        <f t="shared" si="19"/>
        <v>47.42</v>
      </c>
      <c r="J145" s="17">
        <f t="array" ref="J145">IF(ROW(J145)&lt;=COUNTA(D:D)*2,IF(MOD(ROW(J145),2)=1,INDEX(D:D,(ROW(J145)+1)/2),INDEX(F:F,ROW(J145)/2)),"")</f>
        <v>-141.9</v>
      </c>
      <c r="K145" s="17">
        <f t="array" ref="K145">IF(ROW(K145)&lt;=COUNTA(E:E)*2,IF(MOD(ROW(K145),2)=1,INDEX(E:E,(ROW(K145)+1)/2),INDEX(G:G,ROW(K145)/2)),"")</f>
        <v>46.86</v>
      </c>
    </row>
    <row r="146" spans="1:11" x14ac:dyDescent="0.25">
      <c r="A146" s="25"/>
      <c r="B146" s="25"/>
      <c r="D146" s="25">
        <f t="shared" si="16"/>
        <v>-287.9</v>
      </c>
      <c r="E146" s="13">
        <f t="shared" si="17"/>
        <v>47.16</v>
      </c>
      <c r="F146" s="25">
        <f t="shared" si="18"/>
        <v>-289.9</v>
      </c>
      <c r="G146" s="13">
        <f t="shared" si="19"/>
        <v>47.16</v>
      </c>
      <c r="J146" s="17">
        <f t="array" ref="J146">IF(ROW(J146)&lt;=COUNTA(D:D)*2,IF(MOD(ROW(J146),2)=1,INDEX(D:D,(ROW(J146)+1)/2),INDEX(F:F,ROW(J146)/2)),"")</f>
        <v>-143.9</v>
      </c>
      <c r="K146" s="17">
        <f t="array" ref="K146">IF(ROW(K146)&lt;=COUNTA(E:E)*2,IF(MOD(ROW(K146),2)=1,INDEX(E:E,(ROW(K146)+1)/2),INDEX(G:G,ROW(K146)/2)),"")</f>
        <v>46.86</v>
      </c>
    </row>
    <row r="147" spans="1:11" x14ac:dyDescent="0.25">
      <c r="A147" s="25"/>
      <c r="B147" s="25"/>
      <c r="D147" s="25">
        <f t="shared" ref="D147:D178" si="20">0-A146</f>
        <v>-289.9</v>
      </c>
      <c r="E147" s="13">
        <f t="shared" ref="E147:E178" si="21">45+(B147/100)*4</f>
        <v>47.78</v>
      </c>
      <c r="F147" s="25">
        <f t="shared" ref="F147:F178" si="22">0-A147</f>
        <v>-291.9</v>
      </c>
      <c r="G147" s="13">
        <f t="shared" ref="G147:G178" si="23">45+(B147/100)*4</f>
        <v>47.78</v>
      </c>
      <c r="J147" s="17">
        <f t="array" ref="J147">IF(ROW(J147)&lt;=COUNTA(D:D)*2,IF(MOD(ROW(J147),2)=1,INDEX(D:D,(ROW(J147)+1)/2),INDEX(F:F,ROW(J147)/2)),"")</f>
        <v>-143.9</v>
      </c>
      <c r="K147" s="17">
        <f t="array" ref="K147">IF(ROW(K147)&lt;=COUNTA(E:E)*2,IF(MOD(ROW(K147),2)=1,INDEX(E:E,(ROW(K147)+1)/2),INDEX(G:G,ROW(K147)/2)),"")</f>
        <v>45.64</v>
      </c>
    </row>
    <row r="148" spans="1:11" x14ac:dyDescent="0.25">
      <c r="A148" s="25"/>
      <c r="B148" s="25"/>
      <c r="D148" s="25">
        <f t="shared" si="20"/>
        <v>-291.9</v>
      </c>
      <c r="E148" s="13">
        <f t="shared" si="21"/>
        <v>47.66</v>
      </c>
      <c r="F148" s="25">
        <f t="shared" si="22"/>
        <v>-293.9</v>
      </c>
      <c r="G148" s="13">
        <f t="shared" si="23"/>
        <v>47.66</v>
      </c>
      <c r="J148" s="17">
        <f t="array" ref="J148">IF(ROW(J148)&lt;=COUNTA(D:D)*2,IF(MOD(ROW(J148),2)=1,INDEX(D:D,(ROW(J148)+1)/2),INDEX(F:F,ROW(J148)/2)),"")</f>
        <v>-145.9</v>
      </c>
      <c r="K148" s="17">
        <f t="array" ref="K148">IF(ROW(K148)&lt;=COUNTA(E:E)*2,IF(MOD(ROW(K148),2)=1,INDEX(E:E,(ROW(K148)+1)/2),INDEX(G:G,ROW(K148)/2)),"")</f>
        <v>45.64</v>
      </c>
    </row>
    <row r="149" spans="1:11" x14ac:dyDescent="0.25">
      <c r="A149" s="25"/>
      <c r="B149" s="25"/>
      <c r="D149" s="25">
        <f t="shared" si="20"/>
        <v>-293.9</v>
      </c>
      <c r="E149" s="13">
        <f t="shared" si="21"/>
        <v>47.46</v>
      </c>
      <c r="F149" s="25">
        <f t="shared" si="22"/>
        <v>-295.9</v>
      </c>
      <c r="G149" s="13">
        <f t="shared" si="23"/>
        <v>47.46</v>
      </c>
      <c r="J149" s="17">
        <f t="array" ref="J149">IF(ROW(J149)&lt;=COUNTA(D:D)*2,IF(MOD(ROW(J149),2)=1,INDEX(D:D,(ROW(J149)+1)/2),INDEX(F:F,ROW(J149)/2)),"")</f>
        <v>-145.9</v>
      </c>
      <c r="K149" s="17">
        <f t="array" ref="K149">IF(ROW(K149)&lt;=COUNTA(E:E)*2,IF(MOD(ROW(K149),2)=1,INDEX(E:E,(ROW(K149)+1)/2),INDEX(G:G,ROW(K149)/2)),"")</f>
        <v>46.94</v>
      </c>
    </row>
    <row r="150" spans="1:11" x14ac:dyDescent="0.25">
      <c r="A150" s="25"/>
      <c r="B150" s="25"/>
      <c r="D150" s="25">
        <f t="shared" si="20"/>
        <v>-295.9</v>
      </c>
      <c r="E150" s="13">
        <f t="shared" si="21"/>
        <v>47.86</v>
      </c>
      <c r="F150" s="25">
        <f t="shared" si="22"/>
        <v>-297.9</v>
      </c>
      <c r="G150" s="13">
        <f t="shared" si="23"/>
        <v>47.86</v>
      </c>
      <c r="J150" s="17">
        <f t="array" ref="J150">IF(ROW(J150)&lt;=COUNTA(D:D)*2,IF(MOD(ROW(J150),2)=1,INDEX(D:D,(ROW(J150)+1)/2),INDEX(F:F,ROW(J150)/2)),"")</f>
        <v>-147.9</v>
      </c>
      <c r="K150" s="17">
        <f t="array" ref="K150">IF(ROW(K150)&lt;=COUNTA(E:E)*2,IF(MOD(ROW(K150),2)=1,INDEX(E:E,(ROW(K150)+1)/2),INDEX(G:G,ROW(K150)/2)),"")</f>
        <v>46.94</v>
      </c>
    </row>
    <row r="151" spans="1:11" x14ac:dyDescent="0.25">
      <c r="A151" s="25"/>
      <c r="B151" s="25"/>
      <c r="D151" s="25">
        <f t="shared" si="20"/>
        <v>-297.9</v>
      </c>
      <c r="E151" s="13">
        <f t="shared" si="21"/>
        <v>47.62</v>
      </c>
      <c r="F151" s="25">
        <f t="shared" si="22"/>
        <v>-299.9</v>
      </c>
      <c r="G151" s="13">
        <f t="shared" si="23"/>
        <v>47.62</v>
      </c>
      <c r="J151" s="17">
        <f t="array" ref="J151">IF(ROW(J151)&lt;=COUNTA(D:D)*2,IF(MOD(ROW(J151),2)=1,INDEX(D:D,(ROW(J151)+1)/2),INDEX(F:F,ROW(J151)/2)),"")</f>
        <v>-147.9</v>
      </c>
      <c r="K151" s="17">
        <f t="array" ref="K151">IF(ROW(K151)&lt;=COUNTA(E:E)*2,IF(MOD(ROW(K151),2)=1,INDEX(E:E,(ROW(K151)+1)/2),INDEX(G:G,ROW(K151)/2)),"")</f>
        <v>48.36</v>
      </c>
    </row>
    <row r="152" spans="1:11" x14ac:dyDescent="0.25">
      <c r="A152" s="25"/>
      <c r="B152" s="25"/>
      <c r="D152" s="25">
        <f t="shared" si="20"/>
        <v>-299.9</v>
      </c>
      <c r="E152" s="13">
        <f t="shared" si="21"/>
        <v>47.46</v>
      </c>
      <c r="F152" s="25">
        <f t="shared" si="22"/>
        <v>-301.9</v>
      </c>
      <c r="G152" s="13">
        <f t="shared" si="23"/>
        <v>47.46</v>
      </c>
      <c r="J152" s="17">
        <f t="array" ref="J152">IF(ROW(J152)&lt;=COUNTA(D:D)*2,IF(MOD(ROW(J152),2)=1,INDEX(D:D,(ROW(J152)+1)/2),INDEX(F:F,ROW(J152)/2)),"")</f>
        <v>-149.9</v>
      </c>
      <c r="K152" s="17">
        <f t="array" ref="K152">IF(ROW(K152)&lt;=COUNTA(E:E)*2,IF(MOD(ROW(K152),2)=1,INDEX(E:E,(ROW(K152)+1)/2),INDEX(G:G,ROW(K152)/2)),"")</f>
        <v>48.36</v>
      </c>
    </row>
    <row r="153" spans="1:11" x14ac:dyDescent="0.25">
      <c r="A153" s="25"/>
      <c r="B153" s="25"/>
      <c r="D153" s="25">
        <f t="shared" si="20"/>
        <v>-301.9</v>
      </c>
      <c r="E153" s="13">
        <f t="shared" si="21"/>
        <v>48.74</v>
      </c>
      <c r="F153" s="25">
        <f t="shared" si="22"/>
        <v>-303.9</v>
      </c>
      <c r="G153" s="13">
        <f t="shared" si="23"/>
        <v>48.74</v>
      </c>
      <c r="J153" s="17">
        <f t="array" ref="J153">IF(ROW(J153)&lt;=COUNTA(D:D)*2,IF(MOD(ROW(J153),2)=1,INDEX(D:D,(ROW(J153)+1)/2),INDEX(F:F,ROW(J153)/2)),"")</f>
        <v>-149.9</v>
      </c>
      <c r="K153" s="17">
        <f t="array" ref="K153">IF(ROW(K153)&lt;=COUNTA(E:E)*2,IF(MOD(ROW(K153),2)=1,INDEX(E:E,(ROW(K153)+1)/2),INDEX(G:G,ROW(K153)/2)),"")</f>
        <v>46.76</v>
      </c>
    </row>
    <row r="154" spans="1:11" x14ac:dyDescent="0.25">
      <c r="A154" s="25"/>
      <c r="B154" s="25"/>
      <c r="D154" s="25">
        <f t="shared" si="20"/>
        <v>-303.9</v>
      </c>
      <c r="E154" s="13">
        <f t="shared" si="21"/>
        <v>48.14</v>
      </c>
      <c r="F154" s="25">
        <f t="shared" si="22"/>
        <v>-305.9</v>
      </c>
      <c r="G154" s="13">
        <f t="shared" si="23"/>
        <v>48.14</v>
      </c>
      <c r="J154" s="17">
        <f t="array" ref="J154">IF(ROW(J154)&lt;=COUNTA(D:D)*2,IF(MOD(ROW(J154),2)=1,INDEX(D:D,(ROW(J154)+1)/2),INDEX(F:F,ROW(J154)/2)),"")</f>
        <v>-151.9</v>
      </c>
      <c r="K154" s="17">
        <f t="array" ref="K154">IF(ROW(K154)&lt;=COUNTA(E:E)*2,IF(MOD(ROW(K154),2)=1,INDEX(E:E,(ROW(K154)+1)/2),INDEX(G:G,ROW(K154)/2)),"")</f>
        <v>46.76</v>
      </c>
    </row>
    <row r="155" spans="1:11" x14ac:dyDescent="0.25">
      <c r="A155" s="25"/>
      <c r="B155" s="25"/>
      <c r="D155" s="25">
        <f t="shared" si="20"/>
        <v>-305.9</v>
      </c>
      <c r="E155" s="13">
        <f t="shared" si="21"/>
        <v>48.52</v>
      </c>
      <c r="F155" s="25">
        <f t="shared" si="22"/>
        <v>-307.9</v>
      </c>
      <c r="G155" s="13">
        <f t="shared" si="23"/>
        <v>48.52</v>
      </c>
      <c r="J155" s="17">
        <f t="array" ref="J155">IF(ROW(J155)&lt;=COUNTA(D:D)*2,IF(MOD(ROW(J155),2)=1,INDEX(D:D,(ROW(J155)+1)/2),INDEX(F:F,ROW(J155)/2)),"")</f>
        <v>-151.9</v>
      </c>
      <c r="K155" s="17">
        <f t="array" ref="K155">IF(ROW(K155)&lt;=COUNTA(E:E)*2,IF(MOD(ROW(K155),2)=1,INDEX(E:E,(ROW(K155)+1)/2),INDEX(G:G,ROW(K155)/2)),"")</f>
        <v>46.36</v>
      </c>
    </row>
    <row r="156" spans="1:11" x14ac:dyDescent="0.25">
      <c r="A156" s="25"/>
      <c r="B156" s="25"/>
      <c r="D156" s="25">
        <f t="shared" si="20"/>
        <v>-307.9</v>
      </c>
      <c r="E156" s="13">
        <f t="shared" si="21"/>
        <v>48.4</v>
      </c>
      <c r="F156" s="25">
        <f t="shared" si="22"/>
        <v>-309.9</v>
      </c>
      <c r="G156" s="13">
        <f t="shared" si="23"/>
        <v>48.4</v>
      </c>
      <c r="J156" s="17">
        <f t="array" ref="J156">IF(ROW(J156)&lt;=COUNTA(D:D)*2,IF(MOD(ROW(J156),2)=1,INDEX(D:D,(ROW(J156)+1)/2),INDEX(F:F,ROW(J156)/2)),"")</f>
        <v>-153.9</v>
      </c>
      <c r="K156" s="17">
        <f t="array" ref="K156">IF(ROW(K156)&lt;=COUNTA(E:E)*2,IF(MOD(ROW(K156),2)=1,INDEX(E:E,(ROW(K156)+1)/2),INDEX(G:G,ROW(K156)/2)),"")</f>
        <v>46.36</v>
      </c>
    </row>
    <row r="157" spans="1:11" x14ac:dyDescent="0.25">
      <c r="A157" s="25"/>
      <c r="B157" s="25"/>
      <c r="D157" s="25">
        <f t="shared" si="20"/>
        <v>-309.9</v>
      </c>
      <c r="E157" s="13">
        <f t="shared" si="21"/>
        <v>47.72</v>
      </c>
      <c r="F157" s="25">
        <f t="shared" si="22"/>
        <v>-311.9</v>
      </c>
      <c r="G157" s="13">
        <f t="shared" si="23"/>
        <v>47.72</v>
      </c>
      <c r="J157" s="17">
        <f t="array" ref="J157">IF(ROW(J157)&lt;=COUNTA(D:D)*2,IF(MOD(ROW(J157),2)=1,INDEX(D:D,(ROW(J157)+1)/2),INDEX(F:F,ROW(J157)/2)),"")</f>
        <v>-153.9</v>
      </c>
      <c r="K157" s="17">
        <f t="array" ref="K157">IF(ROW(K157)&lt;=COUNTA(E:E)*2,IF(MOD(ROW(K157),2)=1,INDEX(E:E,(ROW(K157)+1)/2),INDEX(G:G,ROW(K157)/2)),"")</f>
        <v>46.9</v>
      </c>
    </row>
    <row r="158" spans="1:11" x14ac:dyDescent="0.25">
      <c r="A158" s="25"/>
      <c r="B158" s="25"/>
      <c r="D158" s="25">
        <f t="shared" si="20"/>
        <v>-311.9</v>
      </c>
      <c r="E158" s="13">
        <f t="shared" si="21"/>
        <v>48.04</v>
      </c>
      <c r="F158" s="25">
        <f t="shared" si="22"/>
        <v>-313.9</v>
      </c>
      <c r="G158" s="13">
        <f t="shared" si="23"/>
        <v>48.04</v>
      </c>
      <c r="J158" s="17">
        <f t="array" ref="J158">IF(ROW(J158)&lt;=COUNTA(D:D)*2,IF(MOD(ROW(J158),2)=1,INDEX(D:D,(ROW(J158)+1)/2),INDEX(F:F,ROW(J158)/2)),"")</f>
        <v>-155.9</v>
      </c>
      <c r="K158" s="17">
        <f t="array" ref="K158">IF(ROW(K158)&lt;=COUNTA(E:E)*2,IF(MOD(ROW(K158),2)=1,INDEX(E:E,(ROW(K158)+1)/2),INDEX(G:G,ROW(K158)/2)),"")</f>
        <v>46.9</v>
      </c>
    </row>
    <row r="159" spans="1:11" x14ac:dyDescent="0.25">
      <c r="A159" s="25"/>
      <c r="B159" s="25"/>
      <c r="D159" s="25">
        <f t="shared" si="20"/>
        <v>-313.9</v>
      </c>
      <c r="E159" s="13">
        <f t="shared" si="21"/>
        <v>47.4</v>
      </c>
      <c r="F159" s="25">
        <f t="shared" si="22"/>
        <v>-315.9</v>
      </c>
      <c r="G159" s="13">
        <f t="shared" si="23"/>
        <v>47.4</v>
      </c>
      <c r="J159" s="17">
        <f t="array" ref="J159">IF(ROW(J159)&lt;=COUNTA(D:D)*2,IF(MOD(ROW(J159),2)=1,INDEX(D:D,(ROW(J159)+1)/2),INDEX(F:F,ROW(J159)/2)),"")</f>
        <v>-155.9</v>
      </c>
      <c r="K159" s="17">
        <f t="array" ref="K159">IF(ROW(K159)&lt;=COUNTA(E:E)*2,IF(MOD(ROW(K159),2)=1,INDEX(E:E,(ROW(K159)+1)/2),INDEX(G:G,ROW(K159)/2)),"")</f>
        <v>47.54</v>
      </c>
    </row>
    <row r="160" spans="1:11" x14ac:dyDescent="0.25">
      <c r="A160" s="25"/>
      <c r="B160" s="25"/>
      <c r="D160" s="25">
        <f t="shared" si="20"/>
        <v>-315.9</v>
      </c>
      <c r="E160" s="13">
        <f t="shared" si="21"/>
        <v>47.08</v>
      </c>
      <c r="F160" s="25">
        <f t="shared" si="22"/>
        <v>-317.9</v>
      </c>
      <c r="G160" s="13">
        <f t="shared" si="23"/>
        <v>47.08</v>
      </c>
      <c r="J160" s="17">
        <f t="array" ref="J160">IF(ROW(J160)&lt;=COUNTA(D:D)*2,IF(MOD(ROW(J160),2)=1,INDEX(D:D,(ROW(J160)+1)/2),INDEX(F:F,ROW(J160)/2)),"")</f>
        <v>-157.9</v>
      </c>
      <c r="K160" s="17">
        <f t="array" ref="K160">IF(ROW(K160)&lt;=COUNTA(E:E)*2,IF(MOD(ROW(K160),2)=1,INDEX(E:E,(ROW(K160)+1)/2),INDEX(G:G,ROW(K160)/2)),"")</f>
        <v>47.54</v>
      </c>
    </row>
    <row r="161" spans="1:11" x14ac:dyDescent="0.25">
      <c r="A161" s="25"/>
      <c r="B161" s="25"/>
      <c r="D161" s="25">
        <f t="shared" si="20"/>
        <v>-317.9</v>
      </c>
      <c r="E161" s="13">
        <f t="shared" si="21"/>
        <v>48.42</v>
      </c>
      <c r="F161" s="25">
        <f t="shared" si="22"/>
        <v>-319.9</v>
      </c>
      <c r="G161" s="13">
        <f t="shared" si="23"/>
        <v>48.42</v>
      </c>
      <c r="J161" s="17">
        <f t="array" ref="J161">IF(ROW(J161)&lt;=COUNTA(D:D)*2,IF(MOD(ROW(J161),2)=1,INDEX(D:D,(ROW(J161)+1)/2),INDEX(F:F,ROW(J161)/2)),"")</f>
        <v>-157.9</v>
      </c>
      <c r="K161" s="17">
        <f t="array" ref="K161">IF(ROW(K161)&lt;=COUNTA(E:E)*2,IF(MOD(ROW(K161),2)=1,INDEX(E:E,(ROW(K161)+1)/2),INDEX(G:G,ROW(K161)/2)),"")</f>
        <v>47.4</v>
      </c>
    </row>
    <row r="162" spans="1:11" x14ac:dyDescent="0.25">
      <c r="A162" s="25"/>
      <c r="B162" s="25"/>
      <c r="D162" s="25">
        <f t="shared" si="20"/>
        <v>-319.9</v>
      </c>
      <c r="E162" s="13">
        <f t="shared" si="21"/>
        <v>47.88</v>
      </c>
      <c r="F162" s="25">
        <f t="shared" si="22"/>
        <v>-321.9</v>
      </c>
      <c r="G162" s="13">
        <f t="shared" si="23"/>
        <v>47.88</v>
      </c>
      <c r="J162" s="17">
        <f t="array" ref="J162">IF(ROW(J162)&lt;=COUNTA(D:D)*2,IF(MOD(ROW(J162),2)=1,INDEX(D:D,(ROW(J162)+1)/2),INDEX(F:F,ROW(J162)/2)),"")</f>
        <v>-159.9</v>
      </c>
      <c r="K162" s="17">
        <f t="array" ref="K162">IF(ROW(K162)&lt;=COUNTA(E:E)*2,IF(MOD(ROW(K162),2)=1,INDEX(E:E,(ROW(K162)+1)/2),INDEX(G:G,ROW(K162)/2)),"")</f>
        <v>47.4</v>
      </c>
    </row>
    <row r="163" spans="1:11" x14ac:dyDescent="0.25">
      <c r="A163" s="25"/>
      <c r="B163" s="25"/>
      <c r="D163" s="25">
        <f t="shared" si="20"/>
        <v>-321.9</v>
      </c>
      <c r="E163" s="13">
        <f t="shared" si="21"/>
        <v>47.92</v>
      </c>
      <c r="F163" s="25">
        <f t="shared" si="22"/>
        <v>-323.9</v>
      </c>
      <c r="G163" s="13">
        <f t="shared" si="23"/>
        <v>47.92</v>
      </c>
      <c r="J163" s="17">
        <f t="array" ref="J163">IF(ROW(J163)&lt;=COUNTA(D:D)*2,IF(MOD(ROW(J163),2)=1,INDEX(D:D,(ROW(J163)+1)/2),INDEX(F:F,ROW(J163)/2)),"")</f>
        <v>-159.9</v>
      </c>
      <c r="K163" s="17">
        <f t="array" ref="K163">IF(ROW(K163)&lt;=COUNTA(E:E)*2,IF(MOD(ROW(K163),2)=1,INDEX(E:E,(ROW(K163)+1)/2),INDEX(G:G,ROW(K163)/2)),"")</f>
        <v>48.34</v>
      </c>
    </row>
    <row r="164" spans="1:11" x14ac:dyDescent="0.25">
      <c r="A164" s="25"/>
      <c r="B164" s="25"/>
      <c r="D164" s="25">
        <f t="shared" si="20"/>
        <v>-323.9</v>
      </c>
      <c r="E164" s="13">
        <f t="shared" si="21"/>
        <v>48.62</v>
      </c>
      <c r="F164" s="25">
        <f t="shared" si="22"/>
        <v>-325.9</v>
      </c>
      <c r="G164" s="13">
        <f t="shared" si="23"/>
        <v>48.62</v>
      </c>
      <c r="J164" s="17">
        <f t="array" ref="J164">IF(ROW(J164)&lt;=COUNTA(D:D)*2,IF(MOD(ROW(J164),2)=1,INDEX(D:D,(ROW(J164)+1)/2),INDEX(F:F,ROW(J164)/2)),"")</f>
        <v>-161.9</v>
      </c>
      <c r="K164" s="17">
        <f t="array" ref="K164">IF(ROW(K164)&lt;=COUNTA(E:E)*2,IF(MOD(ROW(K164),2)=1,INDEX(E:E,(ROW(K164)+1)/2),INDEX(G:G,ROW(K164)/2)),"")</f>
        <v>48.34</v>
      </c>
    </row>
    <row r="165" spans="1:11" x14ac:dyDescent="0.25">
      <c r="A165" s="25"/>
      <c r="B165" s="25"/>
      <c r="D165" s="25">
        <f t="shared" si="20"/>
        <v>-325.9</v>
      </c>
      <c r="E165" s="13">
        <f t="shared" si="21"/>
        <v>48.38</v>
      </c>
      <c r="F165" s="25">
        <f t="shared" si="22"/>
        <v>-327.9</v>
      </c>
      <c r="G165" s="13">
        <f t="shared" si="23"/>
        <v>48.38</v>
      </c>
      <c r="J165" s="17">
        <f t="array" ref="J165">IF(ROW(J165)&lt;=COUNTA(D:D)*2,IF(MOD(ROW(J165),2)=1,INDEX(D:D,(ROW(J165)+1)/2),INDEX(F:F,ROW(J165)/2)),"")</f>
        <v>-161.9</v>
      </c>
      <c r="K165" s="17">
        <f t="array" ref="K165">IF(ROW(K165)&lt;=COUNTA(E:E)*2,IF(MOD(ROW(K165),2)=1,INDEX(E:E,(ROW(K165)+1)/2),INDEX(G:G,ROW(K165)/2)),"")</f>
        <v>47.54</v>
      </c>
    </row>
    <row r="166" spans="1:11" x14ac:dyDescent="0.25">
      <c r="A166" s="25"/>
      <c r="B166" s="25"/>
      <c r="D166" s="25">
        <f t="shared" si="20"/>
        <v>-327.9</v>
      </c>
      <c r="E166" s="13">
        <f t="shared" si="21"/>
        <v>48.24</v>
      </c>
      <c r="F166" s="25">
        <f t="shared" si="22"/>
        <v>-329.9</v>
      </c>
      <c r="G166" s="13">
        <f t="shared" si="23"/>
        <v>48.24</v>
      </c>
      <c r="J166" s="17">
        <f t="array" ref="J166">IF(ROW(J166)&lt;=COUNTA(D:D)*2,IF(MOD(ROW(J166),2)=1,INDEX(D:D,(ROW(J166)+1)/2),INDEX(F:F,ROW(J166)/2)),"")</f>
        <v>-163.9</v>
      </c>
      <c r="K166" s="17">
        <f t="array" ref="K166">IF(ROW(K166)&lt;=COUNTA(E:E)*2,IF(MOD(ROW(K166),2)=1,INDEX(E:E,(ROW(K166)+1)/2),INDEX(G:G,ROW(K166)/2)),"")</f>
        <v>47.54</v>
      </c>
    </row>
    <row r="167" spans="1:11" x14ac:dyDescent="0.25">
      <c r="A167" s="25"/>
      <c r="B167" s="25"/>
      <c r="D167" s="25">
        <f t="shared" si="20"/>
        <v>-329.9</v>
      </c>
      <c r="E167" s="13">
        <f t="shared" si="21"/>
        <v>48.22</v>
      </c>
      <c r="F167" s="25">
        <f t="shared" si="22"/>
        <v>-331.9</v>
      </c>
      <c r="G167" s="13">
        <f t="shared" si="23"/>
        <v>48.22</v>
      </c>
      <c r="J167" s="17">
        <f t="array" ref="J167">IF(ROW(J167)&lt;=COUNTA(D:D)*2,IF(MOD(ROW(J167),2)=1,INDEX(D:D,(ROW(J167)+1)/2),INDEX(F:F,ROW(J167)/2)),"")</f>
        <v>-163.9</v>
      </c>
      <c r="K167" s="17">
        <f t="array" ref="K167">IF(ROW(K167)&lt;=COUNTA(E:E)*2,IF(MOD(ROW(K167),2)=1,INDEX(E:E,(ROW(K167)+1)/2),INDEX(G:G,ROW(K167)/2)),"")</f>
        <v>47.7</v>
      </c>
    </row>
    <row r="168" spans="1:11" x14ac:dyDescent="0.25">
      <c r="A168" s="25"/>
      <c r="B168" s="25"/>
      <c r="D168" s="25">
        <f t="shared" si="20"/>
        <v>-331.9</v>
      </c>
      <c r="E168" s="13">
        <f t="shared" si="21"/>
        <v>48.74</v>
      </c>
      <c r="F168" s="25">
        <f t="shared" si="22"/>
        <v>-333.9</v>
      </c>
      <c r="G168" s="13">
        <f t="shared" si="23"/>
        <v>48.74</v>
      </c>
      <c r="J168" s="17">
        <f t="array" ref="J168">IF(ROW(J168)&lt;=COUNTA(D:D)*2,IF(MOD(ROW(J168),2)=1,INDEX(D:D,(ROW(J168)+1)/2),INDEX(F:F,ROW(J168)/2)),"")</f>
        <v>-165.9</v>
      </c>
      <c r="K168" s="17">
        <f t="array" ref="K168">IF(ROW(K168)&lt;=COUNTA(E:E)*2,IF(MOD(ROW(K168),2)=1,INDEX(E:E,(ROW(K168)+1)/2),INDEX(G:G,ROW(K168)/2)),"")</f>
        <v>47.7</v>
      </c>
    </row>
    <row r="169" spans="1:11" x14ac:dyDescent="0.25">
      <c r="A169" s="25"/>
      <c r="B169" s="25"/>
      <c r="D169" s="25">
        <f t="shared" si="20"/>
        <v>-333.9</v>
      </c>
      <c r="E169" s="13">
        <f t="shared" si="21"/>
        <v>48.66</v>
      </c>
      <c r="F169" s="25">
        <f t="shared" si="22"/>
        <v>-335.9</v>
      </c>
      <c r="G169" s="13">
        <f t="shared" si="23"/>
        <v>48.66</v>
      </c>
      <c r="J169" s="17">
        <f t="array" ref="J169">IF(ROW(J169)&lt;=COUNTA(D:D)*2,IF(MOD(ROW(J169),2)=1,INDEX(D:D,(ROW(J169)+1)/2),INDEX(F:F,ROW(J169)/2)),"")</f>
        <v>-165.9</v>
      </c>
      <c r="K169" s="17">
        <f t="array" ref="K169">IF(ROW(K169)&lt;=COUNTA(E:E)*2,IF(MOD(ROW(K169),2)=1,INDEX(E:E,(ROW(K169)+1)/2),INDEX(G:G,ROW(K169)/2)),"")</f>
        <v>47.86</v>
      </c>
    </row>
    <row r="170" spans="1:11" x14ac:dyDescent="0.25">
      <c r="A170" s="25"/>
      <c r="B170" s="25"/>
      <c r="D170" s="25">
        <f t="shared" si="20"/>
        <v>-335.9</v>
      </c>
      <c r="E170" s="13">
        <f t="shared" si="21"/>
        <v>48.9</v>
      </c>
      <c r="F170" s="25">
        <f t="shared" si="22"/>
        <v>-337.9</v>
      </c>
      <c r="G170" s="13">
        <f t="shared" si="23"/>
        <v>48.9</v>
      </c>
      <c r="J170" s="17">
        <f t="array" ref="J170">IF(ROW(J170)&lt;=COUNTA(D:D)*2,IF(MOD(ROW(J170),2)=1,INDEX(D:D,(ROW(J170)+1)/2),INDEX(F:F,ROW(J170)/2)),"")</f>
        <v>-167.9</v>
      </c>
      <c r="K170" s="17">
        <f t="array" ref="K170">IF(ROW(K170)&lt;=COUNTA(E:E)*2,IF(MOD(ROW(K170),2)=1,INDEX(E:E,(ROW(K170)+1)/2),INDEX(G:G,ROW(K170)/2)),"")</f>
        <v>47.86</v>
      </c>
    </row>
    <row r="171" spans="1:11" x14ac:dyDescent="0.25">
      <c r="A171" s="25"/>
      <c r="B171" s="25"/>
      <c r="D171" s="25">
        <f t="shared" si="20"/>
        <v>-337.9</v>
      </c>
      <c r="E171" s="13">
        <f t="shared" si="21"/>
        <v>48.26</v>
      </c>
      <c r="F171" s="25">
        <f t="shared" si="22"/>
        <v>-339.9</v>
      </c>
      <c r="G171" s="13">
        <f t="shared" si="23"/>
        <v>48.26</v>
      </c>
      <c r="J171" s="17">
        <f t="array" ref="J171">IF(ROW(J171)&lt;=COUNTA(D:D)*2,IF(MOD(ROW(J171),2)=1,INDEX(D:D,(ROW(J171)+1)/2),INDEX(F:F,ROW(J171)/2)),"")</f>
        <v>-167.9</v>
      </c>
      <c r="K171" s="17">
        <f t="array" ref="K171">IF(ROW(K171)&lt;=COUNTA(E:E)*2,IF(MOD(ROW(K171),2)=1,INDEX(E:E,(ROW(K171)+1)/2),INDEX(G:G,ROW(K171)/2)),"")</f>
        <v>47.7</v>
      </c>
    </row>
    <row r="172" spans="1:11" x14ac:dyDescent="0.25">
      <c r="A172" s="25"/>
      <c r="B172" s="25"/>
      <c r="D172" s="25">
        <f t="shared" si="20"/>
        <v>-339.9</v>
      </c>
      <c r="E172" s="13">
        <f t="shared" si="21"/>
        <v>48.42</v>
      </c>
      <c r="F172" s="25">
        <f t="shared" si="22"/>
        <v>-341.9</v>
      </c>
      <c r="G172" s="13">
        <f t="shared" si="23"/>
        <v>48.42</v>
      </c>
      <c r="J172" s="17">
        <f t="array" ref="J172">IF(ROW(J172)&lt;=COUNTA(D:D)*2,IF(MOD(ROW(J172),2)=1,INDEX(D:D,(ROW(J172)+1)/2),INDEX(F:F,ROW(J172)/2)),"")</f>
        <v>-169.9</v>
      </c>
      <c r="K172" s="17">
        <f t="array" ref="K172">IF(ROW(K172)&lt;=COUNTA(E:E)*2,IF(MOD(ROW(K172),2)=1,INDEX(E:E,(ROW(K172)+1)/2),INDEX(G:G,ROW(K172)/2)),"")</f>
        <v>47.7</v>
      </c>
    </row>
    <row r="173" spans="1:11" x14ac:dyDescent="0.25">
      <c r="A173" s="25"/>
      <c r="B173" s="25"/>
      <c r="D173" s="25">
        <f t="shared" si="20"/>
        <v>-341.9</v>
      </c>
      <c r="E173" s="13">
        <f t="shared" si="21"/>
        <v>48.64</v>
      </c>
      <c r="F173" s="25">
        <f t="shared" si="22"/>
        <v>-343.9</v>
      </c>
      <c r="G173" s="13">
        <f t="shared" si="23"/>
        <v>48.64</v>
      </c>
      <c r="J173" s="17">
        <f t="array" ref="J173">IF(ROW(J173)&lt;=COUNTA(D:D)*2,IF(MOD(ROW(J173),2)=1,INDEX(D:D,(ROW(J173)+1)/2),INDEX(F:F,ROW(J173)/2)),"")</f>
        <v>-169.9</v>
      </c>
      <c r="K173" s="17">
        <f t="array" ref="K173">IF(ROW(K173)&lt;=COUNTA(E:E)*2,IF(MOD(ROW(K173),2)=1,INDEX(E:E,(ROW(K173)+1)/2),INDEX(G:G,ROW(K173)/2)),"")</f>
        <v>47.68</v>
      </c>
    </row>
    <row r="174" spans="1:11" x14ac:dyDescent="0.25">
      <c r="A174" s="25"/>
      <c r="B174" s="25"/>
      <c r="D174" s="25">
        <f t="shared" si="20"/>
        <v>-343.9</v>
      </c>
      <c r="E174" s="13">
        <f t="shared" si="21"/>
        <v>47.16</v>
      </c>
      <c r="F174" s="25">
        <f t="shared" si="22"/>
        <v>-345.9</v>
      </c>
      <c r="G174" s="13">
        <f t="shared" si="23"/>
        <v>47.16</v>
      </c>
      <c r="J174" s="17">
        <f t="array" ref="J174">IF(ROW(J174)&lt;=COUNTA(D:D)*2,IF(MOD(ROW(J174),2)=1,INDEX(D:D,(ROW(J174)+1)/2),INDEX(F:F,ROW(J174)/2)),"")</f>
        <v>-171.9</v>
      </c>
      <c r="K174" s="17">
        <f t="array" ref="K174">IF(ROW(K174)&lt;=COUNTA(E:E)*2,IF(MOD(ROW(K174),2)=1,INDEX(E:E,(ROW(K174)+1)/2),INDEX(G:G,ROW(K174)/2)),"")</f>
        <v>47.68</v>
      </c>
    </row>
    <row r="175" spans="1:11" x14ac:dyDescent="0.25">
      <c r="A175" s="25"/>
      <c r="B175" s="25"/>
      <c r="D175" s="25">
        <f t="shared" si="20"/>
        <v>-345.9</v>
      </c>
      <c r="E175" s="13">
        <f t="shared" si="21"/>
        <v>46.68</v>
      </c>
      <c r="F175" s="25">
        <f t="shared" si="22"/>
        <v>-347.9</v>
      </c>
      <c r="G175" s="13">
        <f t="shared" si="23"/>
        <v>46.68</v>
      </c>
      <c r="J175" s="17">
        <f t="array" ref="J175">IF(ROW(J175)&lt;=COUNTA(D:D)*2,IF(MOD(ROW(J175),2)=1,INDEX(D:D,(ROW(J175)+1)/2),INDEX(F:F,ROW(J175)/2)),"")</f>
        <v>-171.9</v>
      </c>
      <c r="K175" s="17">
        <f t="array" ref="K175">IF(ROW(K175)&lt;=COUNTA(E:E)*2,IF(MOD(ROW(K175),2)=1,INDEX(E:E,(ROW(K175)+1)/2),INDEX(G:G,ROW(K175)/2)),"")</f>
        <v>48.24</v>
      </c>
    </row>
    <row r="176" spans="1:11" x14ac:dyDescent="0.25">
      <c r="A176" s="25"/>
      <c r="B176" s="25"/>
      <c r="D176" s="25">
        <f t="shared" si="20"/>
        <v>-347.9</v>
      </c>
      <c r="E176" s="13">
        <f t="shared" si="21"/>
        <v>48.14</v>
      </c>
      <c r="F176" s="25">
        <f t="shared" si="22"/>
        <v>-349.9</v>
      </c>
      <c r="G176" s="13">
        <f t="shared" si="23"/>
        <v>48.14</v>
      </c>
      <c r="J176" s="17">
        <f t="array" ref="J176">IF(ROW(J176)&lt;=COUNTA(D:D)*2,IF(MOD(ROW(J176),2)=1,INDEX(D:D,(ROW(J176)+1)/2),INDEX(F:F,ROW(J176)/2)),"")</f>
        <v>-173.9</v>
      </c>
      <c r="K176" s="17">
        <f t="array" ref="K176">IF(ROW(K176)&lt;=COUNTA(E:E)*2,IF(MOD(ROW(K176),2)=1,INDEX(E:E,(ROW(K176)+1)/2),INDEX(G:G,ROW(K176)/2)),"")</f>
        <v>48.24</v>
      </c>
    </row>
    <row r="177" spans="1:11" x14ac:dyDescent="0.25">
      <c r="A177" s="25"/>
      <c r="B177" s="25"/>
      <c r="D177" s="25">
        <f t="shared" si="20"/>
        <v>-349.9</v>
      </c>
      <c r="E177" s="13">
        <f t="shared" si="21"/>
        <v>46.76</v>
      </c>
      <c r="F177" s="25">
        <f t="shared" si="22"/>
        <v>-351.9</v>
      </c>
      <c r="G177" s="13">
        <f t="shared" si="23"/>
        <v>46.76</v>
      </c>
      <c r="J177" s="17">
        <f t="array" ref="J177">IF(ROW(J177)&lt;=COUNTA(D:D)*2,IF(MOD(ROW(J177),2)=1,INDEX(D:D,(ROW(J177)+1)/2),INDEX(F:F,ROW(J177)/2)),"")</f>
        <v>-173.9</v>
      </c>
      <c r="K177" s="17">
        <f t="array" ref="K177">IF(ROW(K177)&lt;=COUNTA(E:E)*2,IF(MOD(ROW(K177),2)=1,INDEX(E:E,(ROW(K177)+1)/2),INDEX(G:G,ROW(K177)/2)),"")</f>
        <v>47.02</v>
      </c>
    </row>
    <row r="178" spans="1:11" x14ac:dyDescent="0.25">
      <c r="A178" s="25"/>
      <c r="B178" s="25"/>
      <c r="D178" s="25">
        <f t="shared" si="20"/>
        <v>-351.9</v>
      </c>
      <c r="E178" s="13">
        <f t="shared" si="21"/>
        <v>47.86</v>
      </c>
      <c r="F178" s="25">
        <f t="shared" si="22"/>
        <v>-353.9</v>
      </c>
      <c r="G178" s="13">
        <f t="shared" si="23"/>
        <v>47.86</v>
      </c>
      <c r="J178" s="17">
        <f t="array" ref="J178">IF(ROW(J178)&lt;=COUNTA(D:D)*2,IF(MOD(ROW(J178),2)=1,INDEX(D:D,(ROW(J178)+1)/2),INDEX(F:F,ROW(J178)/2)),"")</f>
        <v>-175.9</v>
      </c>
      <c r="K178" s="17">
        <f t="array" ref="K178">IF(ROW(K178)&lt;=COUNTA(E:E)*2,IF(MOD(ROW(K178),2)=1,INDEX(E:E,(ROW(K178)+1)/2),INDEX(G:G,ROW(K178)/2)),"")</f>
        <v>47.02</v>
      </c>
    </row>
    <row r="179" spans="1:11" x14ac:dyDescent="0.25">
      <c r="A179" s="25"/>
      <c r="B179" s="25"/>
      <c r="D179" s="25">
        <f t="shared" ref="D179:D195" si="24">0-A178</f>
        <v>-353.9</v>
      </c>
      <c r="E179" s="13">
        <f t="shared" ref="E179:E195" si="25">45+(B179/100)*4</f>
        <v>48.08</v>
      </c>
      <c r="F179" s="25">
        <f t="shared" ref="F179:F195" si="26">0-A179</f>
        <v>-355.9</v>
      </c>
      <c r="G179" s="13">
        <f t="shared" ref="G179:G195" si="27">45+(B179/100)*4</f>
        <v>48.08</v>
      </c>
      <c r="J179" s="17">
        <f t="array" ref="J179">IF(ROW(J179)&lt;=COUNTA(D:D)*2,IF(MOD(ROW(J179),2)=1,INDEX(D:D,(ROW(J179)+1)/2),INDEX(F:F,ROW(J179)/2)),"")</f>
        <v>-175.9</v>
      </c>
      <c r="K179" s="17">
        <f t="array" ref="K179">IF(ROW(K179)&lt;=COUNTA(E:E)*2,IF(MOD(ROW(K179),2)=1,INDEX(E:E,(ROW(K179)+1)/2),INDEX(G:G,ROW(K179)/2)),"")</f>
        <v>47.82</v>
      </c>
    </row>
    <row r="180" spans="1:11" x14ac:dyDescent="0.25">
      <c r="A180" s="25"/>
      <c r="B180" s="25"/>
      <c r="D180" s="25">
        <f t="shared" si="24"/>
        <v>-355.9</v>
      </c>
      <c r="E180" s="13">
        <f t="shared" si="25"/>
        <v>47.38</v>
      </c>
      <c r="F180" s="25">
        <f t="shared" si="26"/>
        <v>-357.9</v>
      </c>
      <c r="G180" s="13">
        <f t="shared" si="27"/>
        <v>47.38</v>
      </c>
      <c r="J180" s="17">
        <f t="array" ref="J180">IF(ROW(J180)&lt;=COUNTA(D:D)*2,IF(MOD(ROW(J180),2)=1,INDEX(D:D,(ROW(J180)+1)/2),INDEX(F:F,ROW(J180)/2)),"")</f>
        <v>-177.9</v>
      </c>
      <c r="K180" s="17">
        <f t="array" ref="K180">IF(ROW(K180)&lt;=COUNTA(E:E)*2,IF(MOD(ROW(K180),2)=1,INDEX(E:E,(ROW(K180)+1)/2),INDEX(G:G,ROW(K180)/2)),"")</f>
        <v>47.82</v>
      </c>
    </row>
    <row r="181" spans="1:11" x14ac:dyDescent="0.25">
      <c r="A181" s="25"/>
      <c r="B181" s="25"/>
      <c r="D181" s="25">
        <f t="shared" si="24"/>
        <v>-357.9</v>
      </c>
      <c r="E181" s="13">
        <f t="shared" si="25"/>
        <v>48.42</v>
      </c>
      <c r="F181" s="25">
        <f t="shared" si="26"/>
        <v>-359.9</v>
      </c>
      <c r="G181" s="13">
        <f t="shared" si="27"/>
        <v>48.42</v>
      </c>
      <c r="J181" s="17">
        <f t="array" ref="J181">IF(ROW(J181)&lt;=COUNTA(D:D)*2,IF(MOD(ROW(J181),2)=1,INDEX(D:D,(ROW(J181)+1)/2),INDEX(F:F,ROW(J181)/2)),"")</f>
        <v>-177.9</v>
      </c>
      <c r="K181" s="17">
        <f t="array" ref="K181">IF(ROW(K181)&lt;=COUNTA(E:E)*2,IF(MOD(ROW(K181),2)=1,INDEX(E:E,(ROW(K181)+1)/2),INDEX(G:G,ROW(K181)/2)),"")</f>
        <v>47.42</v>
      </c>
    </row>
    <row r="182" spans="1:11" x14ac:dyDescent="0.25">
      <c r="A182" s="25"/>
      <c r="B182" s="25"/>
      <c r="D182" s="25">
        <f t="shared" si="24"/>
        <v>-359.9</v>
      </c>
      <c r="E182" s="13">
        <f t="shared" si="25"/>
        <v>48.02</v>
      </c>
      <c r="F182" s="25">
        <f t="shared" si="26"/>
        <v>-361.9</v>
      </c>
      <c r="G182" s="13">
        <f t="shared" si="27"/>
        <v>48.02</v>
      </c>
      <c r="J182" s="17">
        <f t="array" ref="J182">IF(ROW(J182)&lt;=COUNTA(D:D)*2,IF(MOD(ROW(J182),2)=1,INDEX(D:D,(ROW(J182)+1)/2),INDEX(F:F,ROW(J182)/2)),"")</f>
        <v>-179.9</v>
      </c>
      <c r="K182" s="17">
        <f t="array" ref="K182">IF(ROW(K182)&lt;=COUNTA(E:E)*2,IF(MOD(ROW(K182),2)=1,INDEX(E:E,(ROW(K182)+1)/2),INDEX(G:G,ROW(K182)/2)),"")</f>
        <v>47.42</v>
      </c>
    </row>
    <row r="183" spans="1:11" x14ac:dyDescent="0.25">
      <c r="A183" s="25"/>
      <c r="B183" s="25"/>
      <c r="D183" s="25">
        <f t="shared" si="24"/>
        <v>-361.9</v>
      </c>
      <c r="E183" s="13">
        <f t="shared" si="25"/>
        <v>48.38</v>
      </c>
      <c r="F183" s="25">
        <f t="shared" si="26"/>
        <v>-363.9</v>
      </c>
      <c r="G183" s="13">
        <f t="shared" si="27"/>
        <v>48.38</v>
      </c>
      <c r="J183" s="17">
        <f t="array" ref="J183">IF(ROW(J183)&lt;=COUNTA(D:D)*2,IF(MOD(ROW(J183),2)=1,INDEX(D:D,(ROW(J183)+1)/2),INDEX(F:F,ROW(J183)/2)),"")</f>
        <v>-179.9</v>
      </c>
      <c r="K183" s="17">
        <f t="array" ref="K183">IF(ROW(K183)&lt;=COUNTA(E:E)*2,IF(MOD(ROW(K183),2)=1,INDEX(E:E,(ROW(K183)+1)/2),INDEX(G:G,ROW(K183)/2)),"")</f>
        <v>48.12</v>
      </c>
    </row>
    <row r="184" spans="1:11" x14ac:dyDescent="0.25">
      <c r="A184" s="25"/>
      <c r="B184" s="25"/>
      <c r="D184" s="25">
        <f t="shared" si="24"/>
        <v>-363.9</v>
      </c>
      <c r="E184" s="13">
        <f t="shared" si="25"/>
        <v>48.26</v>
      </c>
      <c r="F184" s="25">
        <f t="shared" si="26"/>
        <v>-365.9</v>
      </c>
      <c r="G184" s="13">
        <f t="shared" si="27"/>
        <v>48.26</v>
      </c>
      <c r="J184" s="17">
        <f t="array" ref="J184">IF(ROW(J184)&lt;=COUNTA(D:D)*2,IF(MOD(ROW(J184),2)=1,INDEX(D:D,(ROW(J184)+1)/2),INDEX(F:F,ROW(J184)/2)),"")</f>
        <v>-181.9</v>
      </c>
      <c r="K184" s="17">
        <f t="array" ref="K184">IF(ROW(K184)&lt;=COUNTA(E:E)*2,IF(MOD(ROW(K184),2)=1,INDEX(E:E,(ROW(K184)+1)/2),INDEX(G:G,ROW(K184)/2)),"")</f>
        <v>48.12</v>
      </c>
    </row>
    <row r="185" spans="1:11" x14ac:dyDescent="0.25">
      <c r="A185" s="25"/>
      <c r="B185" s="25"/>
      <c r="D185" s="25">
        <f t="shared" si="24"/>
        <v>-365.9</v>
      </c>
      <c r="E185" s="13">
        <f t="shared" si="25"/>
        <v>46.48</v>
      </c>
      <c r="F185" s="25">
        <f t="shared" si="26"/>
        <v>-367.9</v>
      </c>
      <c r="G185" s="13">
        <f t="shared" si="27"/>
        <v>46.48</v>
      </c>
      <c r="J185" s="17">
        <f t="array" ref="J185">IF(ROW(J185)&lt;=COUNTA(D:D)*2,IF(MOD(ROW(J185),2)=1,INDEX(D:D,(ROW(J185)+1)/2),INDEX(F:F,ROW(J185)/2)),"")</f>
        <v>-181.9</v>
      </c>
      <c r="K185" s="17">
        <f t="array" ref="K185">IF(ROW(K185)&lt;=COUNTA(E:E)*2,IF(MOD(ROW(K185),2)=1,INDEX(E:E,(ROW(K185)+1)/2),INDEX(G:G,ROW(K185)/2)),"")</f>
        <v>48.58</v>
      </c>
    </row>
    <row r="186" spans="1:11" x14ac:dyDescent="0.25">
      <c r="A186" s="25"/>
      <c r="B186" s="25"/>
      <c r="D186" s="25">
        <f t="shared" si="24"/>
        <v>-367.9</v>
      </c>
      <c r="E186" s="13">
        <f t="shared" si="25"/>
        <v>47.18</v>
      </c>
      <c r="F186" s="25">
        <f t="shared" si="26"/>
        <v>-369.9</v>
      </c>
      <c r="G186" s="13">
        <f t="shared" si="27"/>
        <v>47.18</v>
      </c>
      <c r="J186" s="17">
        <f t="array" ref="J186">IF(ROW(J186)&lt;=COUNTA(D:D)*2,IF(MOD(ROW(J186),2)=1,INDEX(D:D,(ROW(J186)+1)/2),INDEX(F:F,ROW(J186)/2)),"")</f>
        <v>-183.9</v>
      </c>
      <c r="K186" s="17">
        <f t="array" ref="K186">IF(ROW(K186)&lt;=COUNTA(E:E)*2,IF(MOD(ROW(K186),2)=1,INDEX(E:E,(ROW(K186)+1)/2),INDEX(G:G,ROW(K186)/2)),"")</f>
        <v>48.58</v>
      </c>
    </row>
    <row r="187" spans="1:11" x14ac:dyDescent="0.25">
      <c r="A187" s="25"/>
      <c r="B187" s="25"/>
      <c r="D187" s="25">
        <f t="shared" si="24"/>
        <v>-369.9</v>
      </c>
      <c r="E187" s="13">
        <f t="shared" si="25"/>
        <v>46.4</v>
      </c>
      <c r="F187" s="25">
        <f t="shared" si="26"/>
        <v>-371.9</v>
      </c>
      <c r="G187" s="13">
        <f t="shared" si="27"/>
        <v>46.4</v>
      </c>
      <c r="J187" s="17">
        <f t="array" ref="J187">IF(ROW(J187)&lt;=COUNTA(D:D)*2,IF(MOD(ROW(J187),2)=1,INDEX(D:D,(ROW(J187)+1)/2),INDEX(F:F,ROW(J187)/2)),"")</f>
        <v>-183.9</v>
      </c>
      <c r="K187" s="17">
        <f t="array" ref="K187">IF(ROW(K187)&lt;=COUNTA(E:E)*2,IF(MOD(ROW(K187),2)=1,INDEX(E:E,(ROW(K187)+1)/2),INDEX(G:G,ROW(K187)/2)),"")</f>
        <v>48.66</v>
      </c>
    </row>
    <row r="188" spans="1:11" x14ac:dyDescent="0.25">
      <c r="A188" s="25"/>
      <c r="B188" s="25"/>
      <c r="D188" s="25">
        <f t="shared" si="24"/>
        <v>-371.9</v>
      </c>
      <c r="E188" s="13">
        <f t="shared" si="25"/>
        <v>47.14</v>
      </c>
      <c r="F188" s="25">
        <f t="shared" si="26"/>
        <v>-373.9</v>
      </c>
      <c r="G188" s="13">
        <f t="shared" si="27"/>
        <v>47.14</v>
      </c>
      <c r="J188" s="17">
        <f t="array" ref="J188">IF(ROW(J188)&lt;=COUNTA(D:D)*2,IF(MOD(ROW(J188),2)=1,INDEX(D:D,(ROW(J188)+1)/2),INDEX(F:F,ROW(J188)/2)),"")</f>
        <v>-185.9</v>
      </c>
      <c r="K188" s="17">
        <f t="array" ref="K188">IF(ROW(K188)&lt;=COUNTA(E:E)*2,IF(MOD(ROW(K188),2)=1,INDEX(E:E,(ROW(K188)+1)/2),INDEX(G:G,ROW(K188)/2)),"")</f>
        <v>48.66</v>
      </c>
    </row>
    <row r="189" spans="1:11" x14ac:dyDescent="0.25">
      <c r="A189" s="25"/>
      <c r="B189" s="25"/>
      <c r="D189" s="25">
        <f t="shared" si="24"/>
        <v>-373.9</v>
      </c>
      <c r="E189" s="13">
        <f t="shared" si="25"/>
        <v>47.46</v>
      </c>
      <c r="F189" s="25">
        <f t="shared" si="26"/>
        <v>-375.9</v>
      </c>
      <c r="G189" s="13">
        <f t="shared" si="27"/>
        <v>47.46</v>
      </c>
      <c r="J189" s="17">
        <f t="array" ref="J189">IF(ROW(J189)&lt;=COUNTA(D:D)*2,IF(MOD(ROW(J189),2)=1,INDEX(D:D,(ROW(J189)+1)/2),INDEX(F:F,ROW(J189)/2)),"")</f>
        <v>-185.9</v>
      </c>
      <c r="K189" s="17">
        <f t="array" ref="K189">IF(ROW(K189)&lt;=COUNTA(E:E)*2,IF(MOD(ROW(K189),2)=1,INDEX(E:E,(ROW(K189)+1)/2),INDEX(G:G,ROW(K189)/2)),"")</f>
        <v>48.64</v>
      </c>
    </row>
    <row r="190" spans="1:11" x14ac:dyDescent="0.25">
      <c r="A190" s="25"/>
      <c r="B190" s="25"/>
      <c r="D190" s="25">
        <f t="shared" si="24"/>
        <v>-375.9</v>
      </c>
      <c r="E190" s="13">
        <f t="shared" si="25"/>
        <v>48.32</v>
      </c>
      <c r="F190" s="25">
        <f t="shared" si="26"/>
        <v>-377.9</v>
      </c>
      <c r="G190" s="13">
        <f t="shared" si="27"/>
        <v>48.32</v>
      </c>
      <c r="J190" s="17">
        <f t="array" ref="J190">IF(ROW(J190)&lt;=COUNTA(D:D)*2,IF(MOD(ROW(J190),2)=1,INDEX(D:D,(ROW(J190)+1)/2),INDEX(F:F,ROW(J190)/2)),"")</f>
        <v>-187.9</v>
      </c>
      <c r="K190" s="17">
        <f t="array" ref="K190">IF(ROW(K190)&lt;=COUNTA(E:E)*2,IF(MOD(ROW(K190),2)=1,INDEX(E:E,(ROW(K190)+1)/2),INDEX(G:G,ROW(K190)/2)),"")</f>
        <v>48.64</v>
      </c>
    </row>
    <row r="191" spans="1:11" x14ac:dyDescent="0.25">
      <c r="A191" s="25"/>
      <c r="B191" s="25"/>
      <c r="D191" s="25">
        <f t="shared" si="24"/>
        <v>-377.9</v>
      </c>
      <c r="E191" s="13">
        <f t="shared" si="25"/>
        <v>48.44</v>
      </c>
      <c r="F191" s="25">
        <f t="shared" si="26"/>
        <v>-379.9</v>
      </c>
      <c r="G191" s="13">
        <f t="shared" si="27"/>
        <v>48.44</v>
      </c>
      <c r="J191" s="17">
        <f t="array" ref="J191">IF(ROW(J191)&lt;=COUNTA(D:D)*2,IF(MOD(ROW(J191),2)=1,INDEX(D:D,(ROW(J191)+1)/2),INDEX(F:F,ROW(J191)/2)),"")</f>
        <v>-187.9</v>
      </c>
      <c r="K191" s="17">
        <f t="array" ref="K191">IF(ROW(K191)&lt;=COUNTA(E:E)*2,IF(MOD(ROW(K191),2)=1,INDEX(E:E,(ROW(K191)+1)/2),INDEX(G:G,ROW(K191)/2)),"")</f>
        <v>48.26</v>
      </c>
    </row>
    <row r="192" spans="1:11" x14ac:dyDescent="0.25">
      <c r="A192" s="25"/>
      <c r="B192" s="25"/>
      <c r="D192" s="25">
        <f t="shared" si="24"/>
        <v>-379.9</v>
      </c>
      <c r="E192" s="13">
        <f t="shared" si="25"/>
        <v>48.36</v>
      </c>
      <c r="F192" s="25">
        <f t="shared" si="26"/>
        <v>-381.9</v>
      </c>
      <c r="G192" s="13">
        <f t="shared" si="27"/>
        <v>48.36</v>
      </c>
      <c r="J192" s="17">
        <f t="array" ref="J192">IF(ROW(J192)&lt;=COUNTA(D:D)*2,IF(MOD(ROW(J192),2)=1,INDEX(D:D,(ROW(J192)+1)/2),INDEX(F:F,ROW(J192)/2)),"")</f>
        <v>-189.9</v>
      </c>
      <c r="K192" s="17">
        <f t="array" ref="K192">IF(ROW(K192)&lt;=COUNTA(E:E)*2,IF(MOD(ROW(K192),2)=1,INDEX(E:E,(ROW(K192)+1)/2),INDEX(G:G,ROW(K192)/2)),"")</f>
        <v>48.26</v>
      </c>
    </row>
    <row r="193" spans="1:11" x14ac:dyDescent="0.25">
      <c r="A193" s="25"/>
      <c r="B193" s="25"/>
      <c r="D193" s="25">
        <f t="shared" si="24"/>
        <v>-381.9</v>
      </c>
      <c r="E193" s="13">
        <f t="shared" si="25"/>
        <v>48.26</v>
      </c>
      <c r="F193" s="25">
        <f t="shared" si="26"/>
        <v>-383.9</v>
      </c>
      <c r="G193" s="13">
        <f t="shared" si="27"/>
        <v>48.26</v>
      </c>
      <c r="J193" s="17">
        <f t="array" ref="J193">IF(ROW(J193)&lt;=COUNTA(D:D)*2,IF(MOD(ROW(J193),2)=1,INDEX(D:D,(ROW(J193)+1)/2),INDEX(F:F,ROW(J193)/2)),"")</f>
        <v>-189.9</v>
      </c>
      <c r="K193" s="17">
        <f t="array" ref="K193">IF(ROW(K193)&lt;=COUNTA(E:E)*2,IF(MOD(ROW(K193),2)=1,INDEX(E:E,(ROW(K193)+1)/2),INDEX(G:G,ROW(K193)/2)),"")</f>
        <v>48.3</v>
      </c>
    </row>
    <row r="194" spans="1:11" x14ac:dyDescent="0.25">
      <c r="A194" s="25"/>
      <c r="B194" s="25"/>
      <c r="D194" s="25">
        <f t="shared" si="24"/>
        <v>-383.9</v>
      </c>
      <c r="E194" s="13">
        <f t="shared" si="25"/>
        <v>48.82</v>
      </c>
      <c r="F194" s="25">
        <f t="shared" si="26"/>
        <v>-385.9</v>
      </c>
      <c r="G194" s="13">
        <f t="shared" si="27"/>
        <v>48.82</v>
      </c>
      <c r="J194" s="17">
        <f t="array" ref="J194">IF(ROW(J194)&lt;=COUNTA(D:D)*2,IF(MOD(ROW(J194),2)=1,INDEX(D:D,(ROW(J194)+1)/2),INDEX(F:F,ROW(J194)/2)),"")</f>
        <v>-191.9</v>
      </c>
      <c r="K194" s="17">
        <f t="array" ref="K194">IF(ROW(K194)&lt;=COUNTA(E:E)*2,IF(MOD(ROW(K194),2)=1,INDEX(E:E,(ROW(K194)+1)/2),INDEX(G:G,ROW(K194)/2)),"")</f>
        <v>48.3</v>
      </c>
    </row>
    <row r="195" spans="1:11" x14ac:dyDescent="0.25">
      <c r="A195" s="25"/>
      <c r="B195" s="25"/>
      <c r="D195" s="25">
        <f t="shared" si="24"/>
        <v>-385.9</v>
      </c>
      <c r="E195" s="13">
        <f t="shared" si="25"/>
        <v>48.62</v>
      </c>
      <c r="F195" s="25">
        <f t="shared" si="26"/>
        <v>-387.9</v>
      </c>
      <c r="G195" s="13">
        <f t="shared" si="27"/>
        <v>48.62</v>
      </c>
      <c r="J195" s="17">
        <f t="array" ref="J195">IF(ROW(J195)&lt;=COUNTA(D:D)*2,IF(MOD(ROW(J195),2)=1,INDEX(D:D,(ROW(J195)+1)/2),INDEX(F:F,ROW(J195)/2)),"")</f>
        <v>-191.9</v>
      </c>
      <c r="K195" s="17">
        <f t="array" ref="K195">IF(ROW(K195)&lt;=COUNTA(E:E)*2,IF(MOD(ROW(K195),2)=1,INDEX(E:E,(ROW(K195)+1)/2),INDEX(G:G,ROW(K195)/2)),"")</f>
        <v>48.3</v>
      </c>
    </row>
    <row r="196" spans="1:11" x14ac:dyDescent="0.25">
      <c r="A196" s="25"/>
      <c r="B196" s="25"/>
      <c r="D196" s="25">
        <f t="shared" ref="D196:D227" si="28">0-A195</f>
        <v>-387.9</v>
      </c>
      <c r="E196" s="13">
        <f t="shared" ref="E196:E227" si="29">45+(B196/100)*4</f>
        <v>48.68</v>
      </c>
      <c r="F196" s="25">
        <f t="shared" ref="F196:F227" si="30">0-A196</f>
        <v>-389.9</v>
      </c>
      <c r="G196" s="13">
        <f t="shared" ref="G196:G227" si="31">45+(B196/100)*4</f>
        <v>48.68</v>
      </c>
      <c r="J196" s="17">
        <f t="array" ref="J196">IF(ROW(J196)&lt;=COUNTA(D:D)*2,IF(MOD(ROW(J196),2)=1,INDEX(D:D,(ROW(J196)+1)/2),INDEX(F:F,ROW(J196)/2)),"")</f>
        <v>-193.9</v>
      </c>
      <c r="K196" s="17">
        <f t="array" ref="K196">IF(ROW(K196)&lt;=COUNTA(E:E)*2,IF(MOD(ROW(K196),2)=1,INDEX(E:E,(ROW(K196)+1)/2),INDEX(G:G,ROW(K196)/2)),"")</f>
        <v>48.3</v>
      </c>
    </row>
    <row r="197" spans="1:11" x14ac:dyDescent="0.25">
      <c r="A197" s="25"/>
      <c r="B197" s="25"/>
      <c r="D197" s="25">
        <f t="shared" si="28"/>
        <v>-389.9</v>
      </c>
      <c r="E197" s="13">
        <f t="shared" si="29"/>
        <v>48.74</v>
      </c>
      <c r="F197" s="25">
        <f t="shared" si="30"/>
        <v>-391.9</v>
      </c>
      <c r="G197" s="13">
        <f t="shared" si="31"/>
        <v>48.74</v>
      </c>
      <c r="J197" s="17">
        <f t="array" ref="J197">IF(ROW(J197)&lt;=COUNTA(D:D)*2,IF(MOD(ROW(J197),2)=1,INDEX(D:D,(ROW(J197)+1)/2),INDEX(F:F,ROW(J197)/2)),"")</f>
        <v>-193.9</v>
      </c>
      <c r="K197" s="17">
        <f t="array" ref="K197">IF(ROW(K197)&lt;=COUNTA(E:E)*2,IF(MOD(ROW(K197),2)=1,INDEX(E:E,(ROW(K197)+1)/2),INDEX(G:G,ROW(K197)/2)),"")</f>
        <v>47.96</v>
      </c>
    </row>
    <row r="198" spans="1:11" x14ac:dyDescent="0.25">
      <c r="A198" s="25"/>
      <c r="B198" s="25"/>
      <c r="D198" s="25">
        <f t="shared" si="28"/>
        <v>-391.9</v>
      </c>
      <c r="E198" s="13">
        <f t="shared" si="29"/>
        <v>48.58</v>
      </c>
      <c r="F198" s="25">
        <f t="shared" si="30"/>
        <v>-393.9</v>
      </c>
      <c r="G198" s="13">
        <f t="shared" si="31"/>
        <v>48.58</v>
      </c>
      <c r="J198" s="17">
        <f t="array" ref="J198">IF(ROW(J198)&lt;=COUNTA(D:D)*2,IF(MOD(ROW(J198),2)=1,INDEX(D:D,(ROW(J198)+1)/2),INDEX(F:F,ROW(J198)/2)),"")</f>
        <v>-195.9</v>
      </c>
      <c r="K198" s="17">
        <f t="array" ref="K198">IF(ROW(K198)&lt;=COUNTA(E:E)*2,IF(MOD(ROW(K198),2)=1,INDEX(E:E,(ROW(K198)+1)/2),INDEX(G:G,ROW(K198)/2)),"")</f>
        <v>47.96</v>
      </c>
    </row>
    <row r="199" spans="1:11" x14ac:dyDescent="0.25">
      <c r="A199" s="25"/>
      <c r="B199" s="25"/>
      <c r="D199" s="25">
        <f t="shared" si="28"/>
        <v>-393.9</v>
      </c>
      <c r="E199" s="13">
        <f t="shared" si="29"/>
        <v>48.68</v>
      </c>
      <c r="F199" s="25">
        <f t="shared" si="30"/>
        <v>-395.9</v>
      </c>
      <c r="G199" s="13">
        <f t="shared" si="31"/>
        <v>48.68</v>
      </c>
      <c r="J199" s="17">
        <f t="array" ref="J199">IF(ROW(J199)&lt;=COUNTA(D:D)*2,IF(MOD(ROW(J199),2)=1,INDEX(D:D,(ROW(J199)+1)/2),INDEX(F:F,ROW(J199)/2)),"")</f>
        <v>-195.9</v>
      </c>
      <c r="K199" s="17">
        <f t="array" ref="K199">IF(ROW(K199)&lt;=COUNTA(E:E)*2,IF(MOD(ROW(K199),2)=1,INDEX(E:E,(ROW(K199)+1)/2),INDEX(G:G,ROW(K199)/2)),"")</f>
        <v>47.88</v>
      </c>
    </row>
    <row r="200" spans="1:11" x14ac:dyDescent="0.25">
      <c r="A200" s="25"/>
      <c r="B200" s="25"/>
      <c r="D200" s="25">
        <f t="shared" si="28"/>
        <v>-395.9</v>
      </c>
      <c r="E200" s="13">
        <f t="shared" si="29"/>
        <v>48.48</v>
      </c>
      <c r="F200" s="25">
        <f t="shared" si="30"/>
        <v>-397.9</v>
      </c>
      <c r="G200" s="13">
        <f t="shared" si="31"/>
        <v>48.48</v>
      </c>
      <c r="J200" s="17">
        <f t="array" ref="J200">IF(ROW(J200)&lt;=COUNTA(D:D)*2,IF(MOD(ROW(J200),2)=1,INDEX(D:D,(ROW(J200)+1)/2),INDEX(F:F,ROW(J200)/2)),"")</f>
        <v>-197.9</v>
      </c>
      <c r="K200" s="17">
        <f t="array" ref="K200">IF(ROW(K200)&lt;=COUNTA(E:E)*2,IF(MOD(ROW(K200),2)=1,INDEX(E:E,(ROW(K200)+1)/2),INDEX(G:G,ROW(K200)/2)),"")</f>
        <v>47.88</v>
      </c>
    </row>
    <row r="201" spans="1:11" x14ac:dyDescent="0.25">
      <c r="A201" s="25"/>
      <c r="B201" s="25"/>
      <c r="D201" s="25">
        <f t="shared" si="28"/>
        <v>-397.9</v>
      </c>
      <c r="E201" s="13">
        <f t="shared" si="29"/>
        <v>48.6</v>
      </c>
      <c r="F201" s="25">
        <f t="shared" si="30"/>
        <v>-399.9</v>
      </c>
      <c r="G201" s="13">
        <f t="shared" si="31"/>
        <v>48.6</v>
      </c>
      <c r="J201" s="17">
        <f t="array" ref="J201">IF(ROW(J201)&lt;=COUNTA(D:D)*2,IF(MOD(ROW(J201),2)=1,INDEX(D:D,(ROW(J201)+1)/2),INDEX(F:F,ROW(J201)/2)),"")</f>
        <v>-197.9</v>
      </c>
      <c r="K201" s="17">
        <f t="array" ref="K201">IF(ROW(K201)&lt;=COUNTA(E:E)*2,IF(MOD(ROW(K201),2)=1,INDEX(E:E,(ROW(K201)+1)/2),INDEX(G:G,ROW(K201)/2)),"")</f>
        <v>48.46</v>
      </c>
    </row>
    <row r="202" spans="1:11" x14ac:dyDescent="0.25">
      <c r="A202" s="25"/>
      <c r="B202" s="25"/>
      <c r="D202" s="25">
        <f t="shared" si="28"/>
        <v>-399.9</v>
      </c>
      <c r="E202" s="13">
        <f t="shared" si="29"/>
        <v>47.06</v>
      </c>
      <c r="F202" s="25">
        <f t="shared" si="30"/>
        <v>-401.9</v>
      </c>
      <c r="G202" s="13">
        <f t="shared" si="31"/>
        <v>47.06</v>
      </c>
      <c r="J202" s="17">
        <f t="array" ref="J202">IF(ROW(J202)&lt;=COUNTA(D:D)*2,IF(MOD(ROW(J202),2)=1,INDEX(D:D,(ROW(J202)+1)/2),INDEX(F:F,ROW(J202)/2)),"")</f>
        <v>-199.9</v>
      </c>
      <c r="K202" s="17">
        <f t="array" ref="K202">IF(ROW(K202)&lt;=COUNTA(E:E)*2,IF(MOD(ROW(K202),2)=1,INDEX(E:E,(ROW(K202)+1)/2),INDEX(G:G,ROW(K202)/2)),"")</f>
        <v>48.46</v>
      </c>
    </row>
    <row r="203" spans="1:11" x14ac:dyDescent="0.25">
      <c r="A203" s="25"/>
      <c r="B203" s="25"/>
      <c r="D203" s="25">
        <f t="shared" si="28"/>
        <v>-401.9</v>
      </c>
      <c r="E203" s="13">
        <f t="shared" si="29"/>
        <v>47.58</v>
      </c>
      <c r="F203" s="25">
        <f t="shared" si="30"/>
        <v>-403.9</v>
      </c>
      <c r="G203" s="13">
        <f t="shared" si="31"/>
        <v>47.58</v>
      </c>
      <c r="J203" s="17">
        <f t="array" ref="J203">IF(ROW(J203)&lt;=COUNTA(D:D)*2,IF(MOD(ROW(J203),2)=1,INDEX(D:D,(ROW(J203)+1)/2),INDEX(F:F,ROW(J203)/2)),"")</f>
        <v>-199.9</v>
      </c>
      <c r="K203" s="17">
        <f t="array" ref="K203">IF(ROW(K203)&lt;=COUNTA(E:E)*2,IF(MOD(ROW(K203),2)=1,INDEX(E:E,(ROW(K203)+1)/2),INDEX(G:G,ROW(K203)/2)),"")</f>
        <v>48.26</v>
      </c>
    </row>
    <row r="204" spans="1:11" x14ac:dyDescent="0.25">
      <c r="A204" s="25"/>
      <c r="B204" s="25"/>
      <c r="D204" s="25">
        <f t="shared" si="28"/>
        <v>-403.9</v>
      </c>
      <c r="E204" s="13">
        <f t="shared" si="29"/>
        <v>48.76</v>
      </c>
      <c r="F204" s="25">
        <f t="shared" si="30"/>
        <v>-405.9</v>
      </c>
      <c r="G204" s="13">
        <f t="shared" si="31"/>
        <v>48.76</v>
      </c>
      <c r="J204" s="17">
        <f t="array" ref="J204">IF(ROW(J204)&lt;=COUNTA(D:D)*2,IF(MOD(ROW(J204),2)=1,INDEX(D:D,(ROW(J204)+1)/2),INDEX(F:F,ROW(J204)/2)),"")</f>
        <v>-201.9</v>
      </c>
      <c r="K204" s="17">
        <f t="array" ref="K204">IF(ROW(K204)&lt;=COUNTA(E:E)*2,IF(MOD(ROW(K204),2)=1,INDEX(E:E,(ROW(K204)+1)/2),INDEX(G:G,ROW(K204)/2)),"")</f>
        <v>48.26</v>
      </c>
    </row>
    <row r="205" spans="1:11" x14ac:dyDescent="0.25">
      <c r="A205" s="25"/>
      <c r="B205" s="25"/>
      <c r="D205" s="25">
        <f t="shared" si="28"/>
        <v>-405.9</v>
      </c>
      <c r="E205" s="13">
        <f t="shared" si="29"/>
        <v>48.32</v>
      </c>
      <c r="F205" s="25">
        <f t="shared" si="30"/>
        <v>-407.9</v>
      </c>
      <c r="G205" s="13">
        <f t="shared" si="31"/>
        <v>48.32</v>
      </c>
      <c r="J205" s="17">
        <f t="array" ref="J205">IF(ROW(J205)&lt;=COUNTA(D:D)*2,IF(MOD(ROW(J205),2)=1,INDEX(D:D,(ROW(J205)+1)/2),INDEX(F:F,ROW(J205)/2)),"")</f>
        <v>-201.9</v>
      </c>
      <c r="K205" s="17">
        <f t="array" ref="K205">IF(ROW(K205)&lt;=COUNTA(E:E)*2,IF(MOD(ROW(K205),2)=1,INDEX(E:E,(ROW(K205)+1)/2),INDEX(G:G,ROW(K205)/2)),"")</f>
        <v>48.24</v>
      </c>
    </row>
    <row r="206" spans="1:11" x14ac:dyDescent="0.25">
      <c r="A206" s="25"/>
      <c r="B206" s="25"/>
      <c r="D206" s="25">
        <f t="shared" si="28"/>
        <v>-407.9</v>
      </c>
      <c r="E206" s="13">
        <f t="shared" si="29"/>
        <v>48.62</v>
      </c>
      <c r="F206" s="25">
        <f t="shared" si="30"/>
        <v>-409.9</v>
      </c>
      <c r="G206" s="13">
        <f t="shared" si="31"/>
        <v>48.62</v>
      </c>
      <c r="J206" s="17">
        <f t="array" ref="J206">IF(ROW(J206)&lt;=COUNTA(D:D)*2,IF(MOD(ROW(J206),2)=1,INDEX(D:D,(ROW(J206)+1)/2),INDEX(F:F,ROW(J206)/2)),"")</f>
        <v>-203.9</v>
      </c>
      <c r="K206" s="17">
        <f t="array" ref="K206">IF(ROW(K206)&lt;=COUNTA(E:E)*2,IF(MOD(ROW(K206),2)=1,INDEX(E:E,(ROW(K206)+1)/2),INDEX(G:G,ROW(K206)/2)),"")</f>
        <v>48.24</v>
      </c>
    </row>
    <row r="207" spans="1:11" x14ac:dyDescent="0.25">
      <c r="A207" s="25"/>
      <c r="B207" s="25"/>
      <c r="D207" s="25">
        <f t="shared" si="28"/>
        <v>-409.9</v>
      </c>
      <c r="E207" s="13">
        <f t="shared" si="29"/>
        <v>48.52</v>
      </c>
      <c r="F207" s="25">
        <f t="shared" si="30"/>
        <v>-411.9</v>
      </c>
      <c r="G207" s="13">
        <f t="shared" si="31"/>
        <v>48.52</v>
      </c>
      <c r="J207" s="17">
        <f t="array" ref="J207">IF(ROW(J207)&lt;=COUNTA(D:D)*2,IF(MOD(ROW(J207),2)=1,INDEX(D:D,(ROW(J207)+1)/2),INDEX(F:F,ROW(J207)/2)),"")</f>
        <v>-203.9</v>
      </c>
      <c r="K207" s="17">
        <f t="array" ref="K207">IF(ROW(K207)&lt;=COUNTA(E:E)*2,IF(MOD(ROW(K207),2)=1,INDEX(E:E,(ROW(K207)+1)/2),INDEX(G:G,ROW(K207)/2)),"")</f>
        <v>46.38</v>
      </c>
    </row>
    <row r="208" spans="1:11" x14ac:dyDescent="0.25">
      <c r="A208" s="25"/>
      <c r="B208" s="25"/>
      <c r="D208" s="25">
        <f t="shared" si="28"/>
        <v>-411.9</v>
      </c>
      <c r="E208" s="13">
        <f t="shared" si="29"/>
        <v>48.02</v>
      </c>
      <c r="F208" s="25">
        <f t="shared" si="30"/>
        <v>-413.9</v>
      </c>
      <c r="G208" s="13">
        <f t="shared" si="31"/>
        <v>48.02</v>
      </c>
      <c r="J208" s="17">
        <f t="array" ref="J208">IF(ROW(J208)&lt;=COUNTA(D:D)*2,IF(MOD(ROW(J208),2)=1,INDEX(D:D,(ROW(J208)+1)/2),INDEX(F:F,ROW(J208)/2)),"")</f>
        <v>-205.9</v>
      </c>
      <c r="K208" s="17">
        <f t="array" ref="K208">IF(ROW(K208)&lt;=COUNTA(E:E)*2,IF(MOD(ROW(K208),2)=1,INDEX(E:E,(ROW(K208)+1)/2),INDEX(G:G,ROW(K208)/2)),"")</f>
        <v>46.38</v>
      </c>
    </row>
    <row r="209" spans="1:11" x14ac:dyDescent="0.25">
      <c r="A209" s="25"/>
      <c r="B209" s="25"/>
      <c r="D209" s="25">
        <f t="shared" si="28"/>
        <v>-413.9</v>
      </c>
      <c r="E209" s="13">
        <f t="shared" si="29"/>
        <v>48.18</v>
      </c>
      <c r="F209" s="25">
        <f t="shared" si="30"/>
        <v>-415.9</v>
      </c>
      <c r="G209" s="13">
        <f t="shared" si="31"/>
        <v>48.18</v>
      </c>
      <c r="J209" s="17">
        <f t="array" ref="J209">IF(ROW(J209)&lt;=COUNTA(D:D)*2,IF(MOD(ROW(J209),2)=1,INDEX(D:D,(ROW(J209)+1)/2),INDEX(F:F,ROW(J209)/2)),"")</f>
        <v>-205.9</v>
      </c>
      <c r="K209" s="17">
        <f t="array" ref="K209">IF(ROW(K209)&lt;=COUNTA(E:E)*2,IF(MOD(ROW(K209),2)=1,INDEX(E:E,(ROW(K209)+1)/2),INDEX(G:G,ROW(K209)/2)),"")</f>
        <v>47.24</v>
      </c>
    </row>
    <row r="210" spans="1:11" x14ac:dyDescent="0.25">
      <c r="A210" s="25"/>
      <c r="B210" s="25"/>
      <c r="D210" s="25">
        <f t="shared" si="28"/>
        <v>-415.9</v>
      </c>
      <c r="E210" s="13">
        <f t="shared" si="29"/>
        <v>48.2</v>
      </c>
      <c r="F210" s="25">
        <f t="shared" si="30"/>
        <v>-417.9</v>
      </c>
      <c r="G210" s="13">
        <f t="shared" si="31"/>
        <v>48.2</v>
      </c>
      <c r="J210" s="17">
        <f t="array" ref="J210">IF(ROW(J210)&lt;=COUNTA(D:D)*2,IF(MOD(ROW(J210),2)=1,INDEX(D:D,(ROW(J210)+1)/2),INDEX(F:F,ROW(J210)/2)),"")</f>
        <v>-207.9</v>
      </c>
      <c r="K210" s="17">
        <f t="array" ref="K210">IF(ROW(K210)&lt;=COUNTA(E:E)*2,IF(MOD(ROW(K210),2)=1,INDEX(E:E,(ROW(K210)+1)/2),INDEX(G:G,ROW(K210)/2)),"")</f>
        <v>47.24</v>
      </c>
    </row>
    <row r="211" spans="1:11" x14ac:dyDescent="0.25">
      <c r="A211" s="25"/>
      <c r="B211" s="25"/>
      <c r="D211" s="25">
        <f t="shared" si="28"/>
        <v>-417.9</v>
      </c>
      <c r="E211" s="13">
        <f t="shared" si="29"/>
        <v>46.8</v>
      </c>
      <c r="F211" s="25">
        <f t="shared" si="30"/>
        <v>-419.9</v>
      </c>
      <c r="G211" s="13">
        <f t="shared" si="31"/>
        <v>46.8</v>
      </c>
      <c r="J211" s="17">
        <f t="array" ref="J211">IF(ROW(J211)&lt;=COUNTA(D:D)*2,IF(MOD(ROW(J211),2)=1,INDEX(D:D,(ROW(J211)+1)/2),INDEX(F:F,ROW(J211)/2)),"")</f>
        <v>-207.9</v>
      </c>
      <c r="K211" s="17">
        <f t="array" ref="K211">IF(ROW(K211)&lt;=COUNTA(E:E)*2,IF(MOD(ROW(K211),2)=1,INDEX(E:E,(ROW(K211)+1)/2),INDEX(G:G,ROW(K211)/2)),"")</f>
        <v>47.02</v>
      </c>
    </row>
    <row r="212" spans="1:11" x14ac:dyDescent="0.25">
      <c r="A212" s="25"/>
      <c r="B212" s="25"/>
      <c r="D212" s="25">
        <f t="shared" si="28"/>
        <v>-419.9</v>
      </c>
      <c r="E212" s="13">
        <f t="shared" si="29"/>
        <v>47.36</v>
      </c>
      <c r="F212" s="25">
        <f t="shared" si="30"/>
        <v>-421.9</v>
      </c>
      <c r="G212" s="13">
        <f t="shared" si="31"/>
        <v>47.36</v>
      </c>
      <c r="J212" s="17">
        <f t="array" ref="J212">IF(ROW(J212)&lt;=COUNTA(D:D)*2,IF(MOD(ROW(J212),2)=1,INDEX(D:D,(ROW(J212)+1)/2),INDEX(F:F,ROW(J212)/2)),"")</f>
        <v>-209.9</v>
      </c>
      <c r="K212" s="17">
        <f t="array" ref="K212">IF(ROW(K212)&lt;=COUNTA(E:E)*2,IF(MOD(ROW(K212),2)=1,INDEX(E:E,(ROW(K212)+1)/2),INDEX(G:G,ROW(K212)/2)),"")</f>
        <v>47.02</v>
      </c>
    </row>
    <row r="213" spans="1:11" x14ac:dyDescent="0.25">
      <c r="A213" s="25"/>
      <c r="B213" s="25"/>
      <c r="D213" s="25">
        <f t="shared" si="28"/>
        <v>-421.9</v>
      </c>
      <c r="E213" s="13">
        <f t="shared" si="29"/>
        <v>45.86</v>
      </c>
      <c r="F213" s="25">
        <f t="shared" si="30"/>
        <v>-423.9</v>
      </c>
      <c r="G213" s="13">
        <f t="shared" si="31"/>
        <v>45.86</v>
      </c>
      <c r="J213" s="17">
        <f t="array" ref="J213">IF(ROW(J213)&lt;=COUNTA(D:D)*2,IF(MOD(ROW(J213),2)=1,INDEX(D:D,(ROW(J213)+1)/2),INDEX(F:F,ROW(J213)/2)),"")</f>
        <v>-209.9</v>
      </c>
      <c r="K213" s="17">
        <f t="array" ref="K213">IF(ROW(K213)&lt;=COUNTA(E:E)*2,IF(MOD(ROW(K213),2)=1,INDEX(E:E,(ROW(K213)+1)/2),INDEX(G:G,ROW(K213)/2)),"")</f>
        <v>47.28</v>
      </c>
    </row>
    <row r="214" spans="1:11" x14ac:dyDescent="0.25">
      <c r="A214" s="25"/>
      <c r="B214" s="25"/>
      <c r="D214" s="25">
        <f t="shared" si="28"/>
        <v>-423.9</v>
      </c>
      <c r="E214" s="13">
        <f t="shared" si="29"/>
        <v>46.2</v>
      </c>
      <c r="F214" s="25">
        <f t="shared" si="30"/>
        <v>-425.9</v>
      </c>
      <c r="G214" s="13">
        <f t="shared" si="31"/>
        <v>46.2</v>
      </c>
      <c r="J214" s="17">
        <f t="array" ref="J214">IF(ROW(J214)&lt;=COUNTA(D:D)*2,IF(MOD(ROW(J214),2)=1,INDEX(D:D,(ROW(J214)+1)/2),INDEX(F:F,ROW(J214)/2)),"")</f>
        <v>-211.9</v>
      </c>
      <c r="K214" s="17">
        <f t="array" ref="K214">IF(ROW(K214)&lt;=COUNTA(E:E)*2,IF(MOD(ROW(K214),2)=1,INDEX(E:E,(ROW(K214)+1)/2),INDEX(G:G,ROW(K214)/2)),"")</f>
        <v>47.28</v>
      </c>
    </row>
    <row r="215" spans="1:11" x14ac:dyDescent="0.25">
      <c r="A215" s="25"/>
      <c r="B215" s="25"/>
      <c r="D215" s="25">
        <f t="shared" si="28"/>
        <v>-425.9</v>
      </c>
      <c r="E215" s="13">
        <f t="shared" si="29"/>
        <v>46.94</v>
      </c>
      <c r="F215" s="25">
        <f t="shared" si="30"/>
        <v>-427.9</v>
      </c>
      <c r="G215" s="13">
        <f t="shared" si="31"/>
        <v>46.94</v>
      </c>
      <c r="J215" s="17">
        <f t="array" ref="J215">IF(ROW(J215)&lt;=COUNTA(D:D)*2,IF(MOD(ROW(J215),2)=1,INDEX(D:D,(ROW(J215)+1)/2),INDEX(F:F,ROW(J215)/2)),"")</f>
        <v>-211.9</v>
      </c>
      <c r="K215" s="17">
        <f t="array" ref="K215">IF(ROW(K215)&lt;=COUNTA(E:E)*2,IF(MOD(ROW(K215),2)=1,INDEX(E:E,(ROW(K215)+1)/2),INDEX(G:G,ROW(K215)/2)),"")</f>
        <v>47.36</v>
      </c>
    </row>
    <row r="216" spans="1:11" x14ac:dyDescent="0.25">
      <c r="A216" s="25"/>
      <c r="B216" s="25"/>
      <c r="D216" s="25">
        <f t="shared" si="28"/>
        <v>-427.9</v>
      </c>
      <c r="E216" s="13">
        <f t="shared" si="29"/>
        <v>46</v>
      </c>
      <c r="F216" s="25">
        <f t="shared" si="30"/>
        <v>-429.9</v>
      </c>
      <c r="G216" s="13">
        <f t="shared" si="31"/>
        <v>46</v>
      </c>
      <c r="J216" s="17">
        <f t="array" ref="J216">IF(ROW(J216)&lt;=COUNTA(D:D)*2,IF(MOD(ROW(J216),2)=1,INDEX(D:D,(ROW(J216)+1)/2),INDEX(F:F,ROW(J216)/2)),"")</f>
        <v>-213.9</v>
      </c>
      <c r="K216" s="17">
        <f t="array" ref="K216">IF(ROW(K216)&lt;=COUNTA(E:E)*2,IF(MOD(ROW(K216),2)=1,INDEX(E:E,(ROW(K216)+1)/2),INDEX(G:G,ROW(K216)/2)),"")</f>
        <v>47.36</v>
      </c>
    </row>
    <row r="217" spans="1:11" x14ac:dyDescent="0.25">
      <c r="A217" s="25"/>
      <c r="B217" s="25"/>
      <c r="D217" s="25">
        <f t="shared" si="28"/>
        <v>-429.9</v>
      </c>
      <c r="E217" s="13">
        <f t="shared" si="29"/>
        <v>46.62</v>
      </c>
      <c r="F217" s="25">
        <f t="shared" si="30"/>
        <v>-431.9</v>
      </c>
      <c r="G217" s="13">
        <f t="shared" si="31"/>
        <v>46.62</v>
      </c>
      <c r="J217" s="17">
        <f t="array" ref="J217">IF(ROW(J217)&lt;=COUNTA(D:D)*2,IF(MOD(ROW(J217),2)=1,INDEX(D:D,(ROW(J217)+1)/2),INDEX(F:F,ROW(J217)/2)),"")</f>
        <v>-213.9</v>
      </c>
      <c r="K217" s="17">
        <f t="array" ref="K217">IF(ROW(K217)&lt;=COUNTA(E:E)*2,IF(MOD(ROW(K217),2)=1,INDEX(E:E,(ROW(K217)+1)/2),INDEX(G:G,ROW(K217)/2)),"")</f>
        <v>47.84</v>
      </c>
    </row>
    <row r="218" spans="1:11" x14ac:dyDescent="0.25">
      <c r="A218" s="25"/>
      <c r="B218" s="25"/>
      <c r="D218" s="25">
        <f t="shared" si="28"/>
        <v>-431.9</v>
      </c>
      <c r="E218" s="13">
        <f t="shared" si="29"/>
        <v>47.6</v>
      </c>
      <c r="F218" s="25">
        <f t="shared" si="30"/>
        <v>-433.9</v>
      </c>
      <c r="G218" s="13">
        <f t="shared" si="31"/>
        <v>47.6</v>
      </c>
      <c r="J218" s="17">
        <f t="array" ref="J218">IF(ROW(J218)&lt;=COUNTA(D:D)*2,IF(MOD(ROW(J218),2)=1,INDEX(D:D,(ROW(J218)+1)/2),INDEX(F:F,ROW(J218)/2)),"")</f>
        <v>-215.9</v>
      </c>
      <c r="K218" s="17">
        <f t="array" ref="K218">IF(ROW(K218)&lt;=COUNTA(E:E)*2,IF(MOD(ROW(K218),2)=1,INDEX(E:E,(ROW(K218)+1)/2),INDEX(G:G,ROW(K218)/2)),"")</f>
        <v>47.84</v>
      </c>
    </row>
    <row r="219" spans="1:11" x14ac:dyDescent="0.25">
      <c r="A219" s="25"/>
      <c r="B219" s="25"/>
      <c r="D219" s="25">
        <f t="shared" si="28"/>
        <v>-433.9</v>
      </c>
      <c r="E219" s="13">
        <f t="shared" si="29"/>
        <v>46.64</v>
      </c>
      <c r="F219" s="25">
        <f t="shared" si="30"/>
        <v>-435.9</v>
      </c>
      <c r="G219" s="13">
        <f t="shared" si="31"/>
        <v>46.64</v>
      </c>
      <c r="J219" s="17">
        <f t="array" ref="J219">IF(ROW(J219)&lt;=COUNTA(D:D)*2,IF(MOD(ROW(J219),2)=1,INDEX(D:D,(ROW(J219)+1)/2),INDEX(F:F,ROW(J219)/2)),"")</f>
        <v>-215.9</v>
      </c>
      <c r="K219" s="17">
        <f t="array" ref="K219">IF(ROW(K219)&lt;=COUNTA(E:E)*2,IF(MOD(ROW(K219),2)=1,INDEX(E:E,(ROW(K219)+1)/2),INDEX(G:G,ROW(K219)/2)),"")</f>
        <v>47.94</v>
      </c>
    </row>
    <row r="220" spans="1:11" x14ac:dyDescent="0.25">
      <c r="A220" s="25"/>
      <c r="B220" s="25"/>
      <c r="D220" s="25">
        <f t="shared" si="28"/>
        <v>-435.9</v>
      </c>
      <c r="E220" s="13">
        <f t="shared" si="29"/>
        <v>47.82</v>
      </c>
      <c r="F220" s="25">
        <f t="shared" si="30"/>
        <v>-437.9</v>
      </c>
      <c r="G220" s="13">
        <f t="shared" si="31"/>
        <v>47.82</v>
      </c>
      <c r="J220" s="17">
        <f t="array" ref="J220">IF(ROW(J220)&lt;=COUNTA(D:D)*2,IF(MOD(ROW(J220),2)=1,INDEX(D:D,(ROW(J220)+1)/2),INDEX(F:F,ROW(J220)/2)),"")</f>
        <v>-217.9</v>
      </c>
      <c r="K220" s="17">
        <f t="array" ref="K220">IF(ROW(K220)&lt;=COUNTA(E:E)*2,IF(MOD(ROW(K220),2)=1,INDEX(E:E,(ROW(K220)+1)/2),INDEX(G:G,ROW(K220)/2)),"")</f>
        <v>47.94</v>
      </c>
    </row>
    <row r="221" spans="1:11" x14ac:dyDescent="0.25">
      <c r="A221" s="25"/>
      <c r="B221" s="25"/>
      <c r="D221" s="25">
        <f t="shared" si="28"/>
        <v>-437.9</v>
      </c>
      <c r="E221" s="13">
        <f t="shared" si="29"/>
        <v>47.14</v>
      </c>
      <c r="F221" s="25">
        <f t="shared" si="30"/>
        <v>-439.9</v>
      </c>
      <c r="G221" s="13">
        <f t="shared" si="31"/>
        <v>47.14</v>
      </c>
      <c r="J221" s="17">
        <f t="array" ref="J221">IF(ROW(J221)&lt;=COUNTA(D:D)*2,IF(MOD(ROW(J221),2)=1,INDEX(D:D,(ROW(J221)+1)/2),INDEX(F:F,ROW(J221)/2)),"")</f>
        <v>-217.9</v>
      </c>
      <c r="K221" s="17">
        <f t="array" ref="K221">IF(ROW(K221)&lt;=COUNTA(E:E)*2,IF(MOD(ROW(K221),2)=1,INDEX(E:E,(ROW(K221)+1)/2),INDEX(G:G,ROW(K221)/2)),"")</f>
        <v>48.46</v>
      </c>
    </row>
    <row r="222" spans="1:11" x14ac:dyDescent="0.25">
      <c r="A222" s="25"/>
      <c r="B222" s="25"/>
      <c r="D222" s="25">
        <f t="shared" si="28"/>
        <v>-439.9</v>
      </c>
      <c r="E222" s="13">
        <f t="shared" si="29"/>
        <v>47.64</v>
      </c>
      <c r="F222" s="25">
        <f t="shared" si="30"/>
        <v>-441.9</v>
      </c>
      <c r="G222" s="13">
        <f t="shared" si="31"/>
        <v>47.64</v>
      </c>
      <c r="J222" s="17">
        <f t="array" ref="J222">IF(ROW(J222)&lt;=COUNTA(D:D)*2,IF(MOD(ROW(J222),2)=1,INDEX(D:D,(ROW(J222)+1)/2),INDEX(F:F,ROW(J222)/2)),"")</f>
        <v>-219.9</v>
      </c>
      <c r="K222" s="17">
        <f t="array" ref="K222">IF(ROW(K222)&lt;=COUNTA(E:E)*2,IF(MOD(ROW(K222),2)=1,INDEX(E:E,(ROW(K222)+1)/2),INDEX(G:G,ROW(K222)/2)),"")</f>
        <v>48.46</v>
      </c>
    </row>
    <row r="223" spans="1:11" x14ac:dyDescent="0.25">
      <c r="A223" s="25"/>
      <c r="B223" s="25"/>
      <c r="D223" s="25">
        <f t="shared" si="28"/>
        <v>-441.9</v>
      </c>
      <c r="E223" s="13">
        <f t="shared" si="29"/>
        <v>46.1</v>
      </c>
      <c r="F223" s="25">
        <f t="shared" si="30"/>
        <v>-443.9</v>
      </c>
      <c r="G223" s="13">
        <f t="shared" si="31"/>
        <v>46.1</v>
      </c>
      <c r="J223" s="17">
        <f t="array" ref="J223">IF(ROW(J223)&lt;=COUNTA(D:D)*2,IF(MOD(ROW(J223),2)=1,INDEX(D:D,(ROW(J223)+1)/2),INDEX(F:F,ROW(J223)/2)),"")</f>
        <v>-219.9</v>
      </c>
      <c r="K223" s="17">
        <f t="array" ref="K223">IF(ROW(K223)&lt;=COUNTA(E:E)*2,IF(MOD(ROW(K223),2)=1,INDEX(E:E,(ROW(K223)+1)/2),INDEX(G:G,ROW(K223)/2)),"")</f>
        <v>48.16</v>
      </c>
    </row>
    <row r="224" spans="1:11" x14ac:dyDescent="0.25">
      <c r="A224" s="25"/>
      <c r="B224" s="25"/>
      <c r="D224" s="25">
        <f t="shared" si="28"/>
        <v>-443.9</v>
      </c>
      <c r="E224" s="13">
        <f t="shared" si="29"/>
        <v>46.02</v>
      </c>
      <c r="F224" s="25">
        <f t="shared" si="30"/>
        <v>-445.9</v>
      </c>
      <c r="G224" s="13">
        <f t="shared" si="31"/>
        <v>46.02</v>
      </c>
      <c r="J224" s="17">
        <f t="array" ref="J224">IF(ROW(J224)&lt;=COUNTA(D:D)*2,IF(MOD(ROW(J224),2)=1,INDEX(D:D,(ROW(J224)+1)/2),INDEX(F:F,ROW(J224)/2)),"")</f>
        <v>-221.9</v>
      </c>
      <c r="K224" s="17">
        <f t="array" ref="K224">IF(ROW(K224)&lt;=COUNTA(E:E)*2,IF(MOD(ROW(K224),2)=1,INDEX(E:E,(ROW(K224)+1)/2),INDEX(G:G,ROW(K224)/2)),"")</f>
        <v>48.16</v>
      </c>
    </row>
    <row r="225" spans="1:11" x14ac:dyDescent="0.25">
      <c r="A225" s="25"/>
      <c r="B225" s="25"/>
      <c r="D225" s="25">
        <f t="shared" si="28"/>
        <v>-445.9</v>
      </c>
      <c r="E225" s="13">
        <f t="shared" si="29"/>
        <v>47.16</v>
      </c>
      <c r="F225" s="25">
        <f t="shared" si="30"/>
        <v>-447.9</v>
      </c>
      <c r="G225" s="13">
        <f t="shared" si="31"/>
        <v>47.16</v>
      </c>
      <c r="J225" s="17">
        <f t="array" ref="J225">IF(ROW(J225)&lt;=COUNTA(D:D)*2,IF(MOD(ROW(J225),2)=1,INDEX(D:D,(ROW(J225)+1)/2),INDEX(F:F,ROW(J225)/2)),"")</f>
        <v>-221.9</v>
      </c>
      <c r="K225" s="17">
        <f t="array" ref="K225">IF(ROW(K225)&lt;=COUNTA(E:E)*2,IF(MOD(ROW(K225),2)=1,INDEX(E:E,(ROW(K225)+1)/2),INDEX(G:G,ROW(K225)/2)),"")</f>
        <v>47.24</v>
      </c>
    </row>
    <row r="226" spans="1:11" x14ac:dyDescent="0.25">
      <c r="A226" s="25"/>
      <c r="B226" s="25"/>
      <c r="D226" s="25">
        <f t="shared" si="28"/>
        <v>-447.9</v>
      </c>
      <c r="E226" s="13">
        <f t="shared" si="29"/>
        <v>45.74</v>
      </c>
      <c r="F226" s="25">
        <f t="shared" si="30"/>
        <v>-449.9</v>
      </c>
      <c r="G226" s="13">
        <f t="shared" si="31"/>
        <v>45.74</v>
      </c>
      <c r="J226" s="17">
        <f t="array" ref="J226">IF(ROW(J226)&lt;=COUNTA(D:D)*2,IF(MOD(ROW(J226),2)=1,INDEX(D:D,(ROW(J226)+1)/2),INDEX(F:F,ROW(J226)/2)),"")</f>
        <v>-223.9</v>
      </c>
      <c r="K226" s="17">
        <f t="array" ref="K226">IF(ROW(K226)&lt;=COUNTA(E:E)*2,IF(MOD(ROW(K226),2)=1,INDEX(E:E,(ROW(K226)+1)/2),INDEX(G:G,ROW(K226)/2)),"")</f>
        <v>47.24</v>
      </c>
    </row>
    <row r="227" spans="1:11" x14ac:dyDescent="0.25">
      <c r="A227" s="25"/>
      <c r="B227" s="25"/>
      <c r="D227" s="25">
        <f t="shared" si="28"/>
        <v>-449.9</v>
      </c>
      <c r="E227" s="13">
        <f t="shared" si="29"/>
        <v>46.42</v>
      </c>
      <c r="F227" s="25">
        <f t="shared" si="30"/>
        <v>-451.9</v>
      </c>
      <c r="G227" s="13">
        <f t="shared" si="31"/>
        <v>46.42</v>
      </c>
      <c r="J227" s="17">
        <f t="array" ref="J227">IF(ROW(J227)&lt;=COUNTA(D:D)*2,IF(MOD(ROW(J227),2)=1,INDEX(D:D,(ROW(J227)+1)/2),INDEX(F:F,ROW(J227)/2)),"")</f>
        <v>-223.9</v>
      </c>
      <c r="K227" s="17">
        <f t="array" ref="K227">IF(ROW(K227)&lt;=COUNTA(E:E)*2,IF(MOD(ROW(K227),2)=1,INDEX(E:E,(ROW(K227)+1)/2),INDEX(G:G,ROW(K227)/2)),"")</f>
        <v>48.1</v>
      </c>
    </row>
    <row r="228" spans="1:11" x14ac:dyDescent="0.25">
      <c r="A228" s="25"/>
      <c r="B228" s="25"/>
      <c r="D228" s="25">
        <f t="shared" ref="D228:D259" si="32">0-A227</f>
        <v>-451.9</v>
      </c>
      <c r="E228" s="13">
        <f t="shared" ref="E228:E259" si="33">45+(B228/100)*4</f>
        <v>47.12</v>
      </c>
      <c r="F228" s="25">
        <f t="shared" ref="F228:F259" si="34">0-A228</f>
        <v>-453.9</v>
      </c>
      <c r="G228" s="13">
        <f t="shared" ref="G228:G259" si="35">45+(B228/100)*4</f>
        <v>47.12</v>
      </c>
      <c r="J228" s="17">
        <f t="array" ref="J228">IF(ROW(J228)&lt;=COUNTA(D:D)*2,IF(MOD(ROW(J228),2)=1,INDEX(D:D,(ROW(J228)+1)/2),INDEX(F:F,ROW(J228)/2)),"")</f>
        <v>-225.9</v>
      </c>
      <c r="K228" s="17">
        <f t="array" ref="K228">IF(ROW(K228)&lt;=COUNTA(E:E)*2,IF(MOD(ROW(K228),2)=1,INDEX(E:E,(ROW(K228)+1)/2),INDEX(G:G,ROW(K228)/2)),"")</f>
        <v>48.1</v>
      </c>
    </row>
    <row r="229" spans="1:11" x14ac:dyDescent="0.25">
      <c r="A229" s="25"/>
      <c r="B229" s="25"/>
      <c r="D229" s="25">
        <f t="shared" si="32"/>
        <v>-453.9</v>
      </c>
      <c r="E229" s="13">
        <f t="shared" si="33"/>
        <v>45.86</v>
      </c>
      <c r="F229" s="25">
        <f t="shared" si="34"/>
        <v>-455.9</v>
      </c>
      <c r="G229" s="13">
        <f t="shared" si="35"/>
        <v>45.86</v>
      </c>
      <c r="J229" s="17">
        <f t="array" ref="J229">IF(ROW(J229)&lt;=COUNTA(D:D)*2,IF(MOD(ROW(J229),2)=1,INDEX(D:D,(ROW(J229)+1)/2),INDEX(F:F,ROW(J229)/2)),"")</f>
        <v>-225.9</v>
      </c>
      <c r="K229" s="17">
        <f t="array" ref="K229">IF(ROW(K229)&lt;=COUNTA(E:E)*2,IF(MOD(ROW(K229),2)=1,INDEX(E:E,(ROW(K229)+1)/2),INDEX(G:G,ROW(K229)/2)),"")</f>
        <v>48.12</v>
      </c>
    </row>
    <row r="230" spans="1:11" x14ac:dyDescent="0.25">
      <c r="A230" s="25"/>
      <c r="B230" s="25"/>
      <c r="D230" s="25">
        <f t="shared" si="32"/>
        <v>-455.9</v>
      </c>
      <c r="E230" s="13">
        <f t="shared" si="33"/>
        <v>47.56</v>
      </c>
      <c r="F230" s="25">
        <f t="shared" si="34"/>
        <v>-457.9</v>
      </c>
      <c r="G230" s="13">
        <f t="shared" si="35"/>
        <v>47.56</v>
      </c>
      <c r="J230" s="17">
        <f t="array" ref="J230">IF(ROW(J230)&lt;=COUNTA(D:D)*2,IF(MOD(ROW(J230),2)=1,INDEX(D:D,(ROW(J230)+1)/2),INDEX(F:F,ROW(J230)/2)),"")</f>
        <v>-227.9</v>
      </c>
      <c r="K230" s="17">
        <f t="array" ref="K230">IF(ROW(K230)&lt;=COUNTA(E:E)*2,IF(MOD(ROW(K230),2)=1,INDEX(E:E,(ROW(K230)+1)/2),INDEX(G:G,ROW(K230)/2)),"")</f>
        <v>48.12</v>
      </c>
    </row>
    <row r="231" spans="1:11" x14ac:dyDescent="0.25">
      <c r="A231" s="25"/>
      <c r="B231" s="25"/>
      <c r="D231" s="25">
        <f t="shared" si="32"/>
        <v>-457.9</v>
      </c>
      <c r="E231" s="13">
        <f t="shared" si="33"/>
        <v>47.12</v>
      </c>
      <c r="F231" s="25">
        <f t="shared" si="34"/>
        <v>-459.9</v>
      </c>
      <c r="G231" s="13">
        <f t="shared" si="35"/>
        <v>47.12</v>
      </c>
      <c r="J231" s="17">
        <f t="array" ref="J231">IF(ROW(J231)&lt;=COUNTA(D:D)*2,IF(MOD(ROW(J231),2)=1,INDEX(D:D,(ROW(J231)+1)/2),INDEX(F:F,ROW(J231)/2)),"")</f>
        <v>-227.9</v>
      </c>
      <c r="K231" s="17">
        <f t="array" ref="K231">IF(ROW(K231)&lt;=COUNTA(E:E)*2,IF(MOD(ROW(K231),2)=1,INDEX(E:E,(ROW(K231)+1)/2),INDEX(G:G,ROW(K231)/2)),"")</f>
        <v>48.6</v>
      </c>
    </row>
    <row r="232" spans="1:11" x14ac:dyDescent="0.25">
      <c r="A232" s="25"/>
      <c r="B232" s="25"/>
      <c r="D232" s="25">
        <f t="shared" si="32"/>
        <v>-459.9</v>
      </c>
      <c r="E232" s="13">
        <f t="shared" si="33"/>
        <v>47.8</v>
      </c>
      <c r="F232" s="25">
        <f t="shared" si="34"/>
        <v>-461.9</v>
      </c>
      <c r="G232" s="13">
        <f t="shared" si="35"/>
        <v>47.8</v>
      </c>
      <c r="J232" s="17">
        <f t="array" ref="J232">IF(ROW(J232)&lt;=COUNTA(D:D)*2,IF(MOD(ROW(J232),2)=1,INDEX(D:D,(ROW(J232)+1)/2),INDEX(F:F,ROW(J232)/2)),"")</f>
        <v>-229.9</v>
      </c>
      <c r="K232" s="17">
        <f t="array" ref="K232">IF(ROW(K232)&lt;=COUNTA(E:E)*2,IF(MOD(ROW(K232),2)=1,INDEX(E:E,(ROW(K232)+1)/2),INDEX(G:G,ROW(K232)/2)),"")</f>
        <v>48.6</v>
      </c>
    </row>
    <row r="233" spans="1:11" x14ac:dyDescent="0.25">
      <c r="A233" s="25"/>
      <c r="B233" s="25"/>
      <c r="D233" s="25">
        <f t="shared" si="32"/>
        <v>-461.9</v>
      </c>
      <c r="E233" s="13">
        <f t="shared" si="33"/>
        <v>47.7</v>
      </c>
      <c r="F233" s="25">
        <f t="shared" si="34"/>
        <v>-463.9</v>
      </c>
      <c r="G233" s="13">
        <f t="shared" si="35"/>
        <v>47.7</v>
      </c>
      <c r="J233" s="17">
        <f t="array" ref="J233">IF(ROW(J233)&lt;=COUNTA(D:D)*2,IF(MOD(ROW(J233),2)=1,INDEX(D:D,(ROW(J233)+1)/2),INDEX(F:F,ROW(J233)/2)),"")</f>
        <v>-229.9</v>
      </c>
      <c r="K233" s="17">
        <f t="array" ref="K233">IF(ROW(K233)&lt;=COUNTA(E:E)*2,IF(MOD(ROW(K233),2)=1,INDEX(E:E,(ROW(K233)+1)/2),INDEX(G:G,ROW(K233)/2)),"")</f>
        <v>48.22</v>
      </c>
    </row>
    <row r="234" spans="1:11" x14ac:dyDescent="0.25">
      <c r="A234" s="25"/>
      <c r="B234" s="25"/>
      <c r="D234" s="25">
        <f t="shared" si="32"/>
        <v>-463.9</v>
      </c>
      <c r="E234" s="13">
        <f t="shared" si="33"/>
        <v>47.72</v>
      </c>
      <c r="F234" s="25">
        <f t="shared" si="34"/>
        <v>-465.9</v>
      </c>
      <c r="G234" s="13">
        <f t="shared" si="35"/>
        <v>47.72</v>
      </c>
      <c r="J234" s="17">
        <f t="array" ref="J234">IF(ROW(J234)&lt;=COUNTA(D:D)*2,IF(MOD(ROW(J234),2)=1,INDEX(D:D,(ROW(J234)+1)/2),INDEX(F:F,ROW(J234)/2)),"")</f>
        <v>-231.9</v>
      </c>
      <c r="K234" s="17">
        <f t="array" ref="K234">IF(ROW(K234)&lt;=COUNTA(E:E)*2,IF(MOD(ROW(K234),2)=1,INDEX(E:E,(ROW(K234)+1)/2),INDEX(G:G,ROW(K234)/2)),"")</f>
        <v>48.22</v>
      </c>
    </row>
    <row r="235" spans="1:11" x14ac:dyDescent="0.25">
      <c r="A235" s="25"/>
      <c r="B235" s="25"/>
      <c r="D235" s="25">
        <f t="shared" si="32"/>
        <v>-465.9</v>
      </c>
      <c r="E235" s="13">
        <f t="shared" si="33"/>
        <v>47.26</v>
      </c>
      <c r="F235" s="25">
        <f t="shared" si="34"/>
        <v>-467.9</v>
      </c>
      <c r="G235" s="13">
        <f t="shared" si="35"/>
        <v>47.26</v>
      </c>
      <c r="J235" s="17">
        <f t="array" ref="J235">IF(ROW(J235)&lt;=COUNTA(D:D)*2,IF(MOD(ROW(J235),2)=1,INDEX(D:D,(ROW(J235)+1)/2),INDEX(F:F,ROW(J235)/2)),"")</f>
        <v>-231.9</v>
      </c>
      <c r="K235" s="17">
        <f t="array" ref="K235">IF(ROW(K235)&lt;=COUNTA(E:E)*2,IF(MOD(ROW(K235),2)=1,INDEX(E:E,(ROW(K235)+1)/2),INDEX(G:G,ROW(K235)/2)),"")</f>
        <v>48.48</v>
      </c>
    </row>
    <row r="236" spans="1:11" x14ac:dyDescent="0.25">
      <c r="A236" s="25"/>
      <c r="B236" s="25"/>
      <c r="D236" s="25">
        <f t="shared" si="32"/>
        <v>-467.9</v>
      </c>
      <c r="E236" s="13">
        <f t="shared" si="33"/>
        <v>46.68</v>
      </c>
      <c r="F236" s="25">
        <f t="shared" si="34"/>
        <v>-469.9</v>
      </c>
      <c r="G236" s="13">
        <f t="shared" si="35"/>
        <v>46.68</v>
      </c>
      <c r="J236" s="17">
        <f t="array" ref="J236">IF(ROW(J236)&lt;=COUNTA(D:D)*2,IF(MOD(ROW(J236),2)=1,INDEX(D:D,(ROW(J236)+1)/2),INDEX(F:F,ROW(J236)/2)),"")</f>
        <v>-233.9</v>
      </c>
      <c r="K236" s="17">
        <f t="array" ref="K236">IF(ROW(K236)&lt;=COUNTA(E:E)*2,IF(MOD(ROW(K236),2)=1,INDEX(E:E,(ROW(K236)+1)/2),INDEX(G:G,ROW(K236)/2)),"")</f>
        <v>48.48</v>
      </c>
    </row>
    <row r="237" spans="1:11" x14ac:dyDescent="0.25">
      <c r="A237" s="25"/>
      <c r="B237" s="25"/>
      <c r="D237" s="25">
        <f t="shared" si="32"/>
        <v>-469.9</v>
      </c>
      <c r="E237" s="13">
        <f t="shared" si="33"/>
        <v>47.56</v>
      </c>
      <c r="F237" s="25">
        <f t="shared" si="34"/>
        <v>-471.9</v>
      </c>
      <c r="G237" s="13">
        <f t="shared" si="35"/>
        <v>47.56</v>
      </c>
      <c r="J237" s="17">
        <f t="array" ref="J237">IF(ROW(J237)&lt;=COUNTA(D:D)*2,IF(MOD(ROW(J237),2)=1,INDEX(D:D,(ROW(J237)+1)/2),INDEX(F:F,ROW(J237)/2)),"")</f>
        <v>-233.9</v>
      </c>
      <c r="K237" s="17">
        <f t="array" ref="K237">IF(ROW(K237)&lt;=COUNTA(E:E)*2,IF(MOD(ROW(K237),2)=1,INDEX(E:E,(ROW(K237)+1)/2),INDEX(G:G,ROW(K237)/2)),"")</f>
        <v>46.92</v>
      </c>
    </row>
    <row r="238" spans="1:11" x14ac:dyDescent="0.25">
      <c r="A238" s="25"/>
      <c r="B238" s="25"/>
      <c r="D238" s="25">
        <f t="shared" si="32"/>
        <v>-471.9</v>
      </c>
      <c r="E238" s="13">
        <f t="shared" si="33"/>
        <v>47.32</v>
      </c>
      <c r="F238" s="25">
        <f t="shared" si="34"/>
        <v>-473.9</v>
      </c>
      <c r="G238" s="13">
        <f t="shared" si="35"/>
        <v>47.32</v>
      </c>
      <c r="J238" s="17">
        <f t="array" ref="J238">IF(ROW(J238)&lt;=COUNTA(D:D)*2,IF(MOD(ROW(J238),2)=1,INDEX(D:D,(ROW(J238)+1)/2),INDEX(F:F,ROW(J238)/2)),"")</f>
        <v>-235.9</v>
      </c>
      <c r="K238" s="17">
        <f t="array" ref="K238">IF(ROW(K238)&lt;=COUNTA(E:E)*2,IF(MOD(ROW(K238),2)=1,INDEX(E:E,(ROW(K238)+1)/2),INDEX(G:G,ROW(K238)/2)),"")</f>
        <v>46.92</v>
      </c>
    </row>
    <row r="239" spans="1:11" x14ac:dyDescent="0.25">
      <c r="A239" s="25"/>
      <c r="B239" s="25"/>
      <c r="D239" s="25">
        <f t="shared" si="32"/>
        <v>-473.9</v>
      </c>
      <c r="E239" s="13">
        <f t="shared" si="33"/>
        <v>45.72</v>
      </c>
      <c r="F239" s="25">
        <f t="shared" si="34"/>
        <v>-475.9</v>
      </c>
      <c r="G239" s="13">
        <f t="shared" si="35"/>
        <v>45.72</v>
      </c>
      <c r="J239" s="17">
        <f t="array" ref="J239">IF(ROW(J239)&lt;=COUNTA(D:D)*2,IF(MOD(ROW(J239),2)=1,INDEX(D:D,(ROW(J239)+1)/2),INDEX(F:F,ROW(J239)/2)),"")</f>
        <v>-235.9</v>
      </c>
      <c r="K239" s="17">
        <f t="array" ref="K239">IF(ROW(K239)&lt;=COUNTA(E:E)*2,IF(MOD(ROW(K239),2)=1,INDEX(E:E,(ROW(K239)+1)/2),INDEX(G:G,ROW(K239)/2)),"")</f>
        <v>48.8</v>
      </c>
    </row>
    <row r="240" spans="1:11" x14ac:dyDescent="0.25">
      <c r="A240" s="25"/>
      <c r="B240" s="25"/>
      <c r="D240" s="25">
        <f t="shared" si="32"/>
        <v>-475.9</v>
      </c>
      <c r="E240" s="13">
        <f t="shared" si="33"/>
        <v>45.92</v>
      </c>
      <c r="F240" s="25">
        <f t="shared" si="34"/>
        <v>-477.9</v>
      </c>
      <c r="G240" s="13">
        <f t="shared" si="35"/>
        <v>45.92</v>
      </c>
      <c r="J240" s="17">
        <f t="array" ref="J240">IF(ROW(J240)&lt;=COUNTA(D:D)*2,IF(MOD(ROW(J240),2)=1,INDEX(D:D,(ROW(J240)+1)/2),INDEX(F:F,ROW(J240)/2)),"")</f>
        <v>-237.9</v>
      </c>
      <c r="K240" s="17">
        <f t="array" ref="K240">IF(ROW(K240)&lt;=COUNTA(E:E)*2,IF(MOD(ROW(K240),2)=1,INDEX(E:E,(ROW(K240)+1)/2),INDEX(G:G,ROW(K240)/2)),"")</f>
        <v>48.8</v>
      </c>
    </row>
    <row r="241" spans="1:11" x14ac:dyDescent="0.25">
      <c r="A241" s="25"/>
      <c r="B241" s="25"/>
      <c r="D241" s="25">
        <f t="shared" si="32"/>
        <v>-477.9</v>
      </c>
      <c r="E241" s="13">
        <f t="shared" si="33"/>
        <v>46.74</v>
      </c>
      <c r="F241" s="25">
        <f t="shared" si="34"/>
        <v>-479.9</v>
      </c>
      <c r="G241" s="13">
        <f t="shared" si="35"/>
        <v>46.74</v>
      </c>
      <c r="J241" s="17">
        <f t="array" ref="J241">IF(ROW(J241)&lt;=COUNTA(D:D)*2,IF(MOD(ROW(J241),2)=1,INDEX(D:D,(ROW(J241)+1)/2),INDEX(F:F,ROW(J241)/2)),"")</f>
        <v>-237.9</v>
      </c>
      <c r="K241" s="17">
        <f t="array" ref="K241">IF(ROW(K241)&lt;=COUNTA(E:E)*2,IF(MOD(ROW(K241),2)=1,INDEX(E:E,(ROW(K241)+1)/2),INDEX(G:G,ROW(K241)/2)),"")</f>
        <v>48.46</v>
      </c>
    </row>
    <row r="242" spans="1:11" x14ac:dyDescent="0.25">
      <c r="A242" s="25"/>
      <c r="B242" s="25"/>
      <c r="D242" s="25">
        <f t="shared" si="32"/>
        <v>-479.9</v>
      </c>
      <c r="E242" s="13">
        <f t="shared" si="33"/>
        <v>47.62</v>
      </c>
      <c r="F242" s="25">
        <f t="shared" si="34"/>
        <v>-481.9</v>
      </c>
      <c r="G242" s="13">
        <f t="shared" si="35"/>
        <v>47.62</v>
      </c>
      <c r="J242" s="17">
        <f t="array" ref="J242">IF(ROW(J242)&lt;=COUNTA(D:D)*2,IF(MOD(ROW(J242),2)=1,INDEX(D:D,(ROW(J242)+1)/2),INDEX(F:F,ROW(J242)/2)),"")</f>
        <v>-239.9</v>
      </c>
      <c r="K242" s="17">
        <f t="array" ref="K242">IF(ROW(K242)&lt;=COUNTA(E:E)*2,IF(MOD(ROW(K242),2)=1,INDEX(E:E,(ROW(K242)+1)/2),INDEX(G:G,ROW(K242)/2)),"")</f>
        <v>48.46</v>
      </c>
    </row>
    <row r="243" spans="1:11" x14ac:dyDescent="0.25">
      <c r="A243" s="25"/>
      <c r="B243" s="25"/>
      <c r="D243" s="25">
        <f t="shared" si="32"/>
        <v>-481.9</v>
      </c>
      <c r="E243" s="13">
        <f t="shared" si="33"/>
        <v>47.62</v>
      </c>
      <c r="F243" s="25">
        <f t="shared" si="34"/>
        <v>-483.9</v>
      </c>
      <c r="G243" s="13">
        <f t="shared" si="35"/>
        <v>47.62</v>
      </c>
      <c r="J243" s="17">
        <f t="array" ref="J243">IF(ROW(J243)&lt;=COUNTA(D:D)*2,IF(MOD(ROW(J243),2)=1,INDEX(D:D,(ROW(J243)+1)/2),INDEX(F:F,ROW(J243)/2)),"")</f>
        <v>-239.9</v>
      </c>
      <c r="K243" s="17">
        <f t="array" ref="K243">IF(ROW(K243)&lt;=COUNTA(E:E)*2,IF(MOD(ROW(K243),2)=1,INDEX(E:E,(ROW(K243)+1)/2),INDEX(G:G,ROW(K243)/2)),"")</f>
        <v>48.18</v>
      </c>
    </row>
    <row r="244" spans="1:11" x14ac:dyDescent="0.25">
      <c r="A244" s="25"/>
      <c r="B244" s="25"/>
      <c r="D244" s="25">
        <f t="shared" si="32"/>
        <v>-483.9</v>
      </c>
      <c r="E244" s="13">
        <f t="shared" si="33"/>
        <v>47.36</v>
      </c>
      <c r="F244" s="25">
        <f t="shared" si="34"/>
        <v>-485.9</v>
      </c>
      <c r="G244" s="13">
        <f t="shared" si="35"/>
        <v>47.36</v>
      </c>
      <c r="J244" s="17">
        <f t="array" ref="J244">IF(ROW(J244)&lt;=COUNTA(D:D)*2,IF(MOD(ROW(J244),2)=1,INDEX(D:D,(ROW(J244)+1)/2),INDEX(F:F,ROW(J244)/2)),"")</f>
        <v>-241.9</v>
      </c>
      <c r="K244" s="17">
        <f t="array" ref="K244">IF(ROW(K244)&lt;=COUNTA(E:E)*2,IF(MOD(ROW(K244),2)=1,INDEX(E:E,(ROW(K244)+1)/2),INDEX(G:G,ROW(K244)/2)),"")</f>
        <v>48.18</v>
      </c>
    </row>
    <row r="245" spans="1:11" x14ac:dyDescent="0.25">
      <c r="A245" s="25"/>
      <c r="B245" s="25"/>
      <c r="D245" s="25">
        <f t="shared" si="32"/>
        <v>-485.9</v>
      </c>
      <c r="E245" s="13">
        <f t="shared" si="33"/>
        <v>47.24</v>
      </c>
      <c r="F245" s="25">
        <f t="shared" si="34"/>
        <v>-487.9</v>
      </c>
      <c r="G245" s="13">
        <f t="shared" si="35"/>
        <v>47.24</v>
      </c>
      <c r="J245" s="17">
        <f t="array" ref="J245">IF(ROW(J245)&lt;=COUNTA(D:D)*2,IF(MOD(ROW(J245),2)=1,INDEX(D:D,(ROW(J245)+1)/2),INDEX(F:F,ROW(J245)/2)),"")</f>
        <v>-241.9</v>
      </c>
      <c r="K245" s="17">
        <f t="array" ref="K245">IF(ROW(K245)&lt;=COUNTA(E:E)*2,IF(MOD(ROW(K245),2)=1,INDEX(E:E,(ROW(K245)+1)/2),INDEX(G:G,ROW(K245)/2)),"")</f>
        <v>47.92</v>
      </c>
    </row>
    <row r="246" spans="1:11" x14ac:dyDescent="0.25">
      <c r="A246" s="25"/>
      <c r="B246" s="25"/>
      <c r="D246" s="25">
        <f t="shared" si="32"/>
        <v>-487.9</v>
      </c>
      <c r="E246" s="13">
        <f t="shared" si="33"/>
        <v>47.6</v>
      </c>
      <c r="F246" s="25">
        <f t="shared" si="34"/>
        <v>-489.9</v>
      </c>
      <c r="G246" s="13">
        <f t="shared" si="35"/>
        <v>47.6</v>
      </c>
      <c r="J246" s="17">
        <f t="array" ref="J246">IF(ROW(J246)&lt;=COUNTA(D:D)*2,IF(MOD(ROW(J246),2)=1,INDEX(D:D,(ROW(J246)+1)/2),INDEX(F:F,ROW(J246)/2)),"")</f>
        <v>-243.9</v>
      </c>
      <c r="K246" s="17">
        <f t="array" ref="K246">IF(ROW(K246)&lt;=COUNTA(E:E)*2,IF(MOD(ROW(K246),2)=1,INDEX(E:E,(ROW(K246)+1)/2),INDEX(G:G,ROW(K246)/2)),"")</f>
        <v>47.92</v>
      </c>
    </row>
    <row r="247" spans="1:11" x14ac:dyDescent="0.25">
      <c r="A247" s="25"/>
      <c r="B247" s="25"/>
      <c r="D247" s="25">
        <f t="shared" si="32"/>
        <v>-489.9</v>
      </c>
      <c r="E247" s="13">
        <f t="shared" si="33"/>
        <v>47.22</v>
      </c>
      <c r="F247" s="25">
        <f t="shared" si="34"/>
        <v>-491.9</v>
      </c>
      <c r="G247" s="13">
        <f t="shared" si="35"/>
        <v>47.22</v>
      </c>
      <c r="J247" s="17">
        <f t="array" ref="J247">IF(ROW(J247)&lt;=COUNTA(D:D)*2,IF(MOD(ROW(J247),2)=1,INDEX(D:D,(ROW(J247)+1)/2),INDEX(F:F,ROW(J247)/2)),"")</f>
        <v>-243.9</v>
      </c>
      <c r="K247" s="17">
        <f t="array" ref="K247">IF(ROW(K247)&lt;=COUNTA(E:E)*2,IF(MOD(ROW(K247),2)=1,INDEX(E:E,(ROW(K247)+1)/2),INDEX(G:G,ROW(K247)/2)),"")</f>
        <v>48.16</v>
      </c>
    </row>
    <row r="248" spans="1:11" x14ac:dyDescent="0.25">
      <c r="A248" s="25"/>
      <c r="B248" s="25"/>
      <c r="D248" s="25">
        <f t="shared" si="32"/>
        <v>-491.9</v>
      </c>
      <c r="E248" s="13">
        <f t="shared" si="33"/>
        <v>47.2</v>
      </c>
      <c r="F248" s="25">
        <f t="shared" si="34"/>
        <v>-493.9</v>
      </c>
      <c r="G248" s="13">
        <f t="shared" si="35"/>
        <v>47.2</v>
      </c>
      <c r="J248" s="17">
        <f t="array" ref="J248">IF(ROW(J248)&lt;=COUNTA(D:D)*2,IF(MOD(ROW(J248),2)=1,INDEX(D:D,(ROW(J248)+1)/2),INDEX(F:F,ROW(J248)/2)),"")</f>
        <v>-245.9</v>
      </c>
      <c r="K248" s="17">
        <f t="array" ref="K248">IF(ROW(K248)&lt;=COUNTA(E:E)*2,IF(MOD(ROW(K248),2)=1,INDEX(E:E,(ROW(K248)+1)/2),INDEX(G:G,ROW(K248)/2)),"")</f>
        <v>48.16</v>
      </c>
    </row>
    <row r="249" spans="1:11" x14ac:dyDescent="0.25">
      <c r="A249" s="25"/>
      <c r="B249" s="25"/>
      <c r="D249" s="25">
        <f t="shared" si="32"/>
        <v>-493.9</v>
      </c>
      <c r="E249" s="13">
        <f t="shared" si="33"/>
        <v>47.5</v>
      </c>
      <c r="F249" s="25">
        <f t="shared" si="34"/>
        <v>-495.9</v>
      </c>
      <c r="G249" s="13">
        <f t="shared" si="35"/>
        <v>47.5</v>
      </c>
      <c r="J249" s="17">
        <f t="array" ref="J249">IF(ROW(J249)&lt;=COUNTA(D:D)*2,IF(MOD(ROW(J249),2)=1,INDEX(D:D,(ROW(J249)+1)/2),INDEX(F:F,ROW(J249)/2)),"")</f>
        <v>-245.9</v>
      </c>
      <c r="K249" s="17">
        <f t="array" ref="K249">IF(ROW(K249)&lt;=COUNTA(E:E)*2,IF(MOD(ROW(K249),2)=1,INDEX(E:E,(ROW(K249)+1)/2),INDEX(G:G,ROW(K249)/2)),"")</f>
        <v>46.78</v>
      </c>
    </row>
    <row r="250" spans="1:11" x14ac:dyDescent="0.25">
      <c r="A250" s="25"/>
      <c r="B250" s="25"/>
      <c r="D250" s="25">
        <f t="shared" si="32"/>
        <v>-495.9</v>
      </c>
      <c r="E250" s="13">
        <f t="shared" si="33"/>
        <v>47.64</v>
      </c>
      <c r="F250" s="25">
        <f t="shared" si="34"/>
        <v>-497.9</v>
      </c>
      <c r="G250" s="13">
        <f t="shared" si="35"/>
        <v>47.64</v>
      </c>
      <c r="J250" s="17">
        <f t="array" ref="J250">IF(ROW(J250)&lt;=COUNTA(D:D)*2,IF(MOD(ROW(J250),2)=1,INDEX(D:D,(ROW(J250)+1)/2),INDEX(F:F,ROW(J250)/2)),"")</f>
        <v>-247.9</v>
      </c>
      <c r="K250" s="17">
        <f t="array" ref="K250">IF(ROW(K250)&lt;=COUNTA(E:E)*2,IF(MOD(ROW(K250),2)=1,INDEX(E:E,(ROW(K250)+1)/2),INDEX(G:G,ROW(K250)/2)),"")</f>
        <v>46.78</v>
      </c>
    </row>
    <row r="251" spans="1:11" x14ac:dyDescent="0.25">
      <c r="A251" s="25"/>
      <c r="B251" s="25"/>
      <c r="D251" s="25">
        <f t="shared" si="32"/>
        <v>-497.9</v>
      </c>
      <c r="E251" s="13">
        <f t="shared" si="33"/>
        <v>47.14</v>
      </c>
      <c r="F251" s="25">
        <f t="shared" si="34"/>
        <v>-499.9</v>
      </c>
      <c r="G251" s="13">
        <f t="shared" si="35"/>
        <v>47.14</v>
      </c>
      <c r="J251" s="17">
        <f t="array" ref="J251">IF(ROW(J251)&lt;=COUNTA(D:D)*2,IF(MOD(ROW(J251),2)=1,INDEX(D:D,(ROW(J251)+1)/2),INDEX(F:F,ROW(J251)/2)),"")</f>
        <v>-247.9</v>
      </c>
      <c r="K251" s="17">
        <f t="array" ref="K251">IF(ROW(K251)&lt;=COUNTA(E:E)*2,IF(MOD(ROW(K251),2)=1,INDEX(E:E,(ROW(K251)+1)/2),INDEX(G:G,ROW(K251)/2)),"")</f>
        <v>46.86</v>
      </c>
    </row>
    <row r="252" spans="1:11" x14ac:dyDescent="0.25">
      <c r="A252" s="25"/>
      <c r="B252" s="25"/>
      <c r="D252" s="25">
        <f t="shared" si="32"/>
        <v>-499.9</v>
      </c>
      <c r="E252" s="13">
        <f t="shared" si="33"/>
        <v>46.8</v>
      </c>
      <c r="F252" s="25">
        <f t="shared" si="34"/>
        <v>-501.9</v>
      </c>
      <c r="G252" s="13">
        <f t="shared" si="35"/>
        <v>46.8</v>
      </c>
      <c r="J252" s="17">
        <f t="array" ref="J252">IF(ROW(J252)&lt;=COUNTA(D:D)*2,IF(MOD(ROW(J252),2)=1,INDEX(D:D,(ROW(J252)+1)/2),INDEX(F:F,ROW(J252)/2)),"")</f>
        <v>-249.9</v>
      </c>
      <c r="K252" s="17">
        <f t="array" ref="K252">IF(ROW(K252)&lt;=COUNTA(E:E)*2,IF(MOD(ROW(K252),2)=1,INDEX(E:E,(ROW(K252)+1)/2),INDEX(G:G,ROW(K252)/2)),"")</f>
        <v>46.86</v>
      </c>
    </row>
    <row r="253" spans="1:11" x14ac:dyDescent="0.25">
      <c r="A253" s="25"/>
      <c r="B253" s="25"/>
      <c r="D253" s="25">
        <f t="shared" si="32"/>
        <v>-501.9</v>
      </c>
      <c r="E253" s="13">
        <f t="shared" si="33"/>
        <v>45.9</v>
      </c>
      <c r="F253" s="25">
        <f t="shared" si="34"/>
        <v>-503.9</v>
      </c>
      <c r="G253" s="13">
        <f t="shared" si="35"/>
        <v>45.9</v>
      </c>
      <c r="J253" s="17">
        <f t="array" ref="J253">IF(ROW(J253)&lt;=COUNTA(D:D)*2,IF(MOD(ROW(J253),2)=1,INDEX(D:D,(ROW(J253)+1)/2),INDEX(F:F,ROW(J253)/2)),"")</f>
        <v>-249.9</v>
      </c>
      <c r="K253" s="17">
        <f t="array" ref="K253">IF(ROW(K253)&lt;=COUNTA(E:E)*2,IF(MOD(ROW(K253),2)=1,INDEX(E:E,(ROW(K253)+1)/2),INDEX(G:G,ROW(K253)/2)),"")</f>
        <v>47.9</v>
      </c>
    </row>
    <row r="254" spans="1:11" x14ac:dyDescent="0.25">
      <c r="A254" s="25"/>
      <c r="B254" s="25"/>
      <c r="D254" s="25">
        <f t="shared" si="32"/>
        <v>-503.9</v>
      </c>
      <c r="E254" s="13">
        <f t="shared" si="33"/>
        <v>46.8</v>
      </c>
      <c r="F254" s="25">
        <f t="shared" si="34"/>
        <v>-505.9</v>
      </c>
      <c r="G254" s="13">
        <f t="shared" si="35"/>
        <v>46.8</v>
      </c>
      <c r="J254" s="17">
        <f t="array" ref="J254">IF(ROW(J254)&lt;=COUNTA(D:D)*2,IF(MOD(ROW(J254),2)=1,INDEX(D:D,(ROW(J254)+1)/2),INDEX(F:F,ROW(J254)/2)),"")</f>
        <v>-251.9</v>
      </c>
      <c r="K254" s="17">
        <f t="array" ref="K254">IF(ROW(K254)&lt;=COUNTA(E:E)*2,IF(MOD(ROW(K254),2)=1,INDEX(E:E,(ROW(K254)+1)/2),INDEX(G:G,ROW(K254)/2)),"")</f>
        <v>47.9</v>
      </c>
    </row>
    <row r="255" spans="1:11" x14ac:dyDescent="0.25">
      <c r="A255" s="25"/>
      <c r="B255" s="25"/>
      <c r="D255" s="25">
        <f t="shared" si="32"/>
        <v>-505.9</v>
      </c>
      <c r="E255" s="13">
        <f t="shared" si="33"/>
        <v>46.52</v>
      </c>
      <c r="F255" s="25">
        <f t="shared" si="34"/>
        <v>-507.9</v>
      </c>
      <c r="G255" s="13">
        <f t="shared" si="35"/>
        <v>46.52</v>
      </c>
      <c r="J255" s="17">
        <f t="array" ref="J255">IF(ROW(J255)&lt;=COUNTA(D:D)*2,IF(MOD(ROW(J255),2)=1,INDEX(D:D,(ROW(J255)+1)/2),INDEX(F:F,ROW(J255)/2)),"")</f>
        <v>-251.9</v>
      </c>
      <c r="K255" s="17">
        <f t="array" ref="K255">IF(ROW(K255)&lt;=COUNTA(E:E)*2,IF(MOD(ROW(K255),2)=1,INDEX(E:E,(ROW(K255)+1)/2),INDEX(G:G,ROW(K255)/2)),"")</f>
        <v>47.72</v>
      </c>
    </row>
    <row r="256" spans="1:11" x14ac:dyDescent="0.25">
      <c r="A256" s="25"/>
      <c r="B256" s="25"/>
      <c r="D256" s="25">
        <f t="shared" si="32"/>
        <v>-507.9</v>
      </c>
      <c r="E256" s="13">
        <f t="shared" si="33"/>
        <v>47.18</v>
      </c>
      <c r="F256" s="25">
        <f t="shared" si="34"/>
        <v>-509.9</v>
      </c>
      <c r="G256" s="13">
        <f t="shared" si="35"/>
        <v>47.18</v>
      </c>
      <c r="J256" s="17">
        <f t="array" ref="J256">IF(ROW(J256)&lt;=COUNTA(D:D)*2,IF(MOD(ROW(J256),2)=1,INDEX(D:D,(ROW(J256)+1)/2),INDEX(F:F,ROW(J256)/2)),"")</f>
        <v>-253.9</v>
      </c>
      <c r="K256" s="17">
        <f t="array" ref="K256">IF(ROW(K256)&lt;=COUNTA(E:E)*2,IF(MOD(ROW(K256),2)=1,INDEX(E:E,(ROW(K256)+1)/2),INDEX(G:G,ROW(K256)/2)),"")</f>
        <v>47.72</v>
      </c>
    </row>
    <row r="257" spans="1:11" x14ac:dyDescent="0.25">
      <c r="A257" s="25"/>
      <c r="B257" s="25"/>
      <c r="D257" s="25">
        <f t="shared" si="32"/>
        <v>-509.9</v>
      </c>
      <c r="E257" s="13">
        <f t="shared" si="33"/>
        <v>47.38</v>
      </c>
      <c r="F257" s="25">
        <f t="shared" si="34"/>
        <v>-511.9</v>
      </c>
      <c r="G257" s="13">
        <f t="shared" si="35"/>
        <v>47.38</v>
      </c>
      <c r="J257" s="17">
        <f t="array" ref="J257">IF(ROW(J257)&lt;=COUNTA(D:D)*2,IF(MOD(ROW(J257),2)=1,INDEX(D:D,(ROW(J257)+1)/2),INDEX(F:F,ROW(J257)/2)),"")</f>
        <v>-253.9</v>
      </c>
      <c r="K257" s="17">
        <f t="array" ref="K257">IF(ROW(K257)&lt;=COUNTA(E:E)*2,IF(MOD(ROW(K257),2)=1,INDEX(E:E,(ROW(K257)+1)/2),INDEX(G:G,ROW(K257)/2)),"")</f>
        <v>47.64</v>
      </c>
    </row>
    <row r="258" spans="1:11" x14ac:dyDescent="0.25">
      <c r="A258" s="25"/>
      <c r="B258" s="25"/>
      <c r="D258" s="25">
        <f t="shared" si="32"/>
        <v>-511.9</v>
      </c>
      <c r="E258" s="13">
        <f t="shared" si="33"/>
        <v>47.7</v>
      </c>
      <c r="F258" s="25">
        <f t="shared" si="34"/>
        <v>-513.9</v>
      </c>
      <c r="G258" s="13">
        <f t="shared" si="35"/>
        <v>47.7</v>
      </c>
      <c r="J258" s="17">
        <f t="array" ref="J258">IF(ROW(J258)&lt;=COUNTA(D:D)*2,IF(MOD(ROW(J258),2)=1,INDEX(D:D,(ROW(J258)+1)/2),INDEX(F:F,ROW(J258)/2)),"")</f>
        <v>-255.9</v>
      </c>
      <c r="K258" s="17">
        <f t="array" ref="K258">IF(ROW(K258)&lt;=COUNTA(E:E)*2,IF(MOD(ROW(K258),2)=1,INDEX(E:E,(ROW(K258)+1)/2),INDEX(G:G,ROW(K258)/2)),"")</f>
        <v>47.64</v>
      </c>
    </row>
    <row r="259" spans="1:11" x14ac:dyDescent="0.25">
      <c r="A259" s="25"/>
      <c r="B259" s="25"/>
      <c r="D259" s="25">
        <f t="shared" si="32"/>
        <v>-513.9</v>
      </c>
      <c r="E259" s="13">
        <f t="shared" si="33"/>
        <v>47.82</v>
      </c>
      <c r="F259" s="25">
        <f t="shared" si="34"/>
        <v>-515.9</v>
      </c>
      <c r="G259" s="13">
        <f t="shared" si="35"/>
        <v>47.82</v>
      </c>
      <c r="J259" s="17">
        <f t="array" ref="J259">IF(ROW(J259)&lt;=COUNTA(D:D)*2,IF(MOD(ROW(J259),2)=1,INDEX(D:D,(ROW(J259)+1)/2),INDEX(F:F,ROW(J259)/2)),"")</f>
        <v>-255.9</v>
      </c>
      <c r="K259" s="17">
        <f t="array" ref="K259">IF(ROW(K259)&lt;=COUNTA(E:E)*2,IF(MOD(ROW(K259),2)=1,INDEX(E:E,(ROW(K259)+1)/2),INDEX(G:G,ROW(K259)/2)),"")</f>
        <v>47.06</v>
      </c>
    </row>
    <row r="260" spans="1:11" x14ac:dyDescent="0.25">
      <c r="A260" s="25"/>
      <c r="B260" s="25"/>
      <c r="D260" s="25">
        <f t="shared" ref="D260:D291" si="36">0-A259</f>
        <v>-515.9</v>
      </c>
      <c r="E260" s="13">
        <f t="shared" ref="E260:E291" si="37">45+(B260/100)*4</f>
        <v>47.66</v>
      </c>
      <c r="F260" s="25">
        <f t="shared" ref="F260:F291" si="38">0-A260</f>
        <v>-517.9</v>
      </c>
      <c r="G260" s="13">
        <f t="shared" ref="G260:G291" si="39">45+(B260/100)*4</f>
        <v>47.66</v>
      </c>
      <c r="J260" s="17">
        <f t="array" ref="J260">IF(ROW(J260)&lt;=COUNTA(D:D)*2,IF(MOD(ROW(J260),2)=1,INDEX(D:D,(ROW(J260)+1)/2),INDEX(F:F,ROW(J260)/2)),"")</f>
        <v>-257.9</v>
      </c>
      <c r="K260" s="17">
        <f t="array" ref="K260">IF(ROW(K260)&lt;=COUNTA(E:E)*2,IF(MOD(ROW(K260),2)=1,INDEX(E:E,(ROW(K260)+1)/2),INDEX(G:G,ROW(K260)/2)),"")</f>
        <v>47.06</v>
      </c>
    </row>
    <row r="261" spans="1:11" x14ac:dyDescent="0.25">
      <c r="A261" s="25"/>
      <c r="B261" s="25"/>
      <c r="D261" s="25">
        <f t="shared" si="36"/>
        <v>-517.9</v>
      </c>
      <c r="E261" s="13">
        <f t="shared" si="37"/>
        <v>47.82</v>
      </c>
      <c r="F261" s="25">
        <f t="shared" si="38"/>
        <v>-519.9</v>
      </c>
      <c r="G261" s="13">
        <f t="shared" si="39"/>
        <v>47.82</v>
      </c>
      <c r="J261" s="17">
        <f t="array" ref="J261">IF(ROW(J261)&lt;=COUNTA(D:D)*2,IF(MOD(ROW(J261),2)=1,INDEX(D:D,(ROW(J261)+1)/2),INDEX(F:F,ROW(J261)/2)),"")</f>
        <v>-257.9</v>
      </c>
      <c r="K261" s="17">
        <f t="array" ref="K261">IF(ROW(K261)&lt;=COUNTA(E:E)*2,IF(MOD(ROW(K261),2)=1,INDEX(E:E,(ROW(K261)+1)/2),INDEX(G:G,ROW(K261)/2)),"")</f>
        <v>47.52</v>
      </c>
    </row>
    <row r="262" spans="1:11" x14ac:dyDescent="0.25">
      <c r="A262" s="25"/>
      <c r="B262" s="25"/>
      <c r="D262" s="25">
        <f t="shared" si="36"/>
        <v>-519.9</v>
      </c>
      <c r="E262" s="13">
        <f t="shared" si="37"/>
        <v>46.28</v>
      </c>
      <c r="F262" s="25">
        <f t="shared" si="38"/>
        <v>-521.9</v>
      </c>
      <c r="G262" s="13">
        <f t="shared" si="39"/>
        <v>46.28</v>
      </c>
      <c r="J262" s="17">
        <f t="array" ref="J262">IF(ROW(J262)&lt;=COUNTA(D:D)*2,IF(MOD(ROW(J262),2)=1,INDEX(D:D,(ROW(J262)+1)/2),INDEX(F:F,ROW(J262)/2)),"")</f>
        <v>-259.9</v>
      </c>
      <c r="K262" s="17">
        <f t="array" ref="K262">IF(ROW(K262)&lt;=COUNTA(E:E)*2,IF(MOD(ROW(K262),2)=1,INDEX(E:E,(ROW(K262)+1)/2),INDEX(G:G,ROW(K262)/2)),"")</f>
        <v>47.52</v>
      </c>
    </row>
    <row r="263" spans="1:11" x14ac:dyDescent="0.25">
      <c r="A263" s="25"/>
      <c r="B263" s="25"/>
      <c r="D263" s="25">
        <f t="shared" si="36"/>
        <v>-521.9</v>
      </c>
      <c r="E263" s="13">
        <f t="shared" si="37"/>
        <v>46.02</v>
      </c>
      <c r="F263" s="25">
        <f t="shared" si="38"/>
        <v>-523.9</v>
      </c>
      <c r="G263" s="13">
        <f t="shared" si="39"/>
        <v>46.02</v>
      </c>
      <c r="J263" s="17">
        <f t="array" ref="J263">IF(ROW(J263)&lt;=COUNTA(D:D)*2,IF(MOD(ROW(J263),2)=1,INDEX(D:D,(ROW(J263)+1)/2),INDEX(F:F,ROW(J263)/2)),"")</f>
        <v>-259.9</v>
      </c>
      <c r="K263" s="17">
        <f t="array" ref="K263">IF(ROW(K263)&lt;=COUNTA(E:E)*2,IF(MOD(ROW(K263),2)=1,INDEX(E:E,(ROW(K263)+1)/2),INDEX(G:G,ROW(K263)/2)),"")</f>
        <v>47.34</v>
      </c>
    </row>
    <row r="264" spans="1:11" x14ac:dyDescent="0.25">
      <c r="A264" s="25"/>
      <c r="B264" s="25"/>
      <c r="D264" s="25">
        <f t="shared" si="36"/>
        <v>-523.9</v>
      </c>
      <c r="E264" s="13">
        <f t="shared" si="37"/>
        <v>46.26</v>
      </c>
      <c r="F264" s="25">
        <f t="shared" si="38"/>
        <v>-525.9</v>
      </c>
      <c r="G264" s="13">
        <f t="shared" si="39"/>
        <v>46.26</v>
      </c>
      <c r="J264" s="17">
        <f t="array" ref="J264">IF(ROW(J264)&lt;=COUNTA(D:D)*2,IF(MOD(ROW(J264),2)=1,INDEX(D:D,(ROW(J264)+1)/2),INDEX(F:F,ROW(J264)/2)),"")</f>
        <v>-261.9</v>
      </c>
      <c r="K264" s="17">
        <f t="array" ref="K264">IF(ROW(K264)&lt;=COUNTA(E:E)*2,IF(MOD(ROW(K264),2)=1,INDEX(E:E,(ROW(K264)+1)/2),INDEX(G:G,ROW(K264)/2)),"")</f>
        <v>47.34</v>
      </c>
    </row>
    <row r="265" spans="1:11" x14ac:dyDescent="0.25">
      <c r="A265" s="25"/>
      <c r="B265" s="25"/>
      <c r="D265" s="25">
        <f t="shared" si="36"/>
        <v>-525.9</v>
      </c>
      <c r="E265" s="13">
        <f t="shared" si="37"/>
        <v>46.92</v>
      </c>
      <c r="F265" s="25">
        <f t="shared" si="38"/>
        <v>-527.9</v>
      </c>
      <c r="G265" s="13">
        <f t="shared" si="39"/>
        <v>46.92</v>
      </c>
      <c r="J265" s="17">
        <f t="array" ref="J265">IF(ROW(J265)&lt;=COUNTA(D:D)*2,IF(MOD(ROW(J265),2)=1,INDEX(D:D,(ROW(J265)+1)/2),INDEX(F:F,ROW(J265)/2)),"")</f>
        <v>-261.9</v>
      </c>
      <c r="K265" s="17">
        <f t="array" ref="K265">IF(ROW(K265)&lt;=COUNTA(E:E)*2,IF(MOD(ROW(K265),2)=1,INDEX(E:E,(ROW(K265)+1)/2),INDEX(G:G,ROW(K265)/2)),"")</f>
        <v>47.12</v>
      </c>
    </row>
    <row r="266" spans="1:11" x14ac:dyDescent="0.25">
      <c r="A266" s="25"/>
      <c r="B266" s="25"/>
      <c r="D266" s="25">
        <f t="shared" si="36"/>
        <v>-527.9</v>
      </c>
      <c r="E266" s="13">
        <f t="shared" si="37"/>
        <v>45.64</v>
      </c>
      <c r="F266" s="25">
        <f t="shared" si="38"/>
        <v>-529.9</v>
      </c>
      <c r="G266" s="13">
        <f t="shared" si="39"/>
        <v>45.64</v>
      </c>
      <c r="J266" s="17">
        <f t="array" ref="J266">IF(ROW(J266)&lt;=COUNTA(D:D)*2,IF(MOD(ROW(J266),2)=1,INDEX(D:D,(ROW(J266)+1)/2),INDEX(F:F,ROW(J266)/2)),"")</f>
        <v>-263.9</v>
      </c>
      <c r="K266" s="17">
        <f t="array" ref="K266">IF(ROW(K266)&lt;=COUNTA(E:E)*2,IF(MOD(ROW(K266),2)=1,INDEX(E:E,(ROW(K266)+1)/2),INDEX(G:G,ROW(K266)/2)),"")</f>
        <v>47.12</v>
      </c>
    </row>
    <row r="267" spans="1:11" x14ac:dyDescent="0.25">
      <c r="A267" s="25"/>
      <c r="B267" s="25"/>
      <c r="D267" s="25">
        <f t="shared" si="36"/>
        <v>-529.9</v>
      </c>
      <c r="E267" s="13">
        <f t="shared" si="37"/>
        <v>46.28</v>
      </c>
      <c r="F267" s="25">
        <f t="shared" si="38"/>
        <v>-531.9</v>
      </c>
      <c r="G267" s="13">
        <f t="shared" si="39"/>
        <v>46.28</v>
      </c>
      <c r="J267" s="17">
        <f t="array" ref="J267">IF(ROW(J267)&lt;=COUNTA(D:D)*2,IF(MOD(ROW(J267),2)=1,INDEX(D:D,(ROW(J267)+1)/2),INDEX(F:F,ROW(J267)/2)),"")</f>
        <v>-263.9</v>
      </c>
      <c r="K267" s="17">
        <f t="array" ref="K267">IF(ROW(K267)&lt;=COUNTA(E:E)*2,IF(MOD(ROW(K267),2)=1,INDEX(E:E,(ROW(K267)+1)/2),INDEX(G:G,ROW(K267)/2)),"")</f>
        <v>46.42</v>
      </c>
    </row>
    <row r="268" spans="1:11" x14ac:dyDescent="0.25">
      <c r="A268" s="25"/>
      <c r="B268" s="25"/>
      <c r="D268" s="25">
        <f t="shared" si="36"/>
        <v>-531.9</v>
      </c>
      <c r="E268" s="13">
        <f t="shared" si="37"/>
        <v>47.78</v>
      </c>
      <c r="F268" s="25">
        <f t="shared" si="38"/>
        <v>-533.9</v>
      </c>
      <c r="G268" s="13">
        <f t="shared" si="39"/>
        <v>47.78</v>
      </c>
      <c r="J268" s="17">
        <f t="array" ref="J268">IF(ROW(J268)&lt;=COUNTA(D:D)*2,IF(MOD(ROW(J268),2)=1,INDEX(D:D,(ROW(J268)+1)/2),INDEX(F:F,ROW(J268)/2)),"")</f>
        <v>-265.9</v>
      </c>
      <c r="K268" s="17">
        <f t="array" ref="K268">IF(ROW(K268)&lt;=COUNTA(E:E)*2,IF(MOD(ROW(K268),2)=1,INDEX(E:E,(ROW(K268)+1)/2),INDEX(G:G,ROW(K268)/2)),"")</f>
        <v>46.42</v>
      </c>
    </row>
    <row r="269" spans="1:11" x14ac:dyDescent="0.25">
      <c r="A269" s="25"/>
      <c r="B269" s="25"/>
      <c r="D269" s="25">
        <f t="shared" si="36"/>
        <v>-533.9</v>
      </c>
      <c r="E269" s="13">
        <f t="shared" si="37"/>
        <v>46.98</v>
      </c>
      <c r="F269" s="25">
        <f t="shared" si="38"/>
        <v>-535.9</v>
      </c>
      <c r="G269" s="13">
        <f t="shared" si="39"/>
        <v>46.98</v>
      </c>
      <c r="J269" s="17">
        <f t="array" ref="J269">IF(ROW(J269)&lt;=COUNTA(D:D)*2,IF(MOD(ROW(J269),2)=1,INDEX(D:D,(ROW(J269)+1)/2),INDEX(F:F,ROW(J269)/2)),"")</f>
        <v>-265.9</v>
      </c>
      <c r="K269" s="17">
        <f t="array" ref="K269">IF(ROW(K269)&lt;=COUNTA(E:E)*2,IF(MOD(ROW(K269),2)=1,INDEX(E:E,(ROW(K269)+1)/2),INDEX(G:G,ROW(K269)/2)),"")</f>
        <v>47.2</v>
      </c>
    </row>
    <row r="270" spans="1:11" x14ac:dyDescent="0.25">
      <c r="A270" s="25"/>
      <c r="B270" s="25"/>
      <c r="D270" s="25">
        <f t="shared" si="36"/>
        <v>-535.9</v>
      </c>
      <c r="E270" s="13">
        <f t="shared" si="37"/>
        <v>46.28</v>
      </c>
      <c r="F270" s="25">
        <f t="shared" si="38"/>
        <v>-537.9</v>
      </c>
      <c r="G270" s="13">
        <f t="shared" si="39"/>
        <v>46.28</v>
      </c>
      <c r="J270" s="17">
        <f t="array" ref="J270">IF(ROW(J270)&lt;=COUNTA(D:D)*2,IF(MOD(ROW(J270),2)=1,INDEX(D:D,(ROW(J270)+1)/2),INDEX(F:F,ROW(J270)/2)),"")</f>
        <v>-267.9</v>
      </c>
      <c r="K270" s="17">
        <f t="array" ref="K270">IF(ROW(K270)&lt;=COUNTA(E:E)*2,IF(MOD(ROW(K270),2)=1,INDEX(E:E,(ROW(K270)+1)/2),INDEX(G:G,ROW(K270)/2)),"")</f>
        <v>47.2</v>
      </c>
    </row>
    <row r="271" spans="1:11" x14ac:dyDescent="0.25">
      <c r="A271" s="25"/>
      <c r="B271" s="25"/>
      <c r="D271" s="25">
        <f t="shared" si="36"/>
        <v>-537.9</v>
      </c>
      <c r="E271" s="13">
        <f t="shared" si="37"/>
        <v>45.84</v>
      </c>
      <c r="F271" s="25">
        <f t="shared" si="38"/>
        <v>-539.9</v>
      </c>
      <c r="G271" s="13">
        <f t="shared" si="39"/>
        <v>45.84</v>
      </c>
      <c r="J271" s="17">
        <f t="array" ref="J271">IF(ROW(J271)&lt;=COUNTA(D:D)*2,IF(MOD(ROW(J271),2)=1,INDEX(D:D,(ROW(J271)+1)/2),INDEX(F:F,ROW(J271)/2)),"")</f>
        <v>-267.9</v>
      </c>
      <c r="K271" s="17">
        <f t="array" ref="K271">IF(ROW(K271)&lt;=COUNTA(E:E)*2,IF(MOD(ROW(K271),2)=1,INDEX(E:E,(ROW(K271)+1)/2),INDEX(G:G,ROW(K271)/2)),"")</f>
        <v>48.12</v>
      </c>
    </row>
    <row r="272" spans="1:11" x14ac:dyDescent="0.25">
      <c r="A272" s="25"/>
      <c r="B272" s="25"/>
      <c r="D272" s="25">
        <f t="shared" si="36"/>
        <v>-539.9</v>
      </c>
      <c r="E272" s="13">
        <f t="shared" si="37"/>
        <v>46.6</v>
      </c>
      <c r="F272" s="25">
        <f t="shared" si="38"/>
        <v>-541.9</v>
      </c>
      <c r="G272" s="13">
        <f t="shared" si="39"/>
        <v>46.6</v>
      </c>
      <c r="J272" s="17">
        <f t="array" ref="J272">IF(ROW(J272)&lt;=COUNTA(D:D)*2,IF(MOD(ROW(J272),2)=1,INDEX(D:D,(ROW(J272)+1)/2),INDEX(F:F,ROW(J272)/2)),"")</f>
        <v>-269.9</v>
      </c>
      <c r="K272" s="17">
        <f t="array" ref="K272">IF(ROW(K272)&lt;=COUNTA(E:E)*2,IF(MOD(ROW(K272),2)=1,INDEX(E:E,(ROW(K272)+1)/2),INDEX(G:G,ROW(K272)/2)),"")</f>
        <v>48.12</v>
      </c>
    </row>
    <row r="273" spans="1:11" x14ac:dyDescent="0.25">
      <c r="A273" s="25"/>
      <c r="B273" s="25"/>
      <c r="D273" s="25">
        <f t="shared" si="36"/>
        <v>-541.9</v>
      </c>
      <c r="E273" s="13">
        <f t="shared" si="37"/>
        <v>47.06</v>
      </c>
      <c r="F273" s="25">
        <f t="shared" si="38"/>
        <v>-543.9</v>
      </c>
      <c r="G273" s="13">
        <f t="shared" si="39"/>
        <v>47.06</v>
      </c>
      <c r="J273" s="17">
        <f t="array" ref="J273">IF(ROW(J273)&lt;=COUNTA(D:D)*2,IF(MOD(ROW(J273),2)=1,INDEX(D:D,(ROW(J273)+1)/2),INDEX(F:F,ROW(J273)/2)),"")</f>
        <v>-269.9</v>
      </c>
      <c r="K273" s="17">
        <f t="array" ref="K273">IF(ROW(K273)&lt;=COUNTA(E:E)*2,IF(MOD(ROW(K273),2)=1,INDEX(E:E,(ROW(K273)+1)/2),INDEX(G:G,ROW(K273)/2)),"")</f>
        <v>48</v>
      </c>
    </row>
    <row r="274" spans="1:11" x14ac:dyDescent="0.25">
      <c r="A274" s="25"/>
      <c r="B274" s="25"/>
      <c r="D274" s="25">
        <f t="shared" si="36"/>
        <v>-543.9</v>
      </c>
      <c r="E274" s="13">
        <f t="shared" si="37"/>
        <v>47.02</v>
      </c>
      <c r="F274" s="25">
        <f t="shared" si="38"/>
        <v>-545.9</v>
      </c>
      <c r="G274" s="13">
        <f t="shared" si="39"/>
        <v>47.02</v>
      </c>
      <c r="J274" s="17">
        <f t="array" ref="J274">IF(ROW(J274)&lt;=COUNTA(D:D)*2,IF(MOD(ROW(J274),2)=1,INDEX(D:D,(ROW(J274)+1)/2),INDEX(F:F,ROW(J274)/2)),"")</f>
        <v>-271.9</v>
      </c>
      <c r="K274" s="17">
        <f t="array" ref="K274">IF(ROW(K274)&lt;=COUNTA(E:E)*2,IF(MOD(ROW(K274),2)=1,INDEX(E:E,(ROW(K274)+1)/2),INDEX(G:G,ROW(K274)/2)),"")</f>
        <v>48</v>
      </c>
    </row>
    <row r="275" spans="1:11" x14ac:dyDescent="0.25">
      <c r="A275" s="25"/>
      <c r="B275" s="25"/>
      <c r="D275" s="25">
        <f t="shared" si="36"/>
        <v>-545.9</v>
      </c>
      <c r="E275" s="13">
        <f t="shared" si="37"/>
        <v>46.26</v>
      </c>
      <c r="F275" s="25">
        <f t="shared" si="38"/>
        <v>-547.9</v>
      </c>
      <c r="G275" s="13">
        <f t="shared" si="39"/>
        <v>46.26</v>
      </c>
      <c r="J275" s="17">
        <f t="array" ref="J275">IF(ROW(J275)&lt;=COUNTA(D:D)*2,IF(MOD(ROW(J275),2)=1,INDEX(D:D,(ROW(J275)+1)/2),INDEX(F:F,ROW(J275)/2)),"")</f>
        <v>-271.9</v>
      </c>
      <c r="K275" s="17">
        <f t="array" ref="K275">IF(ROW(K275)&lt;=COUNTA(E:E)*2,IF(MOD(ROW(K275),2)=1,INDEX(E:E,(ROW(K275)+1)/2),INDEX(G:G,ROW(K275)/2)),"")</f>
        <v>46.7</v>
      </c>
    </row>
    <row r="276" spans="1:11" x14ac:dyDescent="0.25">
      <c r="A276" s="25"/>
      <c r="B276" s="25"/>
      <c r="D276" s="25">
        <f t="shared" si="36"/>
        <v>-547.9</v>
      </c>
      <c r="E276" s="13">
        <f t="shared" si="37"/>
        <v>45.9</v>
      </c>
      <c r="F276" s="25">
        <f t="shared" si="38"/>
        <v>-549.9</v>
      </c>
      <c r="G276" s="13">
        <f t="shared" si="39"/>
        <v>45.9</v>
      </c>
      <c r="J276" s="17">
        <f t="array" ref="J276">IF(ROW(J276)&lt;=COUNTA(D:D)*2,IF(MOD(ROW(J276),2)=1,INDEX(D:D,(ROW(J276)+1)/2),INDEX(F:F,ROW(J276)/2)),"")</f>
        <v>-273.9</v>
      </c>
      <c r="K276" s="17">
        <f t="array" ref="K276">IF(ROW(K276)&lt;=COUNTA(E:E)*2,IF(MOD(ROW(K276),2)=1,INDEX(E:E,(ROW(K276)+1)/2),INDEX(G:G,ROW(K276)/2)),"")</f>
        <v>46.7</v>
      </c>
    </row>
    <row r="277" spans="1:11" x14ac:dyDescent="0.25">
      <c r="A277" s="25"/>
      <c r="B277" s="25"/>
      <c r="D277" s="25">
        <f t="shared" si="36"/>
        <v>-549.9</v>
      </c>
      <c r="E277" s="13">
        <f t="shared" si="37"/>
        <v>47.34</v>
      </c>
      <c r="F277" s="25">
        <f t="shared" si="38"/>
        <v>-551.9</v>
      </c>
      <c r="G277" s="13">
        <f t="shared" si="39"/>
        <v>47.34</v>
      </c>
      <c r="J277" s="17">
        <f t="array" ref="J277">IF(ROW(J277)&lt;=COUNTA(D:D)*2,IF(MOD(ROW(J277),2)=1,INDEX(D:D,(ROW(J277)+1)/2),INDEX(F:F,ROW(J277)/2)),"")</f>
        <v>-273.9</v>
      </c>
      <c r="K277" s="17">
        <f t="array" ref="K277">IF(ROW(K277)&lt;=COUNTA(E:E)*2,IF(MOD(ROW(K277),2)=1,INDEX(E:E,(ROW(K277)+1)/2),INDEX(G:G,ROW(K277)/2)),"")</f>
        <v>48.22</v>
      </c>
    </row>
    <row r="278" spans="1:11" x14ac:dyDescent="0.25">
      <c r="A278" s="25"/>
      <c r="B278" s="25"/>
      <c r="D278" s="25">
        <f t="shared" si="36"/>
        <v>-551.9</v>
      </c>
      <c r="E278" s="13">
        <f t="shared" si="37"/>
        <v>45</v>
      </c>
      <c r="F278" s="25">
        <f t="shared" si="38"/>
        <v>-553.9</v>
      </c>
      <c r="G278" s="13">
        <f t="shared" si="39"/>
        <v>45</v>
      </c>
      <c r="J278" s="17">
        <f t="array" ref="J278">IF(ROW(J278)&lt;=COUNTA(D:D)*2,IF(MOD(ROW(J278),2)=1,INDEX(D:D,(ROW(J278)+1)/2),INDEX(F:F,ROW(J278)/2)),"")</f>
        <v>-275.9</v>
      </c>
      <c r="K278" s="17">
        <f t="array" ref="K278">IF(ROW(K278)&lt;=COUNTA(E:E)*2,IF(MOD(ROW(K278),2)=1,INDEX(E:E,(ROW(K278)+1)/2),INDEX(G:G,ROW(K278)/2)),"")</f>
        <v>48.22</v>
      </c>
    </row>
    <row r="279" spans="1:11" x14ac:dyDescent="0.25">
      <c r="A279" s="25"/>
      <c r="B279" s="25"/>
      <c r="D279" s="25">
        <f t="shared" si="36"/>
        <v>-553.9</v>
      </c>
      <c r="E279" s="13">
        <f t="shared" si="37"/>
        <v>45.24</v>
      </c>
      <c r="F279" s="25">
        <f t="shared" si="38"/>
        <v>-555.9</v>
      </c>
      <c r="G279" s="13">
        <f t="shared" si="39"/>
        <v>45.24</v>
      </c>
      <c r="J279" s="17">
        <f t="array" ref="J279">IF(ROW(J279)&lt;=COUNTA(D:D)*2,IF(MOD(ROW(J279),2)=1,INDEX(D:D,(ROW(J279)+1)/2),INDEX(F:F,ROW(J279)/2)),"")</f>
        <v>-275.9</v>
      </c>
      <c r="K279" s="17">
        <f t="array" ref="K279">IF(ROW(K279)&lt;=COUNTA(E:E)*2,IF(MOD(ROW(K279),2)=1,INDEX(E:E,(ROW(K279)+1)/2),INDEX(G:G,ROW(K279)/2)),"")</f>
        <v>46.82</v>
      </c>
    </row>
    <row r="280" spans="1:11" x14ac:dyDescent="0.25">
      <c r="A280" s="25"/>
      <c r="B280" s="25"/>
      <c r="D280" s="25">
        <f t="shared" si="36"/>
        <v>-555.9</v>
      </c>
      <c r="E280" s="13">
        <f t="shared" si="37"/>
        <v>46.24</v>
      </c>
      <c r="F280" s="25">
        <f t="shared" si="38"/>
        <v>-557.9</v>
      </c>
      <c r="G280" s="13">
        <f t="shared" si="39"/>
        <v>46.24</v>
      </c>
      <c r="J280" s="17">
        <f t="array" ref="J280">IF(ROW(J280)&lt;=COUNTA(D:D)*2,IF(MOD(ROW(J280),2)=1,INDEX(D:D,(ROW(J280)+1)/2),INDEX(F:F,ROW(J280)/2)),"")</f>
        <v>-277.9</v>
      </c>
      <c r="K280" s="17">
        <f t="array" ref="K280">IF(ROW(K280)&lt;=COUNTA(E:E)*2,IF(MOD(ROW(K280),2)=1,INDEX(E:E,(ROW(K280)+1)/2),INDEX(G:G,ROW(K280)/2)),"")</f>
        <v>46.82</v>
      </c>
    </row>
    <row r="281" spans="1:11" x14ac:dyDescent="0.25">
      <c r="A281" s="25"/>
      <c r="B281" s="25"/>
      <c r="D281" s="25">
        <f t="shared" si="36"/>
        <v>-557.9</v>
      </c>
      <c r="E281" s="13">
        <f t="shared" si="37"/>
        <v>47.32</v>
      </c>
      <c r="F281" s="25">
        <f t="shared" si="38"/>
        <v>-559.9</v>
      </c>
      <c r="G281" s="13">
        <f t="shared" si="39"/>
        <v>47.32</v>
      </c>
      <c r="J281" s="17">
        <f t="array" ref="J281">IF(ROW(J281)&lt;=COUNTA(D:D)*2,IF(MOD(ROW(J281),2)=1,INDEX(D:D,(ROW(J281)+1)/2),INDEX(F:F,ROW(J281)/2)),"")</f>
        <v>-277.9</v>
      </c>
      <c r="K281" s="17">
        <f t="array" ref="K281">IF(ROW(K281)&lt;=COUNTA(E:E)*2,IF(MOD(ROW(K281),2)=1,INDEX(E:E,(ROW(K281)+1)/2),INDEX(G:G,ROW(K281)/2)),"")</f>
        <v>47.8</v>
      </c>
    </row>
    <row r="282" spans="1:11" x14ac:dyDescent="0.25">
      <c r="A282" s="25"/>
      <c r="B282" s="25"/>
      <c r="D282" s="25">
        <f t="shared" si="36"/>
        <v>-559.9</v>
      </c>
      <c r="E282" s="13">
        <f t="shared" si="37"/>
        <v>46.12</v>
      </c>
      <c r="F282" s="25">
        <f t="shared" si="38"/>
        <v>-561.9</v>
      </c>
      <c r="G282" s="13">
        <f t="shared" si="39"/>
        <v>46.12</v>
      </c>
      <c r="J282" s="17">
        <f t="array" ref="J282">IF(ROW(J282)&lt;=COUNTA(D:D)*2,IF(MOD(ROW(J282),2)=1,INDEX(D:D,(ROW(J282)+1)/2),INDEX(F:F,ROW(J282)/2)),"")</f>
        <v>-279.9</v>
      </c>
      <c r="K282" s="17">
        <f t="array" ref="K282">IF(ROW(K282)&lt;=COUNTA(E:E)*2,IF(MOD(ROW(K282),2)=1,INDEX(E:E,(ROW(K282)+1)/2),INDEX(G:G,ROW(K282)/2)),"")</f>
        <v>47.8</v>
      </c>
    </row>
    <row r="283" spans="1:11" x14ac:dyDescent="0.25">
      <c r="A283" s="25"/>
      <c r="B283" s="25"/>
      <c r="D283" s="25">
        <f t="shared" si="36"/>
        <v>-561.9</v>
      </c>
      <c r="E283" s="13">
        <f t="shared" si="37"/>
        <v>47.1</v>
      </c>
      <c r="F283" s="25">
        <f t="shared" si="38"/>
        <v>-563.9</v>
      </c>
      <c r="G283" s="13">
        <f t="shared" si="39"/>
        <v>47.1</v>
      </c>
      <c r="J283" s="17">
        <f t="array" ref="J283">IF(ROW(J283)&lt;=COUNTA(D:D)*2,IF(MOD(ROW(J283),2)=1,INDEX(D:D,(ROW(J283)+1)/2),INDEX(F:F,ROW(J283)/2)),"")</f>
        <v>-279.9</v>
      </c>
      <c r="K283" s="17">
        <f t="array" ref="K283">IF(ROW(K283)&lt;=COUNTA(E:E)*2,IF(MOD(ROW(K283),2)=1,INDEX(E:E,(ROW(K283)+1)/2),INDEX(G:G,ROW(K283)/2)),"")</f>
        <v>47.26</v>
      </c>
    </row>
    <row r="284" spans="1:11" x14ac:dyDescent="0.25">
      <c r="A284" s="25"/>
      <c r="B284" s="25"/>
      <c r="D284" s="25">
        <f t="shared" si="36"/>
        <v>-563.9</v>
      </c>
      <c r="E284" s="13">
        <f t="shared" si="37"/>
        <v>45</v>
      </c>
      <c r="F284" s="25">
        <f t="shared" si="38"/>
        <v>-565.9</v>
      </c>
      <c r="G284" s="13">
        <f t="shared" si="39"/>
        <v>45</v>
      </c>
      <c r="J284" s="17">
        <f t="array" ref="J284">IF(ROW(J284)&lt;=COUNTA(D:D)*2,IF(MOD(ROW(J284),2)=1,INDEX(D:D,(ROW(J284)+1)/2),INDEX(F:F,ROW(J284)/2)),"")</f>
        <v>-281.9</v>
      </c>
      <c r="K284" s="17">
        <f t="array" ref="K284">IF(ROW(K284)&lt;=COUNTA(E:E)*2,IF(MOD(ROW(K284),2)=1,INDEX(E:E,(ROW(K284)+1)/2),INDEX(G:G,ROW(K284)/2)),"")</f>
        <v>47.26</v>
      </c>
    </row>
    <row r="285" spans="1:11" x14ac:dyDescent="0.25">
      <c r="A285" s="25"/>
      <c r="B285" s="25"/>
      <c r="D285" s="25">
        <f t="shared" si="36"/>
        <v>-565.9</v>
      </c>
      <c r="E285" s="13">
        <f t="shared" si="37"/>
        <v>45.44</v>
      </c>
      <c r="F285" s="25">
        <f t="shared" si="38"/>
        <v>-567.9</v>
      </c>
      <c r="G285" s="13">
        <f t="shared" si="39"/>
        <v>45.44</v>
      </c>
      <c r="J285" s="17">
        <f t="array" ref="J285">IF(ROW(J285)&lt;=COUNTA(D:D)*2,IF(MOD(ROW(J285),2)=1,INDEX(D:D,(ROW(J285)+1)/2),INDEX(F:F,ROW(J285)/2)),"")</f>
        <v>-281.9</v>
      </c>
      <c r="K285" s="17">
        <f t="array" ref="K285">IF(ROW(K285)&lt;=COUNTA(E:E)*2,IF(MOD(ROW(K285),2)=1,INDEX(E:E,(ROW(K285)+1)/2),INDEX(G:G,ROW(K285)/2)),"")</f>
        <v>47.32</v>
      </c>
    </row>
    <row r="286" spans="1:11" x14ac:dyDescent="0.25">
      <c r="A286" s="25"/>
      <c r="B286" s="25"/>
      <c r="D286" s="25">
        <f t="shared" si="36"/>
        <v>-567.9</v>
      </c>
      <c r="E286" s="13">
        <f t="shared" si="37"/>
        <v>46.88</v>
      </c>
      <c r="F286" s="25">
        <f t="shared" si="38"/>
        <v>-569.9</v>
      </c>
      <c r="G286" s="13">
        <f t="shared" si="39"/>
        <v>46.88</v>
      </c>
      <c r="J286" s="17">
        <f t="array" ref="J286">IF(ROW(J286)&lt;=COUNTA(D:D)*2,IF(MOD(ROW(J286),2)=1,INDEX(D:D,(ROW(J286)+1)/2),INDEX(F:F,ROW(J286)/2)),"")</f>
        <v>-283.9</v>
      </c>
      <c r="K286" s="17">
        <f t="array" ref="K286">IF(ROW(K286)&lt;=COUNTA(E:E)*2,IF(MOD(ROW(K286),2)=1,INDEX(E:E,(ROW(K286)+1)/2),INDEX(G:G,ROW(K286)/2)),"")</f>
        <v>47.32</v>
      </c>
    </row>
    <row r="287" spans="1:11" x14ac:dyDescent="0.25">
      <c r="A287" s="25"/>
      <c r="B287" s="25"/>
      <c r="D287" s="25">
        <f t="shared" si="36"/>
        <v>-569.9</v>
      </c>
      <c r="E287" s="13">
        <f t="shared" si="37"/>
        <v>46.54</v>
      </c>
      <c r="F287" s="25">
        <f t="shared" si="38"/>
        <v>-571.9</v>
      </c>
      <c r="G287" s="13">
        <f t="shared" si="39"/>
        <v>46.54</v>
      </c>
      <c r="J287" s="17">
        <f t="array" ref="J287">IF(ROW(J287)&lt;=COUNTA(D:D)*2,IF(MOD(ROW(J287),2)=1,INDEX(D:D,(ROW(J287)+1)/2),INDEX(F:F,ROW(J287)/2)),"")</f>
        <v>-283.9</v>
      </c>
      <c r="K287" s="17">
        <f t="array" ref="K287">IF(ROW(K287)&lt;=COUNTA(E:E)*2,IF(MOD(ROW(K287),2)=1,INDEX(E:E,(ROW(K287)+1)/2),INDEX(G:G,ROW(K287)/2)),"")</f>
        <v>47.22</v>
      </c>
    </row>
    <row r="288" spans="1:11" x14ac:dyDescent="0.25">
      <c r="A288" s="25"/>
      <c r="B288" s="25"/>
      <c r="D288" s="25">
        <f t="shared" si="36"/>
        <v>-571.9</v>
      </c>
      <c r="E288" s="13">
        <f t="shared" si="37"/>
        <v>45.94</v>
      </c>
      <c r="F288" s="25">
        <f t="shared" si="38"/>
        <v>-573.9</v>
      </c>
      <c r="G288" s="13">
        <f t="shared" si="39"/>
        <v>45.94</v>
      </c>
      <c r="J288" s="17">
        <f t="array" ref="J288">IF(ROW(J288)&lt;=COUNTA(D:D)*2,IF(MOD(ROW(J288),2)=1,INDEX(D:D,(ROW(J288)+1)/2),INDEX(F:F,ROW(J288)/2)),"")</f>
        <v>-285.9</v>
      </c>
      <c r="K288" s="17">
        <f t="array" ref="K288">IF(ROW(K288)&lt;=COUNTA(E:E)*2,IF(MOD(ROW(K288),2)=1,INDEX(E:E,(ROW(K288)+1)/2),INDEX(G:G,ROW(K288)/2)),"")</f>
        <v>47.22</v>
      </c>
    </row>
    <row r="289" spans="1:11" x14ac:dyDescent="0.25">
      <c r="A289" s="25"/>
      <c r="B289" s="25"/>
      <c r="D289" s="25">
        <f t="shared" si="36"/>
        <v>-573.9</v>
      </c>
      <c r="E289" s="13">
        <f t="shared" si="37"/>
        <v>46.98</v>
      </c>
      <c r="F289" s="25">
        <f t="shared" si="38"/>
        <v>-575.9</v>
      </c>
      <c r="G289" s="13">
        <f t="shared" si="39"/>
        <v>46.98</v>
      </c>
      <c r="J289" s="17">
        <f t="array" ref="J289">IF(ROW(J289)&lt;=COUNTA(D:D)*2,IF(MOD(ROW(J289),2)=1,INDEX(D:D,(ROW(J289)+1)/2),INDEX(F:F,ROW(J289)/2)),"")</f>
        <v>-285.9</v>
      </c>
      <c r="K289" s="17">
        <f t="array" ref="K289">IF(ROW(K289)&lt;=COUNTA(E:E)*2,IF(MOD(ROW(K289),2)=1,INDEX(E:E,(ROW(K289)+1)/2),INDEX(G:G,ROW(K289)/2)),"")</f>
        <v>47.42</v>
      </c>
    </row>
    <row r="290" spans="1:11" x14ac:dyDescent="0.25">
      <c r="A290" s="25"/>
      <c r="B290" s="25"/>
      <c r="D290" s="25">
        <f t="shared" si="36"/>
        <v>-575.9</v>
      </c>
      <c r="E290" s="13">
        <f t="shared" si="37"/>
        <v>47.12</v>
      </c>
      <c r="F290" s="25">
        <f t="shared" si="38"/>
        <v>-577.9</v>
      </c>
      <c r="G290" s="13">
        <f t="shared" si="39"/>
        <v>47.12</v>
      </c>
      <c r="J290" s="17">
        <f t="array" ref="J290">IF(ROW(J290)&lt;=COUNTA(D:D)*2,IF(MOD(ROW(J290),2)=1,INDEX(D:D,(ROW(J290)+1)/2),INDEX(F:F,ROW(J290)/2)),"")</f>
        <v>-287.9</v>
      </c>
      <c r="K290" s="17">
        <f t="array" ref="K290">IF(ROW(K290)&lt;=COUNTA(E:E)*2,IF(MOD(ROW(K290),2)=1,INDEX(E:E,(ROW(K290)+1)/2),INDEX(G:G,ROW(K290)/2)),"")</f>
        <v>47.42</v>
      </c>
    </row>
    <row r="291" spans="1:11" x14ac:dyDescent="0.25">
      <c r="A291" s="25"/>
      <c r="B291" s="25"/>
      <c r="D291" s="25">
        <f t="shared" si="36"/>
        <v>-577.9</v>
      </c>
      <c r="E291" s="13">
        <f t="shared" si="37"/>
        <v>46.86</v>
      </c>
      <c r="F291" s="25">
        <f t="shared" si="38"/>
        <v>-579.9</v>
      </c>
      <c r="G291" s="13">
        <f t="shared" si="39"/>
        <v>46.86</v>
      </c>
      <c r="J291" s="17">
        <f t="array" ref="J291">IF(ROW(J291)&lt;=COUNTA(D:D)*2,IF(MOD(ROW(J291),2)=1,INDEX(D:D,(ROW(J291)+1)/2),INDEX(F:F,ROW(J291)/2)),"")</f>
        <v>-287.9</v>
      </c>
      <c r="K291" s="17">
        <f t="array" ref="K291">IF(ROW(K291)&lt;=COUNTA(E:E)*2,IF(MOD(ROW(K291),2)=1,INDEX(E:E,(ROW(K291)+1)/2),INDEX(G:G,ROW(K291)/2)),"")</f>
        <v>47.16</v>
      </c>
    </row>
    <row r="292" spans="1:11" x14ac:dyDescent="0.25">
      <c r="A292" s="25"/>
      <c r="B292" s="25"/>
      <c r="D292" s="25">
        <f t="shared" ref="D292:D323" si="40">0-A291</f>
        <v>-579.9</v>
      </c>
      <c r="E292" s="13">
        <f t="shared" ref="E292:E323" si="41">45+(B292/100)*4</f>
        <v>47.44</v>
      </c>
      <c r="F292" s="25">
        <f t="shared" ref="F292:F323" si="42">0-A292</f>
        <v>-581.9</v>
      </c>
      <c r="G292" s="13">
        <f t="shared" ref="G292:G323" si="43">45+(B292/100)*4</f>
        <v>47.44</v>
      </c>
      <c r="J292" s="17">
        <f t="array" ref="J292">IF(ROW(J292)&lt;=COUNTA(D:D)*2,IF(MOD(ROW(J292),2)=1,INDEX(D:D,(ROW(J292)+1)/2),INDEX(F:F,ROW(J292)/2)),"")</f>
        <v>-289.9</v>
      </c>
      <c r="K292" s="17">
        <f t="array" ref="K292">IF(ROW(K292)&lt;=COUNTA(E:E)*2,IF(MOD(ROW(K292),2)=1,INDEX(E:E,(ROW(K292)+1)/2),INDEX(G:G,ROW(K292)/2)),"")</f>
        <v>47.16</v>
      </c>
    </row>
    <row r="293" spans="1:11" x14ac:dyDescent="0.25">
      <c r="A293" s="25"/>
      <c r="B293" s="25"/>
      <c r="D293" s="25">
        <f t="shared" si="40"/>
        <v>-581.9</v>
      </c>
      <c r="E293" s="13">
        <f t="shared" si="41"/>
        <v>47.1</v>
      </c>
      <c r="F293" s="25">
        <f t="shared" si="42"/>
        <v>-583.9</v>
      </c>
      <c r="G293" s="13">
        <f t="shared" si="43"/>
        <v>47.1</v>
      </c>
      <c r="J293" s="17">
        <f t="array" ref="J293">IF(ROW(J293)&lt;=COUNTA(D:D)*2,IF(MOD(ROW(J293),2)=1,INDEX(D:D,(ROW(J293)+1)/2),INDEX(F:F,ROW(J293)/2)),"")</f>
        <v>-289.9</v>
      </c>
      <c r="K293" s="17">
        <f t="array" ref="K293">IF(ROW(K293)&lt;=COUNTA(E:E)*2,IF(MOD(ROW(K293),2)=1,INDEX(E:E,(ROW(K293)+1)/2),INDEX(G:G,ROW(K293)/2)),"")</f>
        <v>47.78</v>
      </c>
    </row>
    <row r="294" spans="1:11" x14ac:dyDescent="0.25">
      <c r="A294" s="25"/>
      <c r="B294" s="25"/>
      <c r="D294" s="25">
        <f t="shared" si="40"/>
        <v>-583.9</v>
      </c>
      <c r="E294" s="13">
        <f t="shared" si="41"/>
        <v>47.98</v>
      </c>
      <c r="F294" s="25">
        <f t="shared" si="42"/>
        <v>-585.9</v>
      </c>
      <c r="G294" s="13">
        <f t="shared" si="43"/>
        <v>47.98</v>
      </c>
      <c r="J294" s="17">
        <f t="array" ref="J294">IF(ROW(J294)&lt;=COUNTA(D:D)*2,IF(MOD(ROW(J294),2)=1,INDEX(D:D,(ROW(J294)+1)/2),INDEX(F:F,ROW(J294)/2)),"")</f>
        <v>-291.9</v>
      </c>
      <c r="K294" s="17">
        <f t="array" ref="K294">IF(ROW(K294)&lt;=COUNTA(E:E)*2,IF(MOD(ROW(K294),2)=1,INDEX(E:E,(ROW(K294)+1)/2),INDEX(G:G,ROW(K294)/2)),"")</f>
        <v>47.78</v>
      </c>
    </row>
    <row r="295" spans="1:11" x14ac:dyDescent="0.25">
      <c r="A295" s="25"/>
      <c r="B295" s="25"/>
      <c r="D295" s="25">
        <f t="shared" si="40"/>
        <v>-585.9</v>
      </c>
      <c r="E295" s="13">
        <f t="shared" si="41"/>
        <v>47.88</v>
      </c>
      <c r="F295" s="25">
        <f t="shared" si="42"/>
        <v>-587.9</v>
      </c>
      <c r="G295" s="13">
        <f t="shared" si="43"/>
        <v>47.88</v>
      </c>
      <c r="J295" s="17">
        <f t="array" ref="J295">IF(ROW(J295)&lt;=COUNTA(D:D)*2,IF(MOD(ROW(J295),2)=1,INDEX(D:D,(ROW(J295)+1)/2),INDEX(F:F,ROW(J295)/2)),"")</f>
        <v>-291.9</v>
      </c>
      <c r="K295" s="17">
        <f t="array" ref="K295">IF(ROW(K295)&lt;=COUNTA(E:E)*2,IF(MOD(ROW(K295),2)=1,INDEX(E:E,(ROW(K295)+1)/2),INDEX(G:G,ROW(K295)/2)),"")</f>
        <v>47.66</v>
      </c>
    </row>
    <row r="296" spans="1:11" x14ac:dyDescent="0.25">
      <c r="A296" s="25"/>
      <c r="B296" s="25"/>
      <c r="D296" s="25">
        <f t="shared" si="40"/>
        <v>-587.9</v>
      </c>
      <c r="E296" s="13">
        <f t="shared" si="41"/>
        <v>47.54</v>
      </c>
      <c r="F296" s="25">
        <f t="shared" si="42"/>
        <v>-589.9</v>
      </c>
      <c r="G296" s="13">
        <f t="shared" si="43"/>
        <v>47.54</v>
      </c>
      <c r="J296" s="17">
        <f t="array" ref="J296">IF(ROW(J296)&lt;=COUNTA(D:D)*2,IF(MOD(ROW(J296),2)=1,INDEX(D:D,(ROW(J296)+1)/2),INDEX(F:F,ROW(J296)/2)),"")</f>
        <v>-293.9</v>
      </c>
      <c r="K296" s="17">
        <f t="array" ref="K296">IF(ROW(K296)&lt;=COUNTA(E:E)*2,IF(MOD(ROW(K296),2)=1,INDEX(E:E,(ROW(K296)+1)/2),INDEX(G:G,ROW(K296)/2)),"")</f>
        <v>47.66</v>
      </c>
    </row>
    <row r="297" spans="1:11" x14ac:dyDescent="0.25">
      <c r="A297" s="25"/>
      <c r="B297" s="25"/>
      <c r="D297" s="25">
        <f t="shared" si="40"/>
        <v>-589.9</v>
      </c>
      <c r="E297" s="13">
        <f t="shared" si="41"/>
        <v>46.68</v>
      </c>
      <c r="F297" s="25">
        <f t="shared" si="42"/>
        <v>-591.9</v>
      </c>
      <c r="G297" s="13">
        <f t="shared" si="43"/>
        <v>46.68</v>
      </c>
      <c r="J297" s="17">
        <f t="array" ref="J297">IF(ROW(J297)&lt;=COUNTA(D:D)*2,IF(MOD(ROW(J297),2)=1,INDEX(D:D,(ROW(J297)+1)/2),INDEX(F:F,ROW(J297)/2)),"")</f>
        <v>-293.9</v>
      </c>
      <c r="K297" s="17">
        <f t="array" ref="K297">IF(ROW(K297)&lt;=COUNTA(E:E)*2,IF(MOD(ROW(K297),2)=1,INDEX(E:E,(ROW(K297)+1)/2),INDEX(G:G,ROW(K297)/2)),"")</f>
        <v>47.46</v>
      </c>
    </row>
    <row r="298" spans="1:11" x14ac:dyDescent="0.25">
      <c r="A298" s="25"/>
      <c r="B298" s="25"/>
      <c r="D298" s="25">
        <f t="shared" si="40"/>
        <v>-591.9</v>
      </c>
      <c r="E298" s="13">
        <f t="shared" si="41"/>
        <v>47.04</v>
      </c>
      <c r="F298" s="25">
        <f t="shared" si="42"/>
        <v>-593.9</v>
      </c>
      <c r="G298" s="13">
        <f t="shared" si="43"/>
        <v>47.04</v>
      </c>
      <c r="J298" s="17">
        <f t="array" ref="J298">IF(ROW(J298)&lt;=COUNTA(D:D)*2,IF(MOD(ROW(J298),2)=1,INDEX(D:D,(ROW(J298)+1)/2),INDEX(F:F,ROW(J298)/2)),"")</f>
        <v>-295.9</v>
      </c>
      <c r="K298" s="17">
        <f t="array" ref="K298">IF(ROW(K298)&lt;=COUNTA(E:E)*2,IF(MOD(ROW(K298),2)=1,INDEX(E:E,(ROW(K298)+1)/2),INDEX(G:G,ROW(K298)/2)),"")</f>
        <v>47.46</v>
      </c>
    </row>
    <row r="299" spans="1:11" x14ac:dyDescent="0.25">
      <c r="A299" s="25"/>
      <c r="B299" s="25"/>
      <c r="D299" s="25">
        <f t="shared" si="40"/>
        <v>-593.9</v>
      </c>
      <c r="E299" s="13">
        <f t="shared" si="41"/>
        <v>47.02</v>
      </c>
      <c r="F299" s="25">
        <f t="shared" si="42"/>
        <v>-595.9</v>
      </c>
      <c r="G299" s="13">
        <f t="shared" si="43"/>
        <v>47.02</v>
      </c>
      <c r="J299" s="17">
        <f t="array" ref="J299">IF(ROW(J299)&lt;=COUNTA(D:D)*2,IF(MOD(ROW(J299),2)=1,INDEX(D:D,(ROW(J299)+1)/2),INDEX(F:F,ROW(J299)/2)),"")</f>
        <v>-295.9</v>
      </c>
      <c r="K299" s="17">
        <f t="array" ref="K299">IF(ROW(K299)&lt;=COUNTA(E:E)*2,IF(MOD(ROW(K299),2)=1,INDEX(E:E,(ROW(K299)+1)/2),INDEX(G:G,ROW(K299)/2)),"")</f>
        <v>47.86</v>
      </c>
    </row>
    <row r="300" spans="1:11" x14ac:dyDescent="0.25">
      <c r="A300" s="25"/>
      <c r="B300" s="25"/>
      <c r="D300" s="25">
        <f t="shared" si="40"/>
        <v>-595.9</v>
      </c>
      <c r="E300" s="13">
        <f t="shared" si="41"/>
        <v>46.48</v>
      </c>
      <c r="F300" s="25">
        <f t="shared" si="42"/>
        <v>-597.9</v>
      </c>
      <c r="G300" s="13">
        <f t="shared" si="43"/>
        <v>46.48</v>
      </c>
      <c r="J300" s="17">
        <f t="array" ref="J300">IF(ROW(J300)&lt;=COUNTA(D:D)*2,IF(MOD(ROW(J300),2)=1,INDEX(D:D,(ROW(J300)+1)/2),INDEX(F:F,ROW(J300)/2)),"")</f>
        <v>-297.9</v>
      </c>
      <c r="K300" s="17">
        <f t="array" ref="K300">IF(ROW(K300)&lt;=COUNTA(E:E)*2,IF(MOD(ROW(K300),2)=1,INDEX(E:E,(ROW(K300)+1)/2),INDEX(G:G,ROW(K300)/2)),"")</f>
        <v>47.86</v>
      </c>
    </row>
    <row r="301" spans="1:11" x14ac:dyDescent="0.25">
      <c r="A301" s="25"/>
      <c r="B301" s="25"/>
      <c r="D301" s="25">
        <f t="shared" si="40"/>
        <v>-597.9</v>
      </c>
      <c r="E301" s="13">
        <f t="shared" si="41"/>
        <v>45.94</v>
      </c>
      <c r="F301" s="25">
        <f t="shared" si="42"/>
        <v>-599.9</v>
      </c>
      <c r="G301" s="13">
        <f t="shared" si="43"/>
        <v>45.94</v>
      </c>
      <c r="J301" s="17">
        <f t="array" ref="J301">IF(ROW(J301)&lt;=COUNTA(D:D)*2,IF(MOD(ROW(J301),2)=1,INDEX(D:D,(ROW(J301)+1)/2),INDEX(F:F,ROW(J301)/2)),"")</f>
        <v>-297.9</v>
      </c>
      <c r="K301" s="17">
        <f t="array" ref="K301">IF(ROW(K301)&lt;=COUNTA(E:E)*2,IF(MOD(ROW(K301),2)=1,INDEX(E:E,(ROW(K301)+1)/2),INDEX(G:G,ROW(K301)/2)),"")</f>
        <v>47.62</v>
      </c>
    </row>
    <row r="302" spans="1:11" x14ac:dyDescent="0.25">
      <c r="A302" s="25"/>
      <c r="B302" s="25"/>
      <c r="D302" s="25">
        <f t="shared" si="40"/>
        <v>-599.9</v>
      </c>
      <c r="E302" s="13">
        <f t="shared" si="41"/>
        <v>47.74</v>
      </c>
      <c r="F302" s="25">
        <f t="shared" si="42"/>
        <v>-601.9</v>
      </c>
      <c r="G302" s="13">
        <f t="shared" si="43"/>
        <v>47.74</v>
      </c>
      <c r="J302" s="17">
        <f t="array" ref="J302">IF(ROW(J302)&lt;=COUNTA(D:D)*2,IF(MOD(ROW(J302),2)=1,INDEX(D:D,(ROW(J302)+1)/2),INDEX(F:F,ROW(J302)/2)),"")</f>
        <v>-299.9</v>
      </c>
      <c r="K302" s="17">
        <f t="array" ref="K302">IF(ROW(K302)&lt;=COUNTA(E:E)*2,IF(MOD(ROW(K302),2)=1,INDEX(E:E,(ROW(K302)+1)/2),INDEX(G:G,ROW(K302)/2)),"")</f>
        <v>47.62</v>
      </c>
    </row>
    <row r="303" spans="1:11" x14ac:dyDescent="0.25">
      <c r="A303" s="25"/>
      <c r="B303" s="25"/>
      <c r="D303" s="25">
        <f t="shared" si="40"/>
        <v>-601.9</v>
      </c>
      <c r="E303" s="13">
        <f t="shared" si="41"/>
        <v>48.18</v>
      </c>
      <c r="F303" s="25">
        <f t="shared" si="42"/>
        <v>-603.9</v>
      </c>
      <c r="G303" s="13">
        <f t="shared" si="43"/>
        <v>48.18</v>
      </c>
      <c r="J303" s="17">
        <f t="array" ref="J303">IF(ROW(J303)&lt;=COUNTA(D:D)*2,IF(MOD(ROW(J303),2)=1,INDEX(D:D,(ROW(J303)+1)/2),INDEX(F:F,ROW(J303)/2)),"")</f>
        <v>-299.9</v>
      </c>
      <c r="K303" s="17">
        <f t="array" ref="K303">IF(ROW(K303)&lt;=COUNTA(E:E)*2,IF(MOD(ROW(K303),2)=1,INDEX(E:E,(ROW(K303)+1)/2),INDEX(G:G,ROW(K303)/2)),"")</f>
        <v>47.46</v>
      </c>
    </row>
    <row r="304" spans="1:11" x14ac:dyDescent="0.25">
      <c r="A304" s="25"/>
      <c r="B304" s="25"/>
      <c r="D304" s="25">
        <f t="shared" si="40"/>
        <v>-603.9</v>
      </c>
      <c r="E304" s="13">
        <f t="shared" si="41"/>
        <v>47.94</v>
      </c>
      <c r="F304" s="25">
        <f t="shared" si="42"/>
        <v>-605.9</v>
      </c>
      <c r="G304" s="13">
        <f t="shared" si="43"/>
        <v>47.94</v>
      </c>
      <c r="J304" s="17">
        <f t="array" ref="J304">IF(ROW(J304)&lt;=COUNTA(D:D)*2,IF(MOD(ROW(J304),2)=1,INDEX(D:D,(ROW(J304)+1)/2),INDEX(F:F,ROW(J304)/2)),"")</f>
        <v>-301.9</v>
      </c>
      <c r="K304" s="17">
        <f t="array" ref="K304">IF(ROW(K304)&lt;=COUNTA(E:E)*2,IF(MOD(ROW(K304),2)=1,INDEX(E:E,(ROW(K304)+1)/2),INDEX(G:G,ROW(K304)/2)),"")</f>
        <v>47.46</v>
      </c>
    </row>
    <row r="305" spans="1:11" x14ac:dyDescent="0.25">
      <c r="A305" s="25"/>
      <c r="B305" s="25"/>
      <c r="D305" s="25">
        <f t="shared" si="40"/>
        <v>-605.9</v>
      </c>
      <c r="E305" s="13">
        <f t="shared" si="41"/>
        <v>47.4</v>
      </c>
      <c r="F305" s="25">
        <f t="shared" si="42"/>
        <v>-607.9</v>
      </c>
      <c r="G305" s="13">
        <f t="shared" si="43"/>
        <v>47.4</v>
      </c>
      <c r="J305" s="17">
        <f t="array" ref="J305">IF(ROW(J305)&lt;=COUNTA(D:D)*2,IF(MOD(ROW(J305),2)=1,INDEX(D:D,(ROW(J305)+1)/2),INDEX(F:F,ROW(J305)/2)),"")</f>
        <v>-301.9</v>
      </c>
      <c r="K305" s="17">
        <f t="array" ref="K305">IF(ROW(K305)&lt;=COUNTA(E:E)*2,IF(MOD(ROW(K305),2)=1,INDEX(E:E,(ROW(K305)+1)/2),INDEX(G:G,ROW(K305)/2)),"")</f>
        <v>48.74</v>
      </c>
    </row>
    <row r="306" spans="1:11" x14ac:dyDescent="0.25">
      <c r="A306" s="25"/>
      <c r="B306" s="25"/>
      <c r="D306" s="25">
        <f t="shared" si="40"/>
        <v>-607.9</v>
      </c>
      <c r="E306" s="13">
        <f t="shared" si="41"/>
        <v>46.92</v>
      </c>
      <c r="F306" s="25">
        <f t="shared" si="42"/>
        <v>-609.9</v>
      </c>
      <c r="G306" s="13">
        <f t="shared" si="43"/>
        <v>46.92</v>
      </c>
      <c r="J306" s="17">
        <f t="array" ref="J306">IF(ROW(J306)&lt;=COUNTA(D:D)*2,IF(MOD(ROW(J306),2)=1,INDEX(D:D,(ROW(J306)+1)/2),INDEX(F:F,ROW(J306)/2)),"")</f>
        <v>-303.9</v>
      </c>
      <c r="K306" s="17">
        <f t="array" ref="K306">IF(ROW(K306)&lt;=COUNTA(E:E)*2,IF(MOD(ROW(K306),2)=1,INDEX(E:E,(ROW(K306)+1)/2),INDEX(G:G,ROW(K306)/2)),"")</f>
        <v>48.74</v>
      </c>
    </row>
    <row r="307" spans="1:11" x14ac:dyDescent="0.25">
      <c r="A307" s="25"/>
      <c r="B307" s="25"/>
      <c r="D307" s="25">
        <f t="shared" si="40"/>
        <v>-609.9</v>
      </c>
      <c r="E307" s="13">
        <f t="shared" si="41"/>
        <v>47.3</v>
      </c>
      <c r="F307" s="25">
        <f t="shared" si="42"/>
        <v>-611.9</v>
      </c>
      <c r="G307" s="13">
        <f t="shared" si="43"/>
        <v>47.3</v>
      </c>
      <c r="J307" s="17">
        <f t="array" ref="J307">IF(ROW(J307)&lt;=COUNTA(D:D)*2,IF(MOD(ROW(J307),2)=1,INDEX(D:D,(ROW(J307)+1)/2),INDEX(F:F,ROW(J307)/2)),"")</f>
        <v>-303.9</v>
      </c>
      <c r="K307" s="17">
        <f t="array" ref="K307">IF(ROW(K307)&lt;=COUNTA(E:E)*2,IF(MOD(ROW(K307),2)=1,INDEX(E:E,(ROW(K307)+1)/2),INDEX(G:G,ROW(K307)/2)),"")</f>
        <v>48.14</v>
      </c>
    </row>
    <row r="308" spans="1:11" x14ac:dyDescent="0.25">
      <c r="A308" s="25"/>
      <c r="B308" s="25"/>
      <c r="D308" s="25">
        <f t="shared" si="40"/>
        <v>-611.9</v>
      </c>
      <c r="E308" s="13">
        <f t="shared" si="41"/>
        <v>48.4</v>
      </c>
      <c r="F308" s="25">
        <f t="shared" si="42"/>
        <v>-613.9</v>
      </c>
      <c r="G308" s="13">
        <f t="shared" si="43"/>
        <v>48.4</v>
      </c>
      <c r="J308" s="17">
        <f t="array" ref="J308">IF(ROW(J308)&lt;=COUNTA(D:D)*2,IF(MOD(ROW(J308),2)=1,INDEX(D:D,(ROW(J308)+1)/2),INDEX(F:F,ROW(J308)/2)),"")</f>
        <v>-305.9</v>
      </c>
      <c r="K308" s="17">
        <f t="array" ref="K308">IF(ROW(K308)&lt;=COUNTA(E:E)*2,IF(MOD(ROW(K308),2)=1,INDEX(E:E,(ROW(K308)+1)/2),INDEX(G:G,ROW(K308)/2)),"")</f>
        <v>48.14</v>
      </c>
    </row>
    <row r="309" spans="1:11" x14ac:dyDescent="0.25">
      <c r="A309" s="25"/>
      <c r="B309" s="25"/>
      <c r="D309" s="25">
        <f t="shared" si="40"/>
        <v>-613.9</v>
      </c>
      <c r="E309" s="13">
        <f t="shared" si="41"/>
        <v>48.44</v>
      </c>
      <c r="F309" s="25">
        <f t="shared" si="42"/>
        <v>-615.9</v>
      </c>
      <c r="G309" s="13">
        <f t="shared" si="43"/>
        <v>48.44</v>
      </c>
      <c r="J309" s="17">
        <f t="array" ref="J309">IF(ROW(J309)&lt;=COUNTA(D:D)*2,IF(MOD(ROW(J309),2)=1,INDEX(D:D,(ROW(J309)+1)/2),INDEX(F:F,ROW(J309)/2)),"")</f>
        <v>-305.9</v>
      </c>
      <c r="K309" s="17">
        <f t="array" ref="K309">IF(ROW(K309)&lt;=COUNTA(E:E)*2,IF(MOD(ROW(K309),2)=1,INDEX(E:E,(ROW(K309)+1)/2),INDEX(G:G,ROW(K309)/2)),"")</f>
        <v>48.52</v>
      </c>
    </row>
    <row r="310" spans="1:11" x14ac:dyDescent="0.25">
      <c r="A310" s="25"/>
      <c r="B310" s="25"/>
      <c r="D310" s="25">
        <f t="shared" si="40"/>
        <v>-615.9</v>
      </c>
      <c r="E310" s="13">
        <f t="shared" si="41"/>
        <v>48.66</v>
      </c>
      <c r="F310" s="25">
        <f t="shared" si="42"/>
        <v>-617.9</v>
      </c>
      <c r="G310" s="13">
        <f t="shared" si="43"/>
        <v>48.66</v>
      </c>
      <c r="J310" s="17">
        <f t="array" ref="J310">IF(ROW(J310)&lt;=COUNTA(D:D)*2,IF(MOD(ROW(J310),2)=1,INDEX(D:D,(ROW(J310)+1)/2),INDEX(F:F,ROW(J310)/2)),"")</f>
        <v>-307.9</v>
      </c>
      <c r="K310" s="17">
        <f t="array" ref="K310">IF(ROW(K310)&lt;=COUNTA(E:E)*2,IF(MOD(ROW(K310),2)=1,INDEX(E:E,(ROW(K310)+1)/2),INDEX(G:G,ROW(K310)/2)),"")</f>
        <v>48.52</v>
      </c>
    </row>
    <row r="311" spans="1:11" x14ac:dyDescent="0.25">
      <c r="A311" s="25"/>
      <c r="B311" s="25"/>
      <c r="D311" s="25">
        <f t="shared" si="40"/>
        <v>-617.9</v>
      </c>
      <c r="E311" s="13">
        <f t="shared" si="41"/>
        <v>48.22</v>
      </c>
      <c r="F311" s="25">
        <f t="shared" si="42"/>
        <v>-619.9</v>
      </c>
      <c r="G311" s="13">
        <f t="shared" si="43"/>
        <v>48.22</v>
      </c>
      <c r="J311" s="17">
        <f t="array" ref="J311">IF(ROW(J311)&lt;=COUNTA(D:D)*2,IF(MOD(ROW(J311),2)=1,INDEX(D:D,(ROW(J311)+1)/2),INDEX(F:F,ROW(J311)/2)),"")</f>
        <v>-307.9</v>
      </c>
      <c r="K311" s="17">
        <f t="array" ref="K311">IF(ROW(K311)&lt;=COUNTA(E:E)*2,IF(MOD(ROW(K311),2)=1,INDEX(E:E,(ROW(K311)+1)/2),INDEX(G:G,ROW(K311)/2)),"")</f>
        <v>48.4</v>
      </c>
    </row>
    <row r="312" spans="1:11" x14ac:dyDescent="0.25">
      <c r="A312" s="25"/>
      <c r="B312" s="25"/>
      <c r="D312" s="25">
        <f t="shared" si="40"/>
        <v>-619.9</v>
      </c>
      <c r="E312" s="13">
        <f t="shared" si="41"/>
        <v>48</v>
      </c>
      <c r="F312" s="25">
        <f t="shared" si="42"/>
        <v>-621.9</v>
      </c>
      <c r="G312" s="13">
        <f t="shared" si="43"/>
        <v>48</v>
      </c>
      <c r="J312" s="17">
        <f t="array" ref="J312">IF(ROW(J312)&lt;=COUNTA(D:D)*2,IF(MOD(ROW(J312),2)=1,INDEX(D:D,(ROW(J312)+1)/2),INDEX(F:F,ROW(J312)/2)),"")</f>
        <v>-309.9</v>
      </c>
      <c r="K312" s="17">
        <f t="array" ref="K312">IF(ROW(K312)&lt;=COUNTA(E:E)*2,IF(MOD(ROW(K312),2)=1,INDEX(E:E,(ROW(K312)+1)/2),INDEX(G:G,ROW(K312)/2)),"")</f>
        <v>48.4</v>
      </c>
    </row>
    <row r="313" spans="1:11" x14ac:dyDescent="0.25">
      <c r="A313" s="25"/>
      <c r="B313" s="25"/>
      <c r="D313" s="25">
        <f t="shared" si="40"/>
        <v>-621.9</v>
      </c>
      <c r="E313" s="13">
        <f t="shared" si="41"/>
        <v>47.8</v>
      </c>
      <c r="F313" s="25">
        <f t="shared" si="42"/>
        <v>-623.9</v>
      </c>
      <c r="G313" s="13">
        <f t="shared" si="43"/>
        <v>47.8</v>
      </c>
      <c r="J313" s="17">
        <f t="array" ref="J313">IF(ROW(J313)&lt;=COUNTA(D:D)*2,IF(MOD(ROW(J313),2)=1,INDEX(D:D,(ROW(J313)+1)/2),INDEX(F:F,ROW(J313)/2)),"")</f>
        <v>-309.9</v>
      </c>
      <c r="K313" s="17">
        <f t="array" ref="K313">IF(ROW(K313)&lt;=COUNTA(E:E)*2,IF(MOD(ROW(K313),2)=1,INDEX(E:E,(ROW(K313)+1)/2),INDEX(G:G,ROW(K313)/2)),"")</f>
        <v>47.72</v>
      </c>
    </row>
    <row r="314" spans="1:11" x14ac:dyDescent="0.25">
      <c r="A314" s="25"/>
      <c r="B314" s="25"/>
      <c r="D314" s="25">
        <f t="shared" si="40"/>
        <v>-623.9</v>
      </c>
      <c r="E314" s="13">
        <f t="shared" si="41"/>
        <v>48.72</v>
      </c>
      <c r="F314" s="25">
        <f t="shared" si="42"/>
        <v>-625.9</v>
      </c>
      <c r="G314" s="13">
        <f t="shared" si="43"/>
        <v>48.72</v>
      </c>
      <c r="J314" s="17">
        <f t="array" ref="J314">IF(ROW(J314)&lt;=COUNTA(D:D)*2,IF(MOD(ROW(J314),2)=1,INDEX(D:D,(ROW(J314)+1)/2),INDEX(F:F,ROW(J314)/2)),"")</f>
        <v>-311.9</v>
      </c>
      <c r="K314" s="17">
        <f t="array" ref="K314">IF(ROW(K314)&lt;=COUNTA(E:E)*2,IF(MOD(ROW(K314),2)=1,INDEX(E:E,(ROW(K314)+1)/2),INDEX(G:G,ROW(K314)/2)),"")</f>
        <v>47.72</v>
      </c>
    </row>
    <row r="315" spans="1:11" x14ac:dyDescent="0.25">
      <c r="A315" s="25"/>
      <c r="B315" s="25"/>
      <c r="D315" s="25">
        <f t="shared" si="40"/>
        <v>-625.9</v>
      </c>
      <c r="E315" s="13">
        <f t="shared" si="41"/>
        <v>47.76</v>
      </c>
      <c r="F315" s="25">
        <f t="shared" si="42"/>
        <v>-627.9</v>
      </c>
      <c r="G315" s="13">
        <f t="shared" si="43"/>
        <v>47.76</v>
      </c>
      <c r="J315" s="17">
        <f t="array" ref="J315">IF(ROW(J315)&lt;=COUNTA(D:D)*2,IF(MOD(ROW(J315),2)=1,INDEX(D:D,(ROW(J315)+1)/2),INDEX(F:F,ROW(J315)/2)),"")</f>
        <v>-311.9</v>
      </c>
      <c r="K315" s="17">
        <f t="array" ref="K315">IF(ROW(K315)&lt;=COUNTA(E:E)*2,IF(MOD(ROW(K315),2)=1,INDEX(E:E,(ROW(K315)+1)/2),INDEX(G:G,ROW(K315)/2)),"")</f>
        <v>48.04</v>
      </c>
    </row>
    <row r="316" spans="1:11" x14ac:dyDescent="0.25">
      <c r="A316" s="25"/>
      <c r="B316" s="25"/>
      <c r="D316" s="25">
        <f t="shared" si="40"/>
        <v>-627.9</v>
      </c>
      <c r="E316" s="13">
        <f t="shared" si="41"/>
        <v>47.36</v>
      </c>
      <c r="F316" s="25">
        <f t="shared" si="42"/>
        <v>-629.9</v>
      </c>
      <c r="G316" s="13">
        <f t="shared" si="43"/>
        <v>47.36</v>
      </c>
      <c r="J316" s="17">
        <f t="array" ref="J316">IF(ROW(J316)&lt;=COUNTA(D:D)*2,IF(MOD(ROW(J316),2)=1,INDEX(D:D,(ROW(J316)+1)/2),INDEX(F:F,ROW(J316)/2)),"")</f>
        <v>-313.9</v>
      </c>
      <c r="K316" s="17">
        <f t="array" ref="K316">IF(ROW(K316)&lt;=COUNTA(E:E)*2,IF(MOD(ROW(K316),2)=1,INDEX(E:E,(ROW(K316)+1)/2),INDEX(G:G,ROW(K316)/2)),"")</f>
        <v>48.04</v>
      </c>
    </row>
    <row r="317" spans="1:11" x14ac:dyDescent="0.25">
      <c r="A317" s="25"/>
      <c r="B317" s="25"/>
      <c r="D317" s="25">
        <f t="shared" si="40"/>
        <v>-629.9</v>
      </c>
      <c r="E317" s="13">
        <f t="shared" si="41"/>
        <v>48.02</v>
      </c>
      <c r="F317" s="25">
        <f t="shared" si="42"/>
        <v>-631.9</v>
      </c>
      <c r="G317" s="13">
        <f t="shared" si="43"/>
        <v>48.02</v>
      </c>
      <c r="J317" s="17">
        <f t="array" ref="J317">IF(ROW(J317)&lt;=COUNTA(D:D)*2,IF(MOD(ROW(J317),2)=1,INDEX(D:D,(ROW(J317)+1)/2),INDEX(F:F,ROW(J317)/2)),"")</f>
        <v>-313.9</v>
      </c>
      <c r="K317" s="17">
        <f t="array" ref="K317">IF(ROW(K317)&lt;=COUNTA(E:E)*2,IF(MOD(ROW(K317),2)=1,INDEX(E:E,(ROW(K317)+1)/2),INDEX(G:G,ROW(K317)/2)),"")</f>
        <v>47.4</v>
      </c>
    </row>
    <row r="318" spans="1:11" x14ac:dyDescent="0.25">
      <c r="A318" s="25"/>
      <c r="B318" s="25"/>
      <c r="D318" s="25">
        <f t="shared" si="40"/>
        <v>-631.9</v>
      </c>
      <c r="E318" s="13">
        <f t="shared" si="41"/>
        <v>48.2</v>
      </c>
      <c r="F318" s="25">
        <f t="shared" si="42"/>
        <v>-633.9</v>
      </c>
      <c r="G318" s="13">
        <f t="shared" si="43"/>
        <v>48.2</v>
      </c>
      <c r="J318" s="17">
        <f t="array" ref="J318">IF(ROW(J318)&lt;=COUNTA(D:D)*2,IF(MOD(ROW(J318),2)=1,INDEX(D:D,(ROW(J318)+1)/2),INDEX(F:F,ROW(J318)/2)),"")</f>
        <v>-315.9</v>
      </c>
      <c r="K318" s="17">
        <f t="array" ref="K318">IF(ROW(K318)&lt;=COUNTA(E:E)*2,IF(MOD(ROW(K318),2)=1,INDEX(E:E,(ROW(K318)+1)/2),INDEX(G:G,ROW(K318)/2)),"")</f>
        <v>47.4</v>
      </c>
    </row>
    <row r="319" spans="1:11" x14ac:dyDescent="0.25">
      <c r="A319" s="25"/>
      <c r="B319" s="25"/>
      <c r="D319" s="25">
        <f t="shared" si="40"/>
        <v>-633.9</v>
      </c>
      <c r="E319" s="13">
        <f t="shared" si="41"/>
        <v>46.84</v>
      </c>
      <c r="F319" s="25">
        <f t="shared" si="42"/>
        <v>-635.9</v>
      </c>
      <c r="G319" s="13">
        <f t="shared" si="43"/>
        <v>46.84</v>
      </c>
      <c r="J319" s="17">
        <f t="array" ref="J319">IF(ROW(J319)&lt;=COUNTA(D:D)*2,IF(MOD(ROW(J319),2)=1,INDEX(D:D,(ROW(J319)+1)/2),INDEX(F:F,ROW(J319)/2)),"")</f>
        <v>-315.9</v>
      </c>
      <c r="K319" s="17">
        <f t="array" ref="K319">IF(ROW(K319)&lt;=COUNTA(E:E)*2,IF(MOD(ROW(K319),2)=1,INDEX(E:E,(ROW(K319)+1)/2),INDEX(G:G,ROW(K319)/2)),"")</f>
        <v>47.08</v>
      </c>
    </row>
    <row r="320" spans="1:11" x14ac:dyDescent="0.25">
      <c r="A320" s="25"/>
      <c r="B320" s="25"/>
      <c r="D320" s="25">
        <f t="shared" si="40"/>
        <v>-635.9</v>
      </c>
      <c r="E320" s="13">
        <f t="shared" si="41"/>
        <v>47.56</v>
      </c>
      <c r="F320" s="25">
        <f t="shared" si="42"/>
        <v>-637.9</v>
      </c>
      <c r="G320" s="13">
        <f t="shared" si="43"/>
        <v>47.56</v>
      </c>
      <c r="J320" s="17">
        <f t="array" ref="J320">IF(ROW(J320)&lt;=COUNTA(D:D)*2,IF(MOD(ROW(J320),2)=1,INDEX(D:D,(ROW(J320)+1)/2),INDEX(F:F,ROW(J320)/2)),"")</f>
        <v>-317.9</v>
      </c>
      <c r="K320" s="17">
        <f t="array" ref="K320">IF(ROW(K320)&lt;=COUNTA(E:E)*2,IF(MOD(ROW(K320),2)=1,INDEX(E:E,(ROW(K320)+1)/2),INDEX(G:G,ROW(K320)/2)),"")</f>
        <v>47.08</v>
      </c>
    </row>
    <row r="321" spans="1:11" x14ac:dyDescent="0.25">
      <c r="A321" s="25"/>
      <c r="B321" s="25"/>
      <c r="D321" s="25">
        <f t="shared" si="40"/>
        <v>-637.9</v>
      </c>
      <c r="E321" s="13">
        <f t="shared" si="41"/>
        <v>47.62</v>
      </c>
      <c r="F321" s="25">
        <f t="shared" si="42"/>
        <v>-639.9</v>
      </c>
      <c r="G321" s="13">
        <f t="shared" si="43"/>
        <v>47.62</v>
      </c>
      <c r="J321" s="17">
        <f t="array" ref="J321">IF(ROW(J321)&lt;=COUNTA(D:D)*2,IF(MOD(ROW(J321),2)=1,INDEX(D:D,(ROW(J321)+1)/2),INDEX(F:F,ROW(J321)/2)),"")</f>
        <v>-317.9</v>
      </c>
      <c r="K321" s="17">
        <f t="array" ref="K321">IF(ROW(K321)&lt;=COUNTA(E:E)*2,IF(MOD(ROW(K321),2)=1,INDEX(E:E,(ROW(K321)+1)/2),INDEX(G:G,ROW(K321)/2)),"")</f>
        <v>48.42</v>
      </c>
    </row>
    <row r="322" spans="1:11" x14ac:dyDescent="0.25">
      <c r="A322" s="25"/>
      <c r="B322" s="25"/>
      <c r="D322" s="25">
        <f t="shared" si="40"/>
        <v>-639.9</v>
      </c>
      <c r="E322" s="13">
        <f t="shared" si="41"/>
        <v>47.46</v>
      </c>
      <c r="F322" s="25">
        <f t="shared" si="42"/>
        <v>-641.9</v>
      </c>
      <c r="G322" s="13">
        <f t="shared" si="43"/>
        <v>47.46</v>
      </c>
      <c r="J322" s="17">
        <f t="array" ref="J322">IF(ROW(J322)&lt;=COUNTA(D:D)*2,IF(MOD(ROW(J322),2)=1,INDEX(D:D,(ROW(J322)+1)/2),INDEX(F:F,ROW(J322)/2)),"")</f>
        <v>-319.9</v>
      </c>
      <c r="K322" s="17">
        <f t="array" ref="K322">IF(ROW(K322)&lt;=COUNTA(E:E)*2,IF(MOD(ROW(K322),2)=1,INDEX(E:E,(ROW(K322)+1)/2),INDEX(G:G,ROW(K322)/2)),"")</f>
        <v>48.42</v>
      </c>
    </row>
    <row r="323" spans="1:11" x14ac:dyDescent="0.25">
      <c r="A323" s="25"/>
      <c r="B323" s="25"/>
      <c r="D323" s="25">
        <f t="shared" si="40"/>
        <v>-641.9</v>
      </c>
      <c r="E323" s="13">
        <f t="shared" si="41"/>
        <v>48.52</v>
      </c>
      <c r="F323" s="25">
        <f t="shared" si="42"/>
        <v>-643.9</v>
      </c>
      <c r="G323" s="13">
        <f t="shared" si="43"/>
        <v>48.52</v>
      </c>
      <c r="J323" s="17">
        <f t="array" ref="J323">IF(ROW(J323)&lt;=COUNTA(D:D)*2,IF(MOD(ROW(J323),2)=1,INDEX(D:D,(ROW(J323)+1)/2),INDEX(F:F,ROW(J323)/2)),"")</f>
        <v>-319.9</v>
      </c>
      <c r="K323" s="17">
        <f t="array" ref="K323">IF(ROW(K323)&lt;=COUNTA(E:E)*2,IF(MOD(ROW(K323),2)=1,INDEX(E:E,(ROW(K323)+1)/2),INDEX(G:G,ROW(K323)/2)),"")</f>
        <v>47.88</v>
      </c>
    </row>
    <row r="324" spans="1:11" x14ac:dyDescent="0.25">
      <c r="A324" s="25"/>
      <c r="B324" s="25"/>
      <c r="D324" s="25">
        <f t="shared" ref="D324:D355" si="44">0-A323</f>
        <v>-643.9</v>
      </c>
      <c r="E324" s="13">
        <f t="shared" ref="E324:E355" si="45">45+(B324/100)*4</f>
        <v>47.66</v>
      </c>
      <c r="F324" s="25">
        <f t="shared" ref="F324:F355" si="46">0-A324</f>
        <v>-645.9</v>
      </c>
      <c r="G324" s="13">
        <f t="shared" ref="G324:G355" si="47">45+(B324/100)*4</f>
        <v>47.66</v>
      </c>
      <c r="J324" s="17">
        <f t="array" ref="J324">IF(ROW(J324)&lt;=COUNTA(D:D)*2,IF(MOD(ROW(J324),2)=1,INDEX(D:D,(ROW(J324)+1)/2),INDEX(F:F,ROW(J324)/2)),"")</f>
        <v>-321.9</v>
      </c>
      <c r="K324" s="17">
        <f t="array" ref="K324">IF(ROW(K324)&lt;=COUNTA(E:E)*2,IF(MOD(ROW(K324),2)=1,INDEX(E:E,(ROW(K324)+1)/2),INDEX(G:G,ROW(K324)/2)),"")</f>
        <v>47.88</v>
      </c>
    </row>
    <row r="325" spans="1:11" x14ac:dyDescent="0.25">
      <c r="A325" s="25"/>
      <c r="B325" s="25"/>
      <c r="D325" s="25">
        <f t="shared" si="44"/>
        <v>-645.9</v>
      </c>
      <c r="E325" s="13">
        <f t="shared" si="45"/>
        <v>46.98</v>
      </c>
      <c r="F325" s="25">
        <f t="shared" si="46"/>
        <v>-647.9</v>
      </c>
      <c r="G325" s="13">
        <f t="shared" si="47"/>
        <v>46.98</v>
      </c>
      <c r="J325" s="17">
        <f t="array" ref="J325">IF(ROW(J325)&lt;=COUNTA(D:D)*2,IF(MOD(ROW(J325),2)=1,INDEX(D:D,(ROW(J325)+1)/2),INDEX(F:F,ROW(J325)/2)),"")</f>
        <v>-321.9</v>
      </c>
      <c r="K325" s="17">
        <f t="array" ref="K325">IF(ROW(K325)&lt;=COUNTA(E:E)*2,IF(MOD(ROW(K325),2)=1,INDEX(E:E,(ROW(K325)+1)/2),INDEX(G:G,ROW(K325)/2)),"")</f>
        <v>47.92</v>
      </c>
    </row>
    <row r="326" spans="1:11" x14ac:dyDescent="0.25">
      <c r="A326" s="25"/>
      <c r="B326" s="25"/>
      <c r="D326" s="25">
        <f t="shared" si="44"/>
        <v>-647.9</v>
      </c>
      <c r="E326" s="13">
        <f t="shared" si="45"/>
        <v>45.8</v>
      </c>
      <c r="F326" s="25">
        <f t="shared" si="46"/>
        <v>-649.9</v>
      </c>
      <c r="G326" s="13">
        <f t="shared" si="47"/>
        <v>45.8</v>
      </c>
      <c r="J326" s="17">
        <f t="array" ref="J326">IF(ROW(J326)&lt;=COUNTA(D:D)*2,IF(MOD(ROW(J326),2)=1,INDEX(D:D,(ROW(J326)+1)/2),INDEX(F:F,ROW(J326)/2)),"")</f>
        <v>-323.9</v>
      </c>
      <c r="K326" s="17">
        <f t="array" ref="K326">IF(ROW(K326)&lt;=COUNTA(E:E)*2,IF(MOD(ROW(K326),2)=1,INDEX(E:E,(ROW(K326)+1)/2),INDEX(G:G,ROW(K326)/2)),"")</f>
        <v>47.92</v>
      </c>
    </row>
    <row r="327" spans="1:11" x14ac:dyDescent="0.25">
      <c r="A327" s="25"/>
      <c r="B327" s="25"/>
      <c r="D327" s="25">
        <f t="shared" si="44"/>
        <v>-649.9</v>
      </c>
      <c r="E327" s="13">
        <f t="shared" si="45"/>
        <v>46.36</v>
      </c>
      <c r="F327" s="25">
        <f t="shared" si="46"/>
        <v>-651.9</v>
      </c>
      <c r="G327" s="13">
        <f t="shared" si="47"/>
        <v>46.36</v>
      </c>
      <c r="J327" s="17">
        <f t="array" ref="J327">IF(ROW(J327)&lt;=COUNTA(D:D)*2,IF(MOD(ROW(J327),2)=1,INDEX(D:D,(ROW(J327)+1)/2),INDEX(F:F,ROW(J327)/2)),"")</f>
        <v>-323.9</v>
      </c>
      <c r="K327" s="17">
        <f t="array" ref="K327">IF(ROW(K327)&lt;=COUNTA(E:E)*2,IF(MOD(ROW(K327),2)=1,INDEX(E:E,(ROW(K327)+1)/2),INDEX(G:G,ROW(K327)/2)),"")</f>
        <v>48.62</v>
      </c>
    </row>
    <row r="328" spans="1:11" x14ac:dyDescent="0.25">
      <c r="A328" s="25"/>
      <c r="B328" s="25"/>
      <c r="D328" s="25">
        <f t="shared" si="44"/>
        <v>-651.9</v>
      </c>
      <c r="E328" s="13">
        <f t="shared" si="45"/>
        <v>45.72</v>
      </c>
      <c r="F328" s="25">
        <f t="shared" si="46"/>
        <v>-653.9</v>
      </c>
      <c r="G328" s="13">
        <f t="shared" si="47"/>
        <v>45.72</v>
      </c>
      <c r="J328" s="17">
        <f t="array" ref="J328">IF(ROW(J328)&lt;=COUNTA(D:D)*2,IF(MOD(ROW(J328),2)=1,INDEX(D:D,(ROW(J328)+1)/2),INDEX(F:F,ROW(J328)/2)),"")</f>
        <v>-325.9</v>
      </c>
      <c r="K328" s="17">
        <f t="array" ref="K328">IF(ROW(K328)&lt;=COUNTA(E:E)*2,IF(MOD(ROW(K328),2)=1,INDEX(E:E,(ROW(K328)+1)/2),INDEX(G:G,ROW(K328)/2)),"")</f>
        <v>48.62</v>
      </c>
    </row>
    <row r="329" spans="1:11" x14ac:dyDescent="0.25">
      <c r="A329" s="25"/>
      <c r="B329" s="25"/>
      <c r="D329" s="25">
        <f t="shared" si="44"/>
        <v>-653.9</v>
      </c>
      <c r="E329" s="13">
        <f t="shared" si="45"/>
        <v>45.46</v>
      </c>
      <c r="F329" s="25">
        <f t="shared" si="46"/>
        <v>-655.9</v>
      </c>
      <c r="G329" s="13">
        <f t="shared" si="47"/>
        <v>45.46</v>
      </c>
      <c r="J329" s="17">
        <f t="array" ref="J329">IF(ROW(J329)&lt;=COUNTA(D:D)*2,IF(MOD(ROW(J329),2)=1,INDEX(D:D,(ROW(J329)+1)/2),INDEX(F:F,ROW(J329)/2)),"")</f>
        <v>-325.9</v>
      </c>
      <c r="K329" s="17">
        <f t="array" ref="K329">IF(ROW(K329)&lt;=COUNTA(E:E)*2,IF(MOD(ROW(K329),2)=1,INDEX(E:E,(ROW(K329)+1)/2),INDEX(G:G,ROW(K329)/2)),"")</f>
        <v>48.38</v>
      </c>
    </row>
    <row r="330" spans="1:11" x14ac:dyDescent="0.25">
      <c r="A330" s="25"/>
      <c r="B330" s="25"/>
      <c r="D330" s="25">
        <f t="shared" si="44"/>
        <v>-655.9</v>
      </c>
      <c r="E330" s="13">
        <f t="shared" si="45"/>
        <v>46.7</v>
      </c>
      <c r="F330" s="25">
        <f t="shared" si="46"/>
        <v>-657.9</v>
      </c>
      <c r="G330" s="13">
        <f t="shared" si="47"/>
        <v>46.7</v>
      </c>
      <c r="J330" s="17">
        <f t="array" ref="J330">IF(ROW(J330)&lt;=COUNTA(D:D)*2,IF(MOD(ROW(J330),2)=1,INDEX(D:D,(ROW(J330)+1)/2),INDEX(F:F,ROW(J330)/2)),"")</f>
        <v>-327.9</v>
      </c>
      <c r="K330" s="17">
        <f t="array" ref="K330">IF(ROW(K330)&lt;=COUNTA(E:E)*2,IF(MOD(ROW(K330),2)=1,INDEX(E:E,(ROW(K330)+1)/2),INDEX(G:G,ROW(K330)/2)),"")</f>
        <v>48.38</v>
      </c>
    </row>
    <row r="331" spans="1:11" x14ac:dyDescent="0.25">
      <c r="A331" s="25"/>
      <c r="B331" s="25"/>
      <c r="D331" s="25">
        <f t="shared" si="44"/>
        <v>-657.9</v>
      </c>
      <c r="E331" s="13">
        <f t="shared" si="45"/>
        <v>46.62</v>
      </c>
      <c r="F331" s="25">
        <f t="shared" si="46"/>
        <v>-659.9</v>
      </c>
      <c r="G331" s="13">
        <f t="shared" si="47"/>
        <v>46.62</v>
      </c>
      <c r="J331" s="17">
        <f t="array" ref="J331">IF(ROW(J331)&lt;=COUNTA(D:D)*2,IF(MOD(ROW(J331),2)=1,INDEX(D:D,(ROW(J331)+1)/2),INDEX(F:F,ROW(J331)/2)),"")</f>
        <v>-327.9</v>
      </c>
      <c r="K331" s="17">
        <f t="array" ref="K331">IF(ROW(K331)&lt;=COUNTA(E:E)*2,IF(MOD(ROW(K331),2)=1,INDEX(E:E,(ROW(K331)+1)/2),INDEX(G:G,ROW(K331)/2)),"")</f>
        <v>48.24</v>
      </c>
    </row>
    <row r="332" spans="1:11" x14ac:dyDescent="0.25">
      <c r="A332" s="25"/>
      <c r="B332" s="25"/>
      <c r="D332" s="25">
        <f t="shared" si="44"/>
        <v>-659.9</v>
      </c>
      <c r="E332" s="13">
        <f t="shared" si="45"/>
        <v>47.64</v>
      </c>
      <c r="F332" s="25">
        <f t="shared" si="46"/>
        <v>-661.9</v>
      </c>
      <c r="G332" s="13">
        <f t="shared" si="47"/>
        <v>47.64</v>
      </c>
      <c r="J332" s="17">
        <f t="array" ref="J332">IF(ROW(J332)&lt;=COUNTA(D:D)*2,IF(MOD(ROW(J332),2)=1,INDEX(D:D,(ROW(J332)+1)/2),INDEX(F:F,ROW(J332)/2)),"")</f>
        <v>-329.9</v>
      </c>
      <c r="K332" s="17">
        <f t="array" ref="K332">IF(ROW(K332)&lt;=COUNTA(E:E)*2,IF(MOD(ROW(K332),2)=1,INDEX(E:E,(ROW(K332)+1)/2),INDEX(G:G,ROW(K332)/2)),"")</f>
        <v>48.24</v>
      </c>
    </row>
    <row r="333" spans="1:11" x14ac:dyDescent="0.25">
      <c r="A333" s="25"/>
      <c r="B333" s="25"/>
      <c r="D333" s="25">
        <f t="shared" si="44"/>
        <v>-661.9</v>
      </c>
      <c r="E333" s="13">
        <f t="shared" si="45"/>
        <v>47.42</v>
      </c>
      <c r="F333" s="25">
        <f t="shared" si="46"/>
        <v>-663.9</v>
      </c>
      <c r="G333" s="13">
        <f t="shared" si="47"/>
        <v>47.42</v>
      </c>
      <c r="J333" s="17">
        <f t="array" ref="J333">IF(ROW(J333)&lt;=COUNTA(D:D)*2,IF(MOD(ROW(J333),2)=1,INDEX(D:D,(ROW(J333)+1)/2),INDEX(F:F,ROW(J333)/2)),"")</f>
        <v>-329.9</v>
      </c>
      <c r="K333" s="17">
        <f t="array" ref="K333">IF(ROW(K333)&lt;=COUNTA(E:E)*2,IF(MOD(ROW(K333),2)=1,INDEX(E:E,(ROW(K333)+1)/2),INDEX(G:G,ROW(K333)/2)),"")</f>
        <v>48.22</v>
      </c>
    </row>
    <row r="334" spans="1:11" x14ac:dyDescent="0.25">
      <c r="A334" s="25"/>
      <c r="B334" s="25"/>
      <c r="D334" s="25">
        <f t="shared" si="44"/>
        <v>-663.9</v>
      </c>
      <c r="E334" s="13">
        <f t="shared" si="45"/>
        <v>47.4</v>
      </c>
      <c r="F334" s="25">
        <f t="shared" si="46"/>
        <v>-665.9</v>
      </c>
      <c r="G334" s="13">
        <f t="shared" si="47"/>
        <v>47.4</v>
      </c>
      <c r="J334" s="17">
        <f t="array" ref="J334">IF(ROW(J334)&lt;=COUNTA(D:D)*2,IF(MOD(ROW(J334),2)=1,INDEX(D:D,(ROW(J334)+1)/2),INDEX(F:F,ROW(J334)/2)),"")</f>
        <v>-331.9</v>
      </c>
      <c r="K334" s="17">
        <f t="array" ref="K334">IF(ROW(K334)&lt;=COUNTA(E:E)*2,IF(MOD(ROW(K334),2)=1,INDEX(E:E,(ROW(K334)+1)/2),INDEX(G:G,ROW(K334)/2)),"")</f>
        <v>48.22</v>
      </c>
    </row>
    <row r="335" spans="1:11" x14ac:dyDescent="0.25">
      <c r="A335" s="25"/>
      <c r="B335" s="25"/>
      <c r="D335" s="25">
        <f t="shared" si="44"/>
        <v>-665.9</v>
      </c>
      <c r="E335" s="13">
        <f t="shared" si="45"/>
        <v>47</v>
      </c>
      <c r="F335" s="25">
        <f t="shared" si="46"/>
        <v>-667.9</v>
      </c>
      <c r="G335" s="13">
        <f t="shared" si="47"/>
        <v>47</v>
      </c>
      <c r="J335" s="17">
        <f t="array" ref="J335">IF(ROW(J335)&lt;=COUNTA(D:D)*2,IF(MOD(ROW(J335),2)=1,INDEX(D:D,(ROW(J335)+1)/2),INDEX(F:F,ROW(J335)/2)),"")</f>
        <v>-331.9</v>
      </c>
      <c r="K335" s="17">
        <f t="array" ref="K335">IF(ROW(K335)&lt;=COUNTA(E:E)*2,IF(MOD(ROW(K335),2)=1,INDEX(E:E,(ROW(K335)+1)/2),INDEX(G:G,ROW(K335)/2)),"")</f>
        <v>48.74</v>
      </c>
    </row>
    <row r="336" spans="1:11" x14ac:dyDescent="0.25">
      <c r="A336" s="25"/>
      <c r="B336" s="25"/>
      <c r="D336" s="25">
        <f t="shared" si="44"/>
        <v>-667.9</v>
      </c>
      <c r="E336" s="13">
        <f t="shared" si="45"/>
        <v>45.92</v>
      </c>
      <c r="F336" s="25">
        <f t="shared" si="46"/>
        <v>-669.9</v>
      </c>
      <c r="G336" s="13">
        <f t="shared" si="47"/>
        <v>45.92</v>
      </c>
      <c r="J336" s="17">
        <f t="array" ref="J336">IF(ROW(J336)&lt;=COUNTA(D:D)*2,IF(MOD(ROW(J336),2)=1,INDEX(D:D,(ROW(J336)+1)/2),INDEX(F:F,ROW(J336)/2)),"")</f>
        <v>-333.9</v>
      </c>
      <c r="K336" s="17">
        <f t="array" ref="K336">IF(ROW(K336)&lt;=COUNTA(E:E)*2,IF(MOD(ROW(K336),2)=1,INDEX(E:E,(ROW(K336)+1)/2),INDEX(G:G,ROW(K336)/2)),"")</f>
        <v>48.74</v>
      </c>
    </row>
    <row r="337" spans="1:11" x14ac:dyDescent="0.25">
      <c r="A337" s="25"/>
      <c r="B337" s="25"/>
      <c r="D337" s="25">
        <f t="shared" si="44"/>
        <v>-669.9</v>
      </c>
      <c r="E337" s="13">
        <f t="shared" si="45"/>
        <v>46.58</v>
      </c>
      <c r="F337" s="25">
        <f t="shared" si="46"/>
        <v>-671.9</v>
      </c>
      <c r="G337" s="13">
        <f t="shared" si="47"/>
        <v>46.58</v>
      </c>
      <c r="J337" s="17">
        <f t="array" ref="J337">IF(ROW(J337)&lt;=COUNTA(D:D)*2,IF(MOD(ROW(J337),2)=1,INDEX(D:D,(ROW(J337)+1)/2),INDEX(F:F,ROW(J337)/2)),"")</f>
        <v>-333.9</v>
      </c>
      <c r="K337" s="17">
        <f t="array" ref="K337">IF(ROW(K337)&lt;=COUNTA(E:E)*2,IF(MOD(ROW(K337),2)=1,INDEX(E:E,(ROW(K337)+1)/2),INDEX(G:G,ROW(K337)/2)),"")</f>
        <v>48.66</v>
      </c>
    </row>
    <row r="338" spans="1:11" x14ac:dyDescent="0.25">
      <c r="A338" s="25"/>
      <c r="B338" s="25"/>
      <c r="D338" s="25">
        <f t="shared" si="44"/>
        <v>-671.9</v>
      </c>
      <c r="E338" s="13">
        <f t="shared" si="45"/>
        <v>45.52</v>
      </c>
      <c r="F338" s="25">
        <f t="shared" si="46"/>
        <v>-673.9</v>
      </c>
      <c r="G338" s="13">
        <f t="shared" si="47"/>
        <v>45.52</v>
      </c>
      <c r="J338" s="17">
        <f t="array" ref="J338">IF(ROW(J338)&lt;=COUNTA(D:D)*2,IF(MOD(ROW(J338),2)=1,INDEX(D:D,(ROW(J338)+1)/2),INDEX(F:F,ROW(J338)/2)),"")</f>
        <v>-335.9</v>
      </c>
      <c r="K338" s="17">
        <f t="array" ref="K338">IF(ROW(K338)&lt;=COUNTA(E:E)*2,IF(MOD(ROW(K338),2)=1,INDEX(E:E,(ROW(K338)+1)/2),INDEX(G:G,ROW(K338)/2)),"")</f>
        <v>48.66</v>
      </c>
    </row>
    <row r="339" spans="1:11" x14ac:dyDescent="0.25">
      <c r="A339" s="25"/>
      <c r="B339" s="25"/>
      <c r="D339" s="25">
        <f t="shared" si="44"/>
        <v>-673.9</v>
      </c>
      <c r="E339" s="13">
        <f t="shared" si="45"/>
        <v>47.52</v>
      </c>
      <c r="F339" s="25">
        <f t="shared" si="46"/>
        <v>-675.9</v>
      </c>
      <c r="G339" s="13">
        <f t="shared" si="47"/>
        <v>47.52</v>
      </c>
      <c r="J339" s="17">
        <f t="array" ref="J339">IF(ROW(J339)&lt;=COUNTA(D:D)*2,IF(MOD(ROW(J339),2)=1,INDEX(D:D,(ROW(J339)+1)/2),INDEX(F:F,ROW(J339)/2)),"")</f>
        <v>-335.9</v>
      </c>
      <c r="K339" s="17">
        <f t="array" ref="K339">IF(ROW(K339)&lt;=COUNTA(E:E)*2,IF(MOD(ROW(K339),2)=1,INDEX(E:E,(ROW(K339)+1)/2),INDEX(G:G,ROW(K339)/2)),"")</f>
        <v>48.9</v>
      </c>
    </row>
    <row r="340" spans="1:11" x14ac:dyDescent="0.25">
      <c r="A340" s="25"/>
      <c r="B340" s="25"/>
      <c r="D340" s="25">
        <f t="shared" si="44"/>
        <v>-675.9</v>
      </c>
      <c r="E340" s="13">
        <f t="shared" si="45"/>
        <v>47.14</v>
      </c>
      <c r="F340" s="25">
        <f t="shared" si="46"/>
        <v>-677.9</v>
      </c>
      <c r="G340" s="13">
        <f t="shared" si="47"/>
        <v>47.14</v>
      </c>
      <c r="J340" s="17">
        <f t="array" ref="J340">IF(ROW(J340)&lt;=COUNTA(D:D)*2,IF(MOD(ROW(J340),2)=1,INDEX(D:D,(ROW(J340)+1)/2),INDEX(F:F,ROW(J340)/2)),"")</f>
        <v>-337.9</v>
      </c>
      <c r="K340" s="17">
        <f t="array" ref="K340">IF(ROW(K340)&lt;=COUNTA(E:E)*2,IF(MOD(ROW(K340),2)=1,INDEX(E:E,(ROW(K340)+1)/2),INDEX(G:G,ROW(K340)/2)),"")</f>
        <v>48.9</v>
      </c>
    </row>
    <row r="341" spans="1:11" x14ac:dyDescent="0.25">
      <c r="A341" s="25"/>
      <c r="B341" s="25"/>
      <c r="D341" s="25">
        <f t="shared" si="44"/>
        <v>-677.9</v>
      </c>
      <c r="E341" s="13">
        <f t="shared" si="45"/>
        <v>45</v>
      </c>
      <c r="F341" s="25">
        <f t="shared" si="46"/>
        <v>0</v>
      </c>
      <c r="G341" s="13">
        <f t="shared" si="47"/>
        <v>45</v>
      </c>
      <c r="J341" s="17">
        <f t="array" ref="J341">IF(ROW(J341)&lt;=COUNTA(D:D)*2,IF(MOD(ROW(J341),2)=1,INDEX(D:D,(ROW(J341)+1)/2),INDEX(F:F,ROW(J341)/2)),"")</f>
        <v>-337.9</v>
      </c>
      <c r="K341" s="17">
        <f t="array" ref="K341">IF(ROW(K341)&lt;=COUNTA(E:E)*2,IF(MOD(ROW(K341),2)=1,INDEX(E:E,(ROW(K341)+1)/2),INDEX(G:G,ROW(K341)/2)),"")</f>
        <v>48.26</v>
      </c>
    </row>
    <row r="342" spans="1:11" x14ac:dyDescent="0.25">
      <c r="A342" s="25"/>
      <c r="B342" s="25"/>
      <c r="D342" s="25">
        <f t="shared" si="44"/>
        <v>0</v>
      </c>
      <c r="E342" s="13">
        <f t="shared" si="45"/>
        <v>45</v>
      </c>
      <c r="F342" s="25">
        <f t="shared" si="46"/>
        <v>0</v>
      </c>
      <c r="G342" s="13">
        <f t="shared" si="47"/>
        <v>45</v>
      </c>
      <c r="J342" s="17">
        <f t="array" ref="J342">IF(ROW(J342)&lt;=COUNTA(D:D)*2,IF(MOD(ROW(J342),2)=1,INDEX(D:D,(ROW(J342)+1)/2),INDEX(F:F,ROW(J342)/2)),"")</f>
        <v>-339.9</v>
      </c>
      <c r="K342" s="17">
        <f t="array" ref="K342">IF(ROW(K342)&lt;=COUNTA(E:E)*2,IF(MOD(ROW(K342),2)=1,INDEX(E:E,(ROW(K342)+1)/2),INDEX(G:G,ROW(K342)/2)),"")</f>
        <v>48.26</v>
      </c>
    </row>
    <row r="343" spans="1:11" x14ac:dyDescent="0.25">
      <c r="A343" s="25"/>
      <c r="B343" s="25"/>
      <c r="D343" s="25">
        <f t="shared" si="44"/>
        <v>0</v>
      </c>
      <c r="E343" s="13">
        <f t="shared" si="45"/>
        <v>45</v>
      </c>
      <c r="F343" s="25">
        <f t="shared" si="46"/>
        <v>0</v>
      </c>
      <c r="G343" s="13">
        <f t="shared" si="47"/>
        <v>45</v>
      </c>
      <c r="J343" s="17">
        <f t="array" ref="J343">IF(ROW(J343)&lt;=COUNTA(D:D)*2,IF(MOD(ROW(J343),2)=1,INDEX(D:D,(ROW(J343)+1)/2),INDEX(F:F,ROW(J343)/2)),"")</f>
        <v>-339.9</v>
      </c>
      <c r="K343" s="17">
        <f t="array" ref="K343">IF(ROW(K343)&lt;=COUNTA(E:E)*2,IF(MOD(ROW(K343),2)=1,INDEX(E:E,(ROW(K343)+1)/2),INDEX(G:G,ROW(K343)/2)),"")</f>
        <v>48.42</v>
      </c>
    </row>
    <row r="344" spans="1:11" x14ac:dyDescent="0.25">
      <c r="A344" s="25"/>
      <c r="B344" s="25"/>
      <c r="D344" s="25">
        <f t="shared" si="44"/>
        <v>0</v>
      </c>
      <c r="E344" s="13">
        <f t="shared" si="45"/>
        <v>45</v>
      </c>
      <c r="F344" s="25">
        <f t="shared" si="46"/>
        <v>0</v>
      </c>
      <c r="G344" s="13">
        <f t="shared" si="47"/>
        <v>45</v>
      </c>
      <c r="J344" s="17">
        <f t="array" ref="J344">IF(ROW(J344)&lt;=COUNTA(D:D)*2,IF(MOD(ROW(J344),2)=1,INDEX(D:D,(ROW(J344)+1)/2),INDEX(F:F,ROW(J344)/2)),"")</f>
        <v>-341.9</v>
      </c>
      <c r="K344" s="17">
        <f t="array" ref="K344">IF(ROW(K344)&lt;=COUNTA(E:E)*2,IF(MOD(ROW(K344),2)=1,INDEX(E:E,(ROW(K344)+1)/2),INDEX(G:G,ROW(K344)/2)),"")</f>
        <v>48.42</v>
      </c>
    </row>
    <row r="345" spans="1:11" x14ac:dyDescent="0.25">
      <c r="A345" s="25"/>
      <c r="B345" s="25"/>
      <c r="D345" s="25">
        <f t="shared" si="44"/>
        <v>0</v>
      </c>
      <c r="E345" s="13">
        <f t="shared" si="45"/>
        <v>45</v>
      </c>
      <c r="F345" s="25">
        <f t="shared" si="46"/>
        <v>0</v>
      </c>
      <c r="G345" s="13">
        <f t="shared" si="47"/>
        <v>45</v>
      </c>
      <c r="J345" s="17">
        <f t="array" ref="J345">IF(ROW(J345)&lt;=COUNTA(D:D)*2,IF(MOD(ROW(J345),2)=1,INDEX(D:D,(ROW(J345)+1)/2),INDEX(F:F,ROW(J345)/2)),"")</f>
        <v>-341.9</v>
      </c>
      <c r="K345" s="17">
        <f t="array" ref="K345">IF(ROW(K345)&lt;=COUNTA(E:E)*2,IF(MOD(ROW(K345),2)=1,INDEX(E:E,(ROW(K345)+1)/2),INDEX(G:G,ROW(K345)/2)),"")</f>
        <v>48.64</v>
      </c>
    </row>
    <row r="346" spans="1:11" x14ac:dyDescent="0.25">
      <c r="A346" s="25"/>
      <c r="B346" s="25"/>
      <c r="D346" s="25">
        <f t="shared" si="44"/>
        <v>0</v>
      </c>
      <c r="E346" s="13">
        <f t="shared" si="45"/>
        <v>45</v>
      </c>
      <c r="F346" s="25">
        <f t="shared" si="46"/>
        <v>0</v>
      </c>
      <c r="G346" s="13">
        <f t="shared" si="47"/>
        <v>45</v>
      </c>
      <c r="J346" s="17">
        <f t="array" ref="J346">IF(ROW(J346)&lt;=COUNTA(D:D)*2,IF(MOD(ROW(J346),2)=1,INDEX(D:D,(ROW(J346)+1)/2),INDEX(F:F,ROW(J346)/2)),"")</f>
        <v>-343.9</v>
      </c>
      <c r="K346" s="17">
        <f t="array" ref="K346">IF(ROW(K346)&lt;=COUNTA(E:E)*2,IF(MOD(ROW(K346),2)=1,INDEX(E:E,(ROW(K346)+1)/2),INDEX(G:G,ROW(K346)/2)),"")</f>
        <v>48.64</v>
      </c>
    </row>
    <row r="347" spans="1:11" x14ac:dyDescent="0.25">
      <c r="A347" s="25"/>
      <c r="B347" s="25"/>
      <c r="D347" s="25">
        <f t="shared" si="44"/>
        <v>0</v>
      </c>
      <c r="E347" s="13">
        <f t="shared" si="45"/>
        <v>45</v>
      </c>
      <c r="F347" s="25">
        <f t="shared" si="46"/>
        <v>0</v>
      </c>
      <c r="G347" s="13">
        <f t="shared" si="47"/>
        <v>45</v>
      </c>
      <c r="J347" s="17">
        <f t="array" ref="J347">IF(ROW(J347)&lt;=COUNTA(D:D)*2,IF(MOD(ROW(J347),2)=1,INDEX(D:D,(ROW(J347)+1)/2),INDEX(F:F,ROW(J347)/2)),"")</f>
        <v>-343.9</v>
      </c>
      <c r="K347" s="17">
        <f t="array" ref="K347">IF(ROW(K347)&lt;=COUNTA(E:E)*2,IF(MOD(ROW(K347),2)=1,INDEX(E:E,(ROW(K347)+1)/2),INDEX(G:G,ROW(K347)/2)),"")</f>
        <v>47.16</v>
      </c>
    </row>
    <row r="348" spans="1:11" x14ac:dyDescent="0.25">
      <c r="A348" s="25"/>
      <c r="B348" s="25"/>
      <c r="D348" s="25">
        <f t="shared" si="44"/>
        <v>0</v>
      </c>
      <c r="E348" s="13">
        <f t="shared" si="45"/>
        <v>45</v>
      </c>
      <c r="F348" s="25">
        <f t="shared" si="46"/>
        <v>0</v>
      </c>
      <c r="G348" s="13">
        <f t="shared" si="47"/>
        <v>45</v>
      </c>
      <c r="J348" s="17">
        <f t="array" ref="J348">IF(ROW(J348)&lt;=COUNTA(D:D)*2,IF(MOD(ROW(J348),2)=1,INDEX(D:D,(ROW(J348)+1)/2),INDEX(F:F,ROW(J348)/2)),"")</f>
        <v>-345.9</v>
      </c>
      <c r="K348" s="17">
        <f t="array" ref="K348">IF(ROW(K348)&lt;=COUNTA(E:E)*2,IF(MOD(ROW(K348),2)=1,INDEX(E:E,(ROW(K348)+1)/2),INDEX(G:G,ROW(K348)/2)),"")</f>
        <v>47.16</v>
      </c>
    </row>
    <row r="349" spans="1:11" x14ac:dyDescent="0.25">
      <c r="A349" s="25"/>
      <c r="B349" s="25"/>
      <c r="D349" s="25">
        <f t="shared" si="44"/>
        <v>0</v>
      </c>
      <c r="E349" s="13">
        <f t="shared" si="45"/>
        <v>45</v>
      </c>
      <c r="F349" s="25">
        <f t="shared" si="46"/>
        <v>0</v>
      </c>
      <c r="G349" s="13">
        <f t="shared" si="47"/>
        <v>45</v>
      </c>
      <c r="J349" s="17">
        <f t="array" ref="J349">IF(ROW(J349)&lt;=COUNTA(D:D)*2,IF(MOD(ROW(J349),2)=1,INDEX(D:D,(ROW(J349)+1)/2),INDEX(F:F,ROW(J349)/2)),"")</f>
        <v>-345.9</v>
      </c>
      <c r="K349" s="17">
        <f t="array" ref="K349">IF(ROW(K349)&lt;=COUNTA(E:E)*2,IF(MOD(ROW(K349),2)=1,INDEX(E:E,(ROW(K349)+1)/2),INDEX(G:G,ROW(K349)/2)),"")</f>
        <v>46.68</v>
      </c>
    </row>
    <row r="350" spans="1:11" x14ac:dyDescent="0.25">
      <c r="A350" s="25"/>
      <c r="B350" s="25"/>
      <c r="D350" s="25">
        <f t="shared" si="44"/>
        <v>0</v>
      </c>
      <c r="E350" s="13">
        <f t="shared" si="45"/>
        <v>45</v>
      </c>
      <c r="F350" s="25">
        <f t="shared" si="46"/>
        <v>0</v>
      </c>
      <c r="G350" s="13">
        <f t="shared" si="47"/>
        <v>45</v>
      </c>
      <c r="J350" s="17">
        <f t="array" ref="J350">IF(ROW(J350)&lt;=COUNTA(D:D)*2,IF(MOD(ROW(J350),2)=1,INDEX(D:D,(ROW(J350)+1)/2),INDEX(F:F,ROW(J350)/2)),"")</f>
        <v>-347.9</v>
      </c>
      <c r="K350" s="17">
        <f t="array" ref="K350">IF(ROW(K350)&lt;=COUNTA(E:E)*2,IF(MOD(ROW(K350),2)=1,INDEX(E:E,(ROW(K350)+1)/2),INDEX(G:G,ROW(K350)/2)),"")</f>
        <v>46.68</v>
      </c>
    </row>
    <row r="351" spans="1:11" x14ac:dyDescent="0.25">
      <c r="A351" s="25"/>
      <c r="B351" s="25"/>
      <c r="D351" s="25">
        <f t="shared" si="44"/>
        <v>0</v>
      </c>
      <c r="E351" s="13">
        <f t="shared" si="45"/>
        <v>45</v>
      </c>
      <c r="F351" s="25">
        <f t="shared" si="46"/>
        <v>0</v>
      </c>
      <c r="G351" s="13">
        <f t="shared" si="47"/>
        <v>45</v>
      </c>
      <c r="J351" s="17">
        <f t="array" ref="J351">IF(ROW(J351)&lt;=COUNTA(D:D)*2,IF(MOD(ROW(J351),2)=1,INDEX(D:D,(ROW(J351)+1)/2),INDEX(F:F,ROW(J351)/2)),"")</f>
        <v>-347.9</v>
      </c>
      <c r="K351" s="17">
        <f t="array" ref="K351">IF(ROW(K351)&lt;=COUNTA(E:E)*2,IF(MOD(ROW(K351),2)=1,INDEX(E:E,(ROW(K351)+1)/2),INDEX(G:G,ROW(K351)/2)),"")</f>
        <v>48.14</v>
      </c>
    </row>
    <row r="352" spans="1:11" x14ac:dyDescent="0.25">
      <c r="A352" s="25"/>
      <c r="B352" s="25"/>
      <c r="D352" s="25">
        <f t="shared" si="44"/>
        <v>0</v>
      </c>
      <c r="E352" s="13">
        <f t="shared" si="45"/>
        <v>45</v>
      </c>
      <c r="F352" s="25">
        <f t="shared" si="46"/>
        <v>0</v>
      </c>
      <c r="G352" s="13">
        <f t="shared" si="47"/>
        <v>45</v>
      </c>
      <c r="J352" s="17">
        <f t="array" ref="J352">IF(ROW(J352)&lt;=COUNTA(D:D)*2,IF(MOD(ROW(J352),2)=1,INDEX(D:D,(ROW(J352)+1)/2),INDEX(F:F,ROW(J352)/2)),"")</f>
        <v>-349.9</v>
      </c>
      <c r="K352" s="17">
        <f t="array" ref="K352">IF(ROW(K352)&lt;=COUNTA(E:E)*2,IF(MOD(ROW(K352),2)=1,INDEX(E:E,(ROW(K352)+1)/2),INDEX(G:G,ROW(K352)/2)),"")</f>
        <v>48.14</v>
      </c>
    </row>
    <row r="353" spans="1:11" x14ac:dyDescent="0.25">
      <c r="A353" s="25"/>
      <c r="B353" s="25"/>
      <c r="D353" s="25">
        <f t="shared" si="44"/>
        <v>0</v>
      </c>
      <c r="E353" s="13">
        <f t="shared" si="45"/>
        <v>45</v>
      </c>
      <c r="F353" s="25">
        <f t="shared" si="46"/>
        <v>0</v>
      </c>
      <c r="G353" s="13">
        <f t="shared" si="47"/>
        <v>45</v>
      </c>
      <c r="J353" s="17">
        <f t="array" ref="J353">IF(ROW(J353)&lt;=COUNTA(D:D)*2,IF(MOD(ROW(J353),2)=1,INDEX(D:D,(ROW(J353)+1)/2),INDEX(F:F,ROW(J353)/2)),"")</f>
        <v>-349.9</v>
      </c>
      <c r="K353" s="17">
        <f t="array" ref="K353">IF(ROW(K353)&lt;=COUNTA(E:E)*2,IF(MOD(ROW(K353),2)=1,INDEX(E:E,(ROW(K353)+1)/2),INDEX(G:G,ROW(K353)/2)),"")</f>
        <v>46.76</v>
      </c>
    </row>
    <row r="354" spans="1:11" x14ac:dyDescent="0.25">
      <c r="A354" s="25"/>
      <c r="B354" s="25"/>
      <c r="D354" s="25">
        <f t="shared" si="44"/>
        <v>0</v>
      </c>
      <c r="E354" s="13">
        <f t="shared" si="45"/>
        <v>45</v>
      </c>
      <c r="F354" s="25">
        <f t="shared" si="46"/>
        <v>0</v>
      </c>
      <c r="G354" s="13">
        <f t="shared" si="47"/>
        <v>45</v>
      </c>
      <c r="J354" s="17">
        <f t="array" ref="J354">IF(ROW(J354)&lt;=COUNTA(D:D)*2,IF(MOD(ROW(J354),2)=1,INDEX(D:D,(ROW(J354)+1)/2),INDEX(F:F,ROW(J354)/2)),"")</f>
        <v>-351.9</v>
      </c>
      <c r="K354" s="17">
        <f t="array" ref="K354">IF(ROW(K354)&lt;=COUNTA(E:E)*2,IF(MOD(ROW(K354),2)=1,INDEX(E:E,(ROW(K354)+1)/2),INDEX(G:G,ROW(K354)/2)),"")</f>
        <v>46.76</v>
      </c>
    </row>
    <row r="355" spans="1:11" x14ac:dyDescent="0.25">
      <c r="A355" s="25"/>
      <c r="B355" s="25"/>
      <c r="D355" s="25">
        <f t="shared" si="44"/>
        <v>0</v>
      </c>
      <c r="E355" s="13">
        <f t="shared" si="45"/>
        <v>45</v>
      </c>
      <c r="F355" s="25">
        <f t="shared" si="46"/>
        <v>0</v>
      </c>
      <c r="G355" s="13">
        <f t="shared" si="47"/>
        <v>45</v>
      </c>
      <c r="J355" s="17">
        <f t="array" ref="J355">IF(ROW(J355)&lt;=COUNTA(D:D)*2,IF(MOD(ROW(J355),2)=1,INDEX(D:D,(ROW(J355)+1)/2),INDEX(F:F,ROW(J355)/2)),"")</f>
        <v>-351.9</v>
      </c>
      <c r="K355" s="17">
        <f t="array" ref="K355">IF(ROW(K355)&lt;=COUNTA(E:E)*2,IF(MOD(ROW(K355),2)=1,INDEX(E:E,(ROW(K355)+1)/2),INDEX(G:G,ROW(K355)/2)),"")</f>
        <v>47.86</v>
      </c>
    </row>
    <row r="356" spans="1:11" x14ac:dyDescent="0.25">
      <c r="A356" s="25"/>
      <c r="B356" s="25"/>
      <c r="D356" s="25">
        <f t="shared" ref="D356:D374" si="48">0-A355</f>
        <v>0</v>
      </c>
      <c r="E356" s="13">
        <f t="shared" ref="E356:E374" si="49">45+(B356/100)*4</f>
        <v>45</v>
      </c>
      <c r="F356" s="25">
        <f t="shared" ref="F356:F374" si="50">0-A356</f>
        <v>0</v>
      </c>
      <c r="G356" s="13">
        <f t="shared" ref="G356:G374" si="51">45+(B356/100)*4</f>
        <v>45</v>
      </c>
      <c r="J356" s="17">
        <f t="array" ref="J356">IF(ROW(J356)&lt;=COUNTA(D:D)*2,IF(MOD(ROW(J356),2)=1,INDEX(D:D,(ROW(J356)+1)/2),INDEX(F:F,ROW(J356)/2)),"")</f>
        <v>-353.9</v>
      </c>
      <c r="K356" s="17">
        <f t="array" ref="K356">IF(ROW(K356)&lt;=COUNTA(E:E)*2,IF(MOD(ROW(K356),2)=1,INDEX(E:E,(ROW(K356)+1)/2),INDEX(G:G,ROW(K356)/2)),"")</f>
        <v>47.86</v>
      </c>
    </row>
    <row r="357" spans="1:11" x14ac:dyDescent="0.25">
      <c r="A357" s="25"/>
      <c r="B357" s="25"/>
      <c r="D357" s="25">
        <f t="shared" si="48"/>
        <v>0</v>
      </c>
      <c r="E357" s="13">
        <f t="shared" si="49"/>
        <v>45</v>
      </c>
      <c r="F357" s="25">
        <f t="shared" si="50"/>
        <v>0</v>
      </c>
      <c r="G357" s="13">
        <f t="shared" si="51"/>
        <v>45</v>
      </c>
      <c r="J357" s="17">
        <f t="array" ref="J357">IF(ROW(J357)&lt;=COUNTA(D:D)*2,IF(MOD(ROW(J357),2)=1,INDEX(D:D,(ROW(J357)+1)/2),INDEX(F:F,ROW(J357)/2)),"")</f>
        <v>-353.9</v>
      </c>
      <c r="K357" s="17">
        <f t="array" ref="K357">IF(ROW(K357)&lt;=COUNTA(E:E)*2,IF(MOD(ROW(K357),2)=1,INDEX(E:E,(ROW(K357)+1)/2),INDEX(G:G,ROW(K357)/2)),"")</f>
        <v>48.08</v>
      </c>
    </row>
    <row r="358" spans="1:11" x14ac:dyDescent="0.25">
      <c r="A358" s="25"/>
      <c r="B358" s="25"/>
      <c r="D358" s="25">
        <f t="shared" si="48"/>
        <v>0</v>
      </c>
      <c r="E358" s="13">
        <f t="shared" si="49"/>
        <v>45</v>
      </c>
      <c r="F358" s="25">
        <f t="shared" si="50"/>
        <v>0</v>
      </c>
      <c r="G358" s="13">
        <f t="shared" si="51"/>
        <v>45</v>
      </c>
      <c r="J358" s="17">
        <f t="array" ref="J358">IF(ROW(J358)&lt;=COUNTA(D:D)*2,IF(MOD(ROW(J358),2)=1,INDEX(D:D,(ROW(J358)+1)/2),INDEX(F:F,ROW(J358)/2)),"")</f>
        <v>-355.9</v>
      </c>
      <c r="K358" s="17">
        <f t="array" ref="K358">IF(ROW(K358)&lt;=COUNTA(E:E)*2,IF(MOD(ROW(K358),2)=1,INDEX(E:E,(ROW(K358)+1)/2),INDEX(G:G,ROW(K358)/2)),"")</f>
        <v>48.08</v>
      </c>
    </row>
    <row r="359" spans="1:11" x14ac:dyDescent="0.25">
      <c r="A359" s="25"/>
      <c r="B359" s="25"/>
      <c r="D359" s="25">
        <f t="shared" si="48"/>
        <v>0</v>
      </c>
      <c r="E359" s="13">
        <f t="shared" si="49"/>
        <v>45</v>
      </c>
      <c r="F359" s="25">
        <f t="shared" si="50"/>
        <v>0</v>
      </c>
      <c r="G359" s="13">
        <f t="shared" si="51"/>
        <v>45</v>
      </c>
      <c r="J359" s="17">
        <f t="array" ref="J359">IF(ROW(J359)&lt;=COUNTA(D:D)*2,IF(MOD(ROW(J359),2)=1,INDEX(D:D,(ROW(J359)+1)/2),INDEX(F:F,ROW(J359)/2)),"")</f>
        <v>-355.9</v>
      </c>
      <c r="K359" s="17">
        <f t="array" ref="K359">IF(ROW(K359)&lt;=COUNTA(E:E)*2,IF(MOD(ROW(K359),2)=1,INDEX(E:E,(ROW(K359)+1)/2),INDEX(G:G,ROW(K359)/2)),"")</f>
        <v>47.38</v>
      </c>
    </row>
    <row r="360" spans="1:11" x14ac:dyDescent="0.25">
      <c r="A360" s="25"/>
      <c r="B360" s="25"/>
      <c r="D360" s="25">
        <f t="shared" si="48"/>
        <v>0</v>
      </c>
      <c r="E360" s="13">
        <f t="shared" si="49"/>
        <v>45</v>
      </c>
      <c r="F360" s="25">
        <f t="shared" si="50"/>
        <v>0</v>
      </c>
      <c r="G360" s="13">
        <f t="shared" si="51"/>
        <v>45</v>
      </c>
      <c r="J360" s="17">
        <f t="array" ref="J360">IF(ROW(J360)&lt;=COUNTA(D:D)*2,IF(MOD(ROW(J360),2)=1,INDEX(D:D,(ROW(J360)+1)/2),INDEX(F:F,ROW(J360)/2)),"")</f>
        <v>-357.9</v>
      </c>
      <c r="K360" s="17">
        <f t="array" ref="K360">IF(ROW(K360)&lt;=COUNTA(E:E)*2,IF(MOD(ROW(K360),2)=1,INDEX(E:E,(ROW(K360)+1)/2),INDEX(G:G,ROW(K360)/2)),"")</f>
        <v>47.38</v>
      </c>
    </row>
    <row r="361" spans="1:11" x14ac:dyDescent="0.25">
      <c r="A361" s="25"/>
      <c r="B361" s="25"/>
      <c r="D361" s="25">
        <f t="shared" si="48"/>
        <v>0</v>
      </c>
      <c r="E361" s="13">
        <f t="shared" si="49"/>
        <v>45</v>
      </c>
      <c r="F361" s="25">
        <f t="shared" si="50"/>
        <v>0</v>
      </c>
      <c r="G361" s="13">
        <f t="shared" si="51"/>
        <v>45</v>
      </c>
      <c r="J361" s="17">
        <f t="array" ref="J361">IF(ROW(J361)&lt;=COUNTA(D:D)*2,IF(MOD(ROW(J361),2)=1,INDEX(D:D,(ROW(J361)+1)/2),INDEX(F:F,ROW(J361)/2)),"")</f>
        <v>-357.9</v>
      </c>
      <c r="K361" s="17">
        <f t="array" ref="K361">IF(ROW(K361)&lt;=COUNTA(E:E)*2,IF(MOD(ROW(K361),2)=1,INDEX(E:E,(ROW(K361)+1)/2),INDEX(G:G,ROW(K361)/2)),"")</f>
        <v>48.42</v>
      </c>
    </row>
    <row r="362" spans="1:11" x14ac:dyDescent="0.25">
      <c r="A362" s="25"/>
      <c r="B362" s="25"/>
      <c r="D362" s="25">
        <f t="shared" si="48"/>
        <v>0</v>
      </c>
      <c r="E362" s="13">
        <f t="shared" si="49"/>
        <v>45</v>
      </c>
      <c r="F362" s="25">
        <f t="shared" si="50"/>
        <v>0</v>
      </c>
      <c r="G362" s="13">
        <f t="shared" si="51"/>
        <v>45</v>
      </c>
      <c r="J362" s="17">
        <f t="array" ref="J362">IF(ROW(J362)&lt;=COUNTA(D:D)*2,IF(MOD(ROW(J362),2)=1,INDEX(D:D,(ROW(J362)+1)/2),INDEX(F:F,ROW(J362)/2)),"")</f>
        <v>-359.9</v>
      </c>
      <c r="K362" s="17">
        <f t="array" ref="K362">IF(ROW(K362)&lt;=COUNTA(E:E)*2,IF(MOD(ROW(K362),2)=1,INDEX(E:E,(ROW(K362)+1)/2),INDEX(G:G,ROW(K362)/2)),"")</f>
        <v>48.42</v>
      </c>
    </row>
    <row r="363" spans="1:11" x14ac:dyDescent="0.25">
      <c r="A363" s="25"/>
      <c r="B363" s="25"/>
      <c r="D363" s="25">
        <f t="shared" si="48"/>
        <v>0</v>
      </c>
      <c r="E363" s="13">
        <f t="shared" si="49"/>
        <v>45</v>
      </c>
      <c r="F363" s="25">
        <f t="shared" si="50"/>
        <v>0</v>
      </c>
      <c r="G363" s="13">
        <f t="shared" si="51"/>
        <v>45</v>
      </c>
      <c r="J363" s="17">
        <f t="array" ref="J363">IF(ROW(J363)&lt;=COUNTA(D:D)*2,IF(MOD(ROW(J363),2)=1,INDEX(D:D,(ROW(J363)+1)/2),INDEX(F:F,ROW(J363)/2)),"")</f>
        <v>-359.9</v>
      </c>
      <c r="K363" s="17">
        <f t="array" ref="K363">IF(ROW(K363)&lt;=COUNTA(E:E)*2,IF(MOD(ROW(K363),2)=1,INDEX(E:E,(ROW(K363)+1)/2),INDEX(G:G,ROW(K363)/2)),"")</f>
        <v>48.02</v>
      </c>
    </row>
    <row r="364" spans="1:11" x14ac:dyDescent="0.25">
      <c r="A364" s="25"/>
      <c r="B364" s="25"/>
      <c r="D364" s="25">
        <f t="shared" si="48"/>
        <v>0</v>
      </c>
      <c r="E364" s="13">
        <f t="shared" si="49"/>
        <v>45</v>
      </c>
      <c r="F364" s="25">
        <f t="shared" si="50"/>
        <v>0</v>
      </c>
      <c r="G364" s="13">
        <f t="shared" si="51"/>
        <v>45</v>
      </c>
      <c r="J364" s="17">
        <f t="array" ref="J364">IF(ROW(J364)&lt;=COUNTA(D:D)*2,IF(MOD(ROW(J364),2)=1,INDEX(D:D,(ROW(J364)+1)/2),INDEX(F:F,ROW(J364)/2)),"")</f>
        <v>-361.9</v>
      </c>
      <c r="K364" s="17">
        <f t="array" ref="K364">IF(ROW(K364)&lt;=COUNTA(E:E)*2,IF(MOD(ROW(K364),2)=1,INDEX(E:E,(ROW(K364)+1)/2),INDEX(G:G,ROW(K364)/2)),"")</f>
        <v>48.02</v>
      </c>
    </row>
    <row r="365" spans="1:11" x14ac:dyDescent="0.25">
      <c r="A365" s="25"/>
      <c r="B365" s="25"/>
      <c r="D365" s="25">
        <f t="shared" si="48"/>
        <v>0</v>
      </c>
      <c r="E365" s="13">
        <f t="shared" si="49"/>
        <v>45</v>
      </c>
      <c r="F365" s="25">
        <f t="shared" si="50"/>
        <v>0</v>
      </c>
      <c r="G365" s="13">
        <f t="shared" si="51"/>
        <v>45</v>
      </c>
      <c r="J365" s="17">
        <f t="array" ref="J365">IF(ROW(J365)&lt;=COUNTA(D:D)*2,IF(MOD(ROW(J365),2)=1,INDEX(D:D,(ROW(J365)+1)/2),INDEX(F:F,ROW(J365)/2)),"")</f>
        <v>-361.9</v>
      </c>
      <c r="K365" s="17">
        <f t="array" ref="K365">IF(ROW(K365)&lt;=COUNTA(E:E)*2,IF(MOD(ROW(K365),2)=1,INDEX(E:E,(ROW(K365)+1)/2),INDEX(G:G,ROW(K365)/2)),"")</f>
        <v>48.38</v>
      </c>
    </row>
    <row r="366" spans="1:11" x14ac:dyDescent="0.25">
      <c r="A366" s="25"/>
      <c r="B366" s="25"/>
      <c r="D366" s="25">
        <f t="shared" si="48"/>
        <v>0</v>
      </c>
      <c r="E366" s="13">
        <f t="shared" si="49"/>
        <v>45</v>
      </c>
      <c r="F366" s="25">
        <f t="shared" si="50"/>
        <v>0</v>
      </c>
      <c r="G366" s="13">
        <f t="shared" si="51"/>
        <v>45</v>
      </c>
      <c r="J366" s="17">
        <f t="array" ref="J366">IF(ROW(J366)&lt;=COUNTA(D:D)*2,IF(MOD(ROW(J366),2)=1,INDEX(D:D,(ROW(J366)+1)/2),INDEX(F:F,ROW(J366)/2)),"")</f>
        <v>-363.9</v>
      </c>
      <c r="K366" s="17">
        <f t="array" ref="K366">IF(ROW(K366)&lt;=COUNTA(E:E)*2,IF(MOD(ROW(K366),2)=1,INDEX(E:E,(ROW(K366)+1)/2),INDEX(G:G,ROW(K366)/2)),"")</f>
        <v>48.38</v>
      </c>
    </row>
    <row r="367" spans="1:11" x14ac:dyDescent="0.25">
      <c r="A367" s="25"/>
      <c r="B367" s="25"/>
      <c r="D367" s="25">
        <f t="shared" si="48"/>
        <v>0</v>
      </c>
      <c r="E367" s="13">
        <f t="shared" si="49"/>
        <v>45</v>
      </c>
      <c r="F367" s="25">
        <f t="shared" si="50"/>
        <v>0</v>
      </c>
      <c r="G367" s="13">
        <f t="shared" si="51"/>
        <v>45</v>
      </c>
      <c r="J367" s="17">
        <f t="array" ref="J367">IF(ROW(J367)&lt;=COUNTA(D:D)*2,IF(MOD(ROW(J367),2)=1,INDEX(D:D,(ROW(J367)+1)/2),INDEX(F:F,ROW(J367)/2)),"")</f>
        <v>-363.9</v>
      </c>
      <c r="K367" s="17">
        <f t="array" ref="K367">IF(ROW(K367)&lt;=COUNTA(E:E)*2,IF(MOD(ROW(K367),2)=1,INDEX(E:E,(ROW(K367)+1)/2),INDEX(G:G,ROW(K367)/2)),"")</f>
        <v>48.26</v>
      </c>
    </row>
    <row r="368" spans="1:11" x14ac:dyDescent="0.25">
      <c r="A368" s="25"/>
      <c r="B368" s="25"/>
      <c r="D368" s="25">
        <f t="shared" si="48"/>
        <v>0</v>
      </c>
      <c r="E368" s="13">
        <f t="shared" si="49"/>
        <v>45</v>
      </c>
      <c r="F368" s="25">
        <f t="shared" si="50"/>
        <v>0</v>
      </c>
      <c r="G368" s="13">
        <f t="shared" si="51"/>
        <v>45</v>
      </c>
      <c r="J368" s="17">
        <f t="array" ref="J368">IF(ROW(J368)&lt;=COUNTA(D:D)*2,IF(MOD(ROW(J368),2)=1,INDEX(D:D,(ROW(J368)+1)/2),INDEX(F:F,ROW(J368)/2)),"")</f>
        <v>-365.9</v>
      </c>
      <c r="K368" s="17">
        <f t="array" ref="K368">IF(ROW(K368)&lt;=COUNTA(E:E)*2,IF(MOD(ROW(K368),2)=1,INDEX(E:E,(ROW(K368)+1)/2),INDEX(G:G,ROW(K368)/2)),"")</f>
        <v>48.26</v>
      </c>
    </row>
    <row r="369" spans="1:11" x14ac:dyDescent="0.25">
      <c r="A369" s="25"/>
      <c r="B369" s="25"/>
      <c r="D369" s="25">
        <f t="shared" si="48"/>
        <v>0</v>
      </c>
      <c r="E369" s="13">
        <f t="shared" si="49"/>
        <v>45</v>
      </c>
      <c r="F369" s="25">
        <f t="shared" si="50"/>
        <v>0</v>
      </c>
      <c r="G369" s="13">
        <f t="shared" si="51"/>
        <v>45</v>
      </c>
      <c r="J369" s="17">
        <f t="array" ref="J369">IF(ROW(J369)&lt;=COUNTA(D:D)*2,IF(MOD(ROW(J369),2)=1,INDEX(D:D,(ROW(J369)+1)/2),INDEX(F:F,ROW(J369)/2)),"")</f>
        <v>-365.9</v>
      </c>
      <c r="K369" s="17">
        <f t="array" ref="K369">IF(ROW(K369)&lt;=COUNTA(E:E)*2,IF(MOD(ROW(K369),2)=1,INDEX(E:E,(ROW(K369)+1)/2),INDEX(G:G,ROW(K369)/2)),"")</f>
        <v>46.48</v>
      </c>
    </row>
    <row r="370" spans="1:11" x14ac:dyDescent="0.25">
      <c r="A370" s="25"/>
      <c r="B370" s="25"/>
      <c r="D370" s="25">
        <f t="shared" si="48"/>
        <v>0</v>
      </c>
      <c r="E370" s="13">
        <f t="shared" si="49"/>
        <v>45</v>
      </c>
      <c r="F370" s="25">
        <f t="shared" si="50"/>
        <v>0</v>
      </c>
      <c r="G370" s="13">
        <f t="shared" si="51"/>
        <v>45</v>
      </c>
      <c r="J370" s="17">
        <f t="array" ref="J370">IF(ROW(J370)&lt;=COUNTA(D:D)*2,IF(MOD(ROW(J370),2)=1,INDEX(D:D,(ROW(J370)+1)/2),INDEX(F:F,ROW(J370)/2)),"")</f>
        <v>-367.9</v>
      </c>
      <c r="K370" s="17">
        <f t="array" ref="K370">IF(ROW(K370)&lt;=COUNTA(E:E)*2,IF(MOD(ROW(K370),2)=1,INDEX(E:E,(ROW(K370)+1)/2),INDEX(G:G,ROW(K370)/2)),"")</f>
        <v>46.48</v>
      </c>
    </row>
    <row r="371" spans="1:11" x14ac:dyDescent="0.25">
      <c r="A371" s="25"/>
      <c r="B371" s="25"/>
      <c r="D371" s="25">
        <f t="shared" si="48"/>
        <v>0</v>
      </c>
      <c r="E371" s="13">
        <f t="shared" si="49"/>
        <v>45</v>
      </c>
      <c r="F371" s="25">
        <f t="shared" si="50"/>
        <v>0</v>
      </c>
      <c r="G371" s="13">
        <f t="shared" si="51"/>
        <v>45</v>
      </c>
      <c r="J371" s="17">
        <f t="array" ref="J371">IF(ROW(J371)&lt;=COUNTA(D:D)*2,IF(MOD(ROW(J371),2)=1,INDEX(D:D,(ROW(J371)+1)/2),INDEX(F:F,ROW(J371)/2)),"")</f>
        <v>-367.9</v>
      </c>
      <c r="K371" s="17">
        <f t="array" ref="K371">IF(ROW(K371)&lt;=COUNTA(E:E)*2,IF(MOD(ROW(K371),2)=1,INDEX(E:E,(ROW(K371)+1)/2),INDEX(G:G,ROW(K371)/2)),"")</f>
        <v>47.18</v>
      </c>
    </row>
    <row r="372" spans="1:11" x14ac:dyDescent="0.25">
      <c r="A372" s="25"/>
      <c r="B372" s="25"/>
      <c r="D372" s="25">
        <f t="shared" si="48"/>
        <v>0</v>
      </c>
      <c r="E372" s="13">
        <f t="shared" si="49"/>
        <v>45</v>
      </c>
      <c r="F372" s="25">
        <f t="shared" si="50"/>
        <v>0</v>
      </c>
      <c r="G372" s="13">
        <f t="shared" si="51"/>
        <v>45</v>
      </c>
      <c r="J372" s="17">
        <f t="array" ref="J372">IF(ROW(J372)&lt;=COUNTA(D:D)*2,IF(MOD(ROW(J372),2)=1,INDEX(D:D,(ROW(J372)+1)/2),INDEX(F:F,ROW(J372)/2)),"")</f>
        <v>-369.9</v>
      </c>
      <c r="K372" s="17">
        <f t="array" ref="K372">IF(ROW(K372)&lt;=COUNTA(E:E)*2,IF(MOD(ROW(K372),2)=1,INDEX(E:E,(ROW(K372)+1)/2),INDEX(G:G,ROW(K372)/2)),"")</f>
        <v>47.18</v>
      </c>
    </row>
    <row r="373" spans="1:11" x14ac:dyDescent="0.25">
      <c r="A373" s="25"/>
      <c r="B373" s="25"/>
      <c r="D373" s="25">
        <f t="shared" si="48"/>
        <v>0</v>
      </c>
      <c r="E373" s="13">
        <f t="shared" si="49"/>
        <v>45</v>
      </c>
      <c r="F373" s="25">
        <f t="shared" si="50"/>
        <v>0</v>
      </c>
      <c r="G373" s="13">
        <f t="shared" si="51"/>
        <v>45</v>
      </c>
      <c r="J373" s="17">
        <f t="array" ref="J373">IF(ROW(J373)&lt;=COUNTA(D:D)*2,IF(MOD(ROW(J373),2)=1,INDEX(D:D,(ROW(J373)+1)/2),INDEX(F:F,ROW(J373)/2)),"")</f>
        <v>-369.9</v>
      </c>
      <c r="K373" s="17">
        <f t="array" ref="K373">IF(ROW(K373)&lt;=COUNTA(E:E)*2,IF(MOD(ROW(K373),2)=1,INDEX(E:E,(ROW(K373)+1)/2),INDEX(G:G,ROW(K373)/2)),"")</f>
        <v>46.4</v>
      </c>
    </row>
    <row r="374" spans="1:11" x14ac:dyDescent="0.25">
      <c r="A374" s="25"/>
      <c r="B374" s="25"/>
      <c r="D374" s="25">
        <f t="shared" si="48"/>
        <v>0</v>
      </c>
      <c r="E374" s="13">
        <f t="shared" si="49"/>
        <v>45</v>
      </c>
      <c r="F374" s="25">
        <f t="shared" si="50"/>
        <v>0</v>
      </c>
      <c r="G374" s="13">
        <f t="shared" si="51"/>
        <v>45</v>
      </c>
      <c r="J374" s="17">
        <f t="array" ref="J374">IF(ROW(J374)&lt;=COUNTA(D:D)*2,IF(MOD(ROW(J374),2)=1,INDEX(D:D,(ROW(J374)+1)/2),INDEX(F:F,ROW(J374)/2)),"")</f>
        <v>-371.9</v>
      </c>
      <c r="K374" s="17">
        <f t="array" ref="K374">IF(ROW(K374)&lt;=COUNTA(E:E)*2,IF(MOD(ROW(K374),2)=1,INDEX(E:E,(ROW(K374)+1)/2),INDEX(G:G,ROW(K374)/2)),"")</f>
        <v>46.4</v>
      </c>
    </row>
    <row r="375" spans="1:11" x14ac:dyDescent="0.25">
      <c r="A375" s="25"/>
      <c r="B375" s="25"/>
      <c r="J375" s="17">
        <f t="array" ref="J375">IF(ROW(J375)&lt;=COUNTA(D:D)*2,IF(MOD(ROW(J375),2)=1,INDEX(D:D,(ROW(J375)+1)/2),INDEX(F:F,ROW(J375)/2)),"")</f>
        <v>-371.9</v>
      </c>
      <c r="K375" s="17">
        <f t="array" ref="K375">IF(ROW(K375)&lt;=COUNTA(E:E)*2,IF(MOD(ROW(K375),2)=1,INDEX(E:E,(ROW(K375)+1)/2),INDEX(G:G,ROW(K375)/2)),"")</f>
        <v>47.14</v>
      </c>
    </row>
    <row r="376" spans="1:11" x14ac:dyDescent="0.25">
      <c r="A376" s="25"/>
      <c r="B376" s="25"/>
      <c r="J376" s="17">
        <f t="array" ref="J376">IF(ROW(J376)&lt;=COUNTA(D:D)*2,IF(MOD(ROW(J376),2)=1,INDEX(D:D,(ROW(J376)+1)/2),INDEX(F:F,ROW(J376)/2)),"")</f>
        <v>-373.9</v>
      </c>
      <c r="K376" s="17">
        <f t="array" ref="K376">IF(ROW(K376)&lt;=COUNTA(E:E)*2,IF(MOD(ROW(K376),2)=1,INDEX(E:E,(ROW(K376)+1)/2),INDEX(G:G,ROW(K376)/2)),"")</f>
        <v>47.14</v>
      </c>
    </row>
    <row r="377" spans="1:11" x14ac:dyDescent="0.25">
      <c r="A377" s="25"/>
      <c r="B377" s="25"/>
      <c r="J377" s="17">
        <f t="array" ref="J377">IF(ROW(J377)&lt;=COUNTA(D:D)*2,IF(MOD(ROW(J377),2)=1,INDEX(D:D,(ROW(J377)+1)/2),INDEX(F:F,ROW(J377)/2)),"")</f>
        <v>-373.9</v>
      </c>
      <c r="K377" s="17">
        <f t="array" ref="K377">IF(ROW(K377)&lt;=COUNTA(E:E)*2,IF(MOD(ROW(K377),2)=1,INDEX(E:E,(ROW(K377)+1)/2),INDEX(G:G,ROW(K377)/2)),"")</f>
        <v>47.46</v>
      </c>
    </row>
    <row r="378" spans="1:11" x14ac:dyDescent="0.25">
      <c r="A378" s="25"/>
      <c r="B378" s="25"/>
      <c r="J378" s="17">
        <f t="array" ref="J378">IF(ROW(J378)&lt;=COUNTA(D:D)*2,IF(MOD(ROW(J378),2)=1,INDEX(D:D,(ROW(J378)+1)/2),INDEX(F:F,ROW(J378)/2)),"")</f>
        <v>-375.9</v>
      </c>
      <c r="K378" s="17">
        <f t="array" ref="K378">IF(ROW(K378)&lt;=COUNTA(E:E)*2,IF(MOD(ROW(K378),2)=1,INDEX(E:E,(ROW(K378)+1)/2),INDEX(G:G,ROW(K378)/2)),"")</f>
        <v>47.46</v>
      </c>
    </row>
    <row r="379" spans="1:11" x14ac:dyDescent="0.25">
      <c r="A379" s="25"/>
      <c r="B379" s="25"/>
      <c r="J379" s="17">
        <f t="array" ref="J379">IF(ROW(J379)&lt;=COUNTA(D:D)*2,IF(MOD(ROW(J379),2)=1,INDEX(D:D,(ROW(J379)+1)/2),INDEX(F:F,ROW(J379)/2)),"")</f>
        <v>-375.9</v>
      </c>
      <c r="K379" s="17">
        <f t="array" ref="K379">IF(ROW(K379)&lt;=COUNTA(E:E)*2,IF(MOD(ROW(K379),2)=1,INDEX(E:E,(ROW(K379)+1)/2),INDEX(G:G,ROW(K379)/2)),"")</f>
        <v>48.32</v>
      </c>
    </row>
    <row r="380" spans="1:11" x14ac:dyDescent="0.25">
      <c r="A380" s="25"/>
      <c r="B380" s="25"/>
      <c r="J380" s="17">
        <f t="array" ref="J380">IF(ROW(J380)&lt;=COUNTA(D:D)*2,IF(MOD(ROW(J380),2)=1,INDEX(D:D,(ROW(J380)+1)/2),INDEX(F:F,ROW(J380)/2)),"")</f>
        <v>-377.9</v>
      </c>
      <c r="K380" s="17">
        <f t="array" ref="K380">IF(ROW(K380)&lt;=COUNTA(E:E)*2,IF(MOD(ROW(K380),2)=1,INDEX(E:E,(ROW(K380)+1)/2),INDEX(G:G,ROW(K380)/2)),"")</f>
        <v>48.32</v>
      </c>
    </row>
    <row r="381" spans="1:11" x14ac:dyDescent="0.25">
      <c r="A381" s="25"/>
      <c r="B381" s="25"/>
      <c r="J381" s="17">
        <f t="array" ref="J381">IF(ROW(J381)&lt;=COUNTA(D:D)*2,IF(MOD(ROW(J381),2)=1,INDEX(D:D,(ROW(J381)+1)/2),INDEX(F:F,ROW(J381)/2)),"")</f>
        <v>-377.9</v>
      </c>
      <c r="K381" s="17">
        <f t="array" ref="K381">IF(ROW(K381)&lt;=COUNTA(E:E)*2,IF(MOD(ROW(K381),2)=1,INDEX(E:E,(ROW(K381)+1)/2),INDEX(G:G,ROW(K381)/2)),"")</f>
        <v>48.44</v>
      </c>
    </row>
    <row r="382" spans="1:11" x14ac:dyDescent="0.25">
      <c r="A382" s="25"/>
      <c r="B382" s="25"/>
      <c r="J382" s="17">
        <f t="array" ref="J382">IF(ROW(J382)&lt;=COUNTA(D:D)*2,IF(MOD(ROW(J382),2)=1,INDEX(D:D,(ROW(J382)+1)/2),INDEX(F:F,ROW(J382)/2)),"")</f>
        <v>-379.9</v>
      </c>
      <c r="K382" s="17">
        <f t="array" ref="K382">IF(ROW(K382)&lt;=COUNTA(E:E)*2,IF(MOD(ROW(K382),2)=1,INDEX(E:E,(ROW(K382)+1)/2),INDEX(G:G,ROW(K382)/2)),"")</f>
        <v>48.44</v>
      </c>
    </row>
    <row r="383" spans="1:11" x14ac:dyDescent="0.25">
      <c r="A383" s="25"/>
      <c r="B383" s="25"/>
      <c r="J383" s="17">
        <f t="array" ref="J383">IF(ROW(J383)&lt;=COUNTA(D:D)*2,IF(MOD(ROW(J383),2)=1,INDEX(D:D,(ROW(J383)+1)/2),INDEX(F:F,ROW(J383)/2)),"")</f>
        <v>-379.9</v>
      </c>
      <c r="K383" s="17">
        <f t="array" ref="K383">IF(ROW(K383)&lt;=COUNTA(E:E)*2,IF(MOD(ROW(K383),2)=1,INDEX(E:E,(ROW(K383)+1)/2),INDEX(G:G,ROW(K383)/2)),"")</f>
        <v>48.36</v>
      </c>
    </row>
    <row r="384" spans="1:11" x14ac:dyDescent="0.25">
      <c r="A384" s="25"/>
      <c r="B384" s="25"/>
      <c r="J384" s="17">
        <f t="array" ref="J384">IF(ROW(J384)&lt;=COUNTA(D:D)*2,IF(MOD(ROW(J384),2)=1,INDEX(D:D,(ROW(J384)+1)/2),INDEX(F:F,ROW(J384)/2)),"")</f>
        <v>-381.9</v>
      </c>
      <c r="K384" s="17">
        <f t="array" ref="K384">IF(ROW(K384)&lt;=COUNTA(E:E)*2,IF(MOD(ROW(K384),2)=1,INDEX(E:E,(ROW(K384)+1)/2),INDEX(G:G,ROW(K384)/2)),"")</f>
        <v>48.36</v>
      </c>
    </row>
    <row r="385" spans="1:11" x14ac:dyDescent="0.25">
      <c r="A385" s="25"/>
      <c r="B385" s="25"/>
      <c r="J385" s="17">
        <f t="array" ref="J385">IF(ROW(J385)&lt;=COUNTA(D:D)*2,IF(MOD(ROW(J385),2)=1,INDEX(D:D,(ROW(J385)+1)/2),INDEX(F:F,ROW(J385)/2)),"")</f>
        <v>-381.9</v>
      </c>
      <c r="K385" s="17">
        <f t="array" ref="K385">IF(ROW(K385)&lt;=COUNTA(E:E)*2,IF(MOD(ROW(K385),2)=1,INDEX(E:E,(ROW(K385)+1)/2),INDEX(G:G,ROW(K385)/2)),"")</f>
        <v>48.26</v>
      </c>
    </row>
    <row r="386" spans="1:11" x14ac:dyDescent="0.25">
      <c r="A386" s="25"/>
      <c r="B386" s="25"/>
      <c r="J386" s="17">
        <f t="array" ref="J386">IF(ROW(J386)&lt;=COUNTA(D:D)*2,IF(MOD(ROW(J386),2)=1,INDEX(D:D,(ROW(J386)+1)/2),INDEX(F:F,ROW(J386)/2)),"")</f>
        <v>-383.9</v>
      </c>
      <c r="K386" s="17">
        <f t="array" ref="K386">IF(ROW(K386)&lt;=COUNTA(E:E)*2,IF(MOD(ROW(K386),2)=1,INDEX(E:E,(ROW(K386)+1)/2),INDEX(G:G,ROW(K386)/2)),"")</f>
        <v>48.26</v>
      </c>
    </row>
    <row r="387" spans="1:11" x14ac:dyDescent="0.25">
      <c r="A387" s="25"/>
      <c r="B387" s="25"/>
      <c r="J387" s="17">
        <f t="array" ref="J387">IF(ROW(J387)&lt;=COUNTA(D:D)*2,IF(MOD(ROW(J387),2)=1,INDEX(D:D,(ROW(J387)+1)/2),INDEX(F:F,ROW(J387)/2)),"")</f>
        <v>-383.9</v>
      </c>
      <c r="K387" s="17">
        <f t="array" ref="K387">IF(ROW(K387)&lt;=COUNTA(E:E)*2,IF(MOD(ROW(K387),2)=1,INDEX(E:E,(ROW(K387)+1)/2),INDEX(G:G,ROW(K387)/2)),"")</f>
        <v>48.82</v>
      </c>
    </row>
    <row r="388" spans="1:11" x14ac:dyDescent="0.25">
      <c r="A388" s="25"/>
      <c r="B388" s="25"/>
      <c r="J388" s="17">
        <f t="array" ref="J388">IF(ROW(J388)&lt;=COUNTA(D:D)*2,IF(MOD(ROW(J388),2)=1,INDEX(D:D,(ROW(J388)+1)/2),INDEX(F:F,ROW(J388)/2)),"")</f>
        <v>-385.9</v>
      </c>
      <c r="K388" s="17">
        <f t="array" ref="K388">IF(ROW(K388)&lt;=COUNTA(E:E)*2,IF(MOD(ROW(K388),2)=1,INDEX(E:E,(ROW(K388)+1)/2),INDEX(G:G,ROW(K388)/2)),"")</f>
        <v>48.82</v>
      </c>
    </row>
    <row r="389" spans="1:11" x14ac:dyDescent="0.25">
      <c r="A389" s="25"/>
      <c r="B389" s="25"/>
      <c r="J389" s="17">
        <f t="array" ref="J389">IF(ROW(J389)&lt;=COUNTA(D:D)*2,IF(MOD(ROW(J389),2)=1,INDEX(D:D,(ROW(J389)+1)/2),INDEX(F:F,ROW(J389)/2)),"")</f>
        <v>-385.9</v>
      </c>
      <c r="K389" s="17">
        <f t="array" ref="K389">IF(ROW(K389)&lt;=COUNTA(E:E)*2,IF(MOD(ROW(K389),2)=1,INDEX(E:E,(ROW(K389)+1)/2),INDEX(G:G,ROW(K389)/2)),"")</f>
        <v>48.62</v>
      </c>
    </row>
    <row r="390" spans="1:11" x14ac:dyDescent="0.25">
      <c r="A390" s="25"/>
      <c r="B390" s="25"/>
      <c r="J390" s="17">
        <f t="array" ref="J390">IF(ROW(J390)&lt;=COUNTA(D:D)*2,IF(MOD(ROW(J390),2)=1,INDEX(D:D,(ROW(J390)+1)/2),INDEX(F:F,ROW(J390)/2)),"")</f>
        <v>-387.9</v>
      </c>
      <c r="K390" s="17">
        <f t="array" ref="K390">IF(ROW(K390)&lt;=COUNTA(E:E)*2,IF(MOD(ROW(K390),2)=1,INDEX(E:E,(ROW(K390)+1)/2),INDEX(G:G,ROW(K390)/2)),"")</f>
        <v>48.62</v>
      </c>
    </row>
    <row r="391" spans="1:11" x14ac:dyDescent="0.25">
      <c r="A391" s="25"/>
      <c r="B391" s="25"/>
      <c r="J391" s="17">
        <f t="array" ref="J391">IF(ROW(J391)&lt;=COUNTA(D:D)*2,IF(MOD(ROW(J391),2)=1,INDEX(D:D,(ROW(J391)+1)/2),INDEX(F:F,ROW(J391)/2)),"")</f>
        <v>-387.9</v>
      </c>
      <c r="K391" s="17">
        <f t="array" ref="K391">IF(ROW(K391)&lt;=COUNTA(E:E)*2,IF(MOD(ROW(K391),2)=1,INDEX(E:E,(ROW(K391)+1)/2),INDEX(G:G,ROW(K391)/2)),"")</f>
        <v>48.68</v>
      </c>
    </row>
    <row r="392" spans="1:11" x14ac:dyDescent="0.25">
      <c r="A392" s="25"/>
      <c r="B392" s="25"/>
      <c r="J392" s="17">
        <f t="array" ref="J392">IF(ROW(J392)&lt;=COUNTA(D:D)*2,IF(MOD(ROW(J392),2)=1,INDEX(D:D,(ROW(J392)+1)/2),INDEX(F:F,ROW(J392)/2)),"")</f>
        <v>-389.9</v>
      </c>
      <c r="K392" s="17">
        <f t="array" ref="K392">IF(ROW(K392)&lt;=COUNTA(E:E)*2,IF(MOD(ROW(K392),2)=1,INDEX(E:E,(ROW(K392)+1)/2),INDEX(G:G,ROW(K392)/2)),"")</f>
        <v>48.68</v>
      </c>
    </row>
    <row r="393" spans="1:11" x14ac:dyDescent="0.25">
      <c r="A393" s="25"/>
      <c r="B393" s="25"/>
      <c r="J393" s="17">
        <f t="array" ref="J393">IF(ROW(J393)&lt;=COUNTA(D:D)*2,IF(MOD(ROW(J393),2)=1,INDEX(D:D,(ROW(J393)+1)/2),INDEX(F:F,ROW(J393)/2)),"")</f>
        <v>-389.9</v>
      </c>
      <c r="K393" s="17">
        <f t="array" ref="K393">IF(ROW(K393)&lt;=COUNTA(E:E)*2,IF(MOD(ROW(K393),2)=1,INDEX(E:E,(ROW(K393)+1)/2),INDEX(G:G,ROW(K393)/2)),"")</f>
        <v>48.74</v>
      </c>
    </row>
    <row r="394" spans="1:11" x14ac:dyDescent="0.25">
      <c r="A394" s="25"/>
      <c r="B394" s="25"/>
      <c r="J394" s="17">
        <f t="array" ref="J394">IF(ROW(J394)&lt;=COUNTA(D:D)*2,IF(MOD(ROW(J394),2)=1,INDEX(D:D,(ROW(J394)+1)/2),INDEX(F:F,ROW(J394)/2)),"")</f>
        <v>-391.9</v>
      </c>
      <c r="K394" s="17">
        <f t="array" ref="K394">IF(ROW(K394)&lt;=COUNTA(E:E)*2,IF(MOD(ROW(K394),2)=1,INDEX(E:E,(ROW(K394)+1)/2),INDEX(G:G,ROW(K394)/2)),"")</f>
        <v>48.74</v>
      </c>
    </row>
    <row r="395" spans="1:11" x14ac:dyDescent="0.25">
      <c r="A395" s="25"/>
      <c r="B395" s="25"/>
      <c r="J395" s="17">
        <f t="array" ref="J395">IF(ROW(J395)&lt;=COUNTA(D:D)*2,IF(MOD(ROW(J395),2)=1,INDEX(D:D,(ROW(J395)+1)/2),INDEX(F:F,ROW(J395)/2)),"")</f>
        <v>-391.9</v>
      </c>
      <c r="K395" s="17">
        <f t="array" ref="K395">IF(ROW(K395)&lt;=COUNTA(E:E)*2,IF(MOD(ROW(K395),2)=1,INDEX(E:E,(ROW(K395)+1)/2),INDEX(G:G,ROW(K395)/2)),"")</f>
        <v>48.58</v>
      </c>
    </row>
    <row r="396" spans="1:11" x14ac:dyDescent="0.25">
      <c r="A396" s="25"/>
      <c r="B396" s="25"/>
      <c r="J396" s="17">
        <f t="array" ref="J396">IF(ROW(J396)&lt;=COUNTA(D:D)*2,IF(MOD(ROW(J396),2)=1,INDEX(D:D,(ROW(J396)+1)/2),INDEX(F:F,ROW(J396)/2)),"")</f>
        <v>-393.9</v>
      </c>
      <c r="K396" s="17">
        <f t="array" ref="K396">IF(ROW(K396)&lt;=COUNTA(E:E)*2,IF(MOD(ROW(K396),2)=1,INDEX(E:E,(ROW(K396)+1)/2),INDEX(G:G,ROW(K396)/2)),"")</f>
        <v>48.58</v>
      </c>
    </row>
    <row r="397" spans="1:11" x14ac:dyDescent="0.25">
      <c r="A397" s="25"/>
      <c r="B397" s="25"/>
      <c r="J397" s="17">
        <f t="array" ref="J397">IF(ROW(J397)&lt;=COUNTA(D:D)*2,IF(MOD(ROW(J397),2)=1,INDEX(D:D,(ROW(J397)+1)/2),INDEX(F:F,ROW(J397)/2)),"")</f>
        <v>-393.9</v>
      </c>
      <c r="K397" s="17">
        <f t="array" ref="K397">IF(ROW(K397)&lt;=COUNTA(E:E)*2,IF(MOD(ROW(K397),2)=1,INDEX(E:E,(ROW(K397)+1)/2),INDEX(G:G,ROW(K397)/2)),"")</f>
        <v>48.68</v>
      </c>
    </row>
    <row r="398" spans="1:11" x14ac:dyDescent="0.25">
      <c r="A398" s="25"/>
      <c r="B398" s="25"/>
      <c r="J398" s="17">
        <f t="array" ref="J398">IF(ROW(J398)&lt;=COUNTA(D:D)*2,IF(MOD(ROW(J398),2)=1,INDEX(D:D,(ROW(J398)+1)/2),INDEX(F:F,ROW(J398)/2)),"")</f>
        <v>-395.9</v>
      </c>
      <c r="K398" s="17">
        <f t="array" ref="K398">IF(ROW(K398)&lt;=COUNTA(E:E)*2,IF(MOD(ROW(K398),2)=1,INDEX(E:E,(ROW(K398)+1)/2),INDEX(G:G,ROW(K398)/2)),"")</f>
        <v>48.68</v>
      </c>
    </row>
    <row r="399" spans="1:11" x14ac:dyDescent="0.25">
      <c r="A399" s="25"/>
      <c r="B399" s="25"/>
      <c r="J399" s="17">
        <f t="array" ref="J399">IF(ROW(J399)&lt;=COUNTA(D:D)*2,IF(MOD(ROW(J399),2)=1,INDEX(D:D,(ROW(J399)+1)/2),INDEX(F:F,ROW(J399)/2)),"")</f>
        <v>-395.9</v>
      </c>
      <c r="K399" s="17">
        <f t="array" ref="K399">IF(ROW(K399)&lt;=COUNTA(E:E)*2,IF(MOD(ROW(K399),2)=1,INDEX(E:E,(ROW(K399)+1)/2),INDEX(G:G,ROW(K399)/2)),"")</f>
        <v>48.48</v>
      </c>
    </row>
    <row r="400" spans="1:11" x14ac:dyDescent="0.25">
      <c r="A400" s="25"/>
      <c r="B400" s="25"/>
      <c r="J400" s="17">
        <f t="array" ref="J400">IF(ROW(J400)&lt;=COUNTA(D:D)*2,IF(MOD(ROW(J400),2)=1,INDEX(D:D,(ROW(J400)+1)/2),INDEX(F:F,ROW(J400)/2)),"")</f>
        <v>-397.9</v>
      </c>
      <c r="K400" s="17">
        <f t="array" ref="K400">IF(ROW(K400)&lt;=COUNTA(E:E)*2,IF(MOD(ROW(K400),2)=1,INDEX(E:E,(ROW(K400)+1)/2),INDEX(G:G,ROW(K400)/2)),"")</f>
        <v>48.48</v>
      </c>
    </row>
    <row r="401" spans="1:11" x14ac:dyDescent="0.25">
      <c r="A401" s="25"/>
      <c r="B401" s="25"/>
      <c r="J401" s="17">
        <f t="array" ref="J401">IF(ROW(J401)&lt;=COUNTA(D:D)*2,IF(MOD(ROW(J401),2)=1,INDEX(D:D,(ROW(J401)+1)/2),INDEX(F:F,ROW(J401)/2)),"")</f>
        <v>-397.9</v>
      </c>
      <c r="K401" s="17">
        <f t="array" ref="K401">IF(ROW(K401)&lt;=COUNTA(E:E)*2,IF(MOD(ROW(K401),2)=1,INDEX(E:E,(ROW(K401)+1)/2),INDEX(G:G,ROW(K401)/2)),"")</f>
        <v>48.6</v>
      </c>
    </row>
    <row r="402" spans="1:11" x14ac:dyDescent="0.25">
      <c r="A402" s="25"/>
      <c r="B402" s="25"/>
      <c r="J402" s="17">
        <f t="array" ref="J402">IF(ROW(J402)&lt;=COUNTA(D:D)*2,IF(MOD(ROW(J402),2)=1,INDEX(D:D,(ROW(J402)+1)/2),INDEX(F:F,ROW(J402)/2)),"")</f>
        <v>-399.9</v>
      </c>
      <c r="K402" s="17">
        <f t="array" ref="K402">IF(ROW(K402)&lt;=COUNTA(E:E)*2,IF(MOD(ROW(K402),2)=1,INDEX(E:E,(ROW(K402)+1)/2),INDEX(G:G,ROW(K402)/2)),"")</f>
        <v>48.6</v>
      </c>
    </row>
    <row r="403" spans="1:11" x14ac:dyDescent="0.25">
      <c r="A403" s="25"/>
      <c r="B403" s="25"/>
      <c r="J403" s="17">
        <f t="array" ref="J403">IF(ROW(J403)&lt;=COUNTA(D:D)*2,IF(MOD(ROW(J403),2)=1,INDEX(D:D,(ROW(J403)+1)/2),INDEX(F:F,ROW(J403)/2)),"")</f>
        <v>-399.9</v>
      </c>
      <c r="K403" s="17">
        <f t="array" ref="K403">IF(ROW(K403)&lt;=COUNTA(E:E)*2,IF(MOD(ROW(K403),2)=1,INDEX(E:E,(ROW(K403)+1)/2),INDEX(G:G,ROW(K403)/2)),"")</f>
        <v>47.06</v>
      </c>
    </row>
    <row r="404" spans="1:11" x14ac:dyDescent="0.25">
      <c r="A404" s="25"/>
      <c r="B404" s="25"/>
      <c r="J404" s="17">
        <f t="array" ref="J404">IF(ROW(J404)&lt;=COUNTA(D:D)*2,IF(MOD(ROW(J404),2)=1,INDEX(D:D,(ROW(J404)+1)/2),INDEX(F:F,ROW(J404)/2)),"")</f>
        <v>-401.9</v>
      </c>
      <c r="K404" s="17">
        <f t="array" ref="K404">IF(ROW(K404)&lt;=COUNTA(E:E)*2,IF(MOD(ROW(K404),2)=1,INDEX(E:E,(ROW(K404)+1)/2),INDEX(G:G,ROW(K404)/2)),"")</f>
        <v>47.06</v>
      </c>
    </row>
    <row r="405" spans="1:11" x14ac:dyDescent="0.25">
      <c r="A405" s="25"/>
      <c r="B405" s="25"/>
      <c r="J405" s="17">
        <f t="array" ref="J405">IF(ROW(J405)&lt;=COUNTA(D:D)*2,IF(MOD(ROW(J405),2)=1,INDEX(D:D,(ROW(J405)+1)/2),INDEX(F:F,ROW(J405)/2)),"")</f>
        <v>-401.9</v>
      </c>
      <c r="K405" s="17">
        <f t="array" ref="K405">IF(ROW(K405)&lt;=COUNTA(E:E)*2,IF(MOD(ROW(K405),2)=1,INDEX(E:E,(ROW(K405)+1)/2),INDEX(G:G,ROW(K405)/2)),"")</f>
        <v>47.58</v>
      </c>
    </row>
    <row r="406" spans="1:11" x14ac:dyDescent="0.25">
      <c r="A406" s="25"/>
      <c r="B406" s="25"/>
      <c r="J406" s="17">
        <f t="array" ref="J406">IF(ROW(J406)&lt;=COUNTA(D:D)*2,IF(MOD(ROW(J406),2)=1,INDEX(D:D,(ROW(J406)+1)/2),INDEX(F:F,ROW(J406)/2)),"")</f>
        <v>-403.9</v>
      </c>
      <c r="K406" s="17">
        <f t="array" ref="K406">IF(ROW(K406)&lt;=COUNTA(E:E)*2,IF(MOD(ROW(K406),2)=1,INDEX(E:E,(ROW(K406)+1)/2),INDEX(G:G,ROW(K406)/2)),"")</f>
        <v>47.58</v>
      </c>
    </row>
    <row r="407" spans="1:11" x14ac:dyDescent="0.25">
      <c r="A407" s="25"/>
      <c r="B407" s="25"/>
      <c r="J407" s="17">
        <f t="array" ref="J407">IF(ROW(J407)&lt;=COUNTA(D:D)*2,IF(MOD(ROW(J407),2)=1,INDEX(D:D,(ROW(J407)+1)/2),INDEX(F:F,ROW(J407)/2)),"")</f>
        <v>-403.9</v>
      </c>
      <c r="K407" s="17">
        <f t="array" ref="K407">IF(ROW(K407)&lt;=COUNTA(E:E)*2,IF(MOD(ROW(K407),2)=1,INDEX(E:E,(ROW(K407)+1)/2),INDEX(G:G,ROW(K407)/2)),"")</f>
        <v>48.76</v>
      </c>
    </row>
    <row r="408" spans="1:11" x14ac:dyDescent="0.25">
      <c r="A408" s="25"/>
      <c r="B408" s="25"/>
      <c r="J408" s="17">
        <f t="array" ref="J408">IF(ROW(J408)&lt;=COUNTA(D:D)*2,IF(MOD(ROW(J408),2)=1,INDEX(D:D,(ROW(J408)+1)/2),INDEX(F:F,ROW(J408)/2)),"")</f>
        <v>-405.9</v>
      </c>
      <c r="K408" s="17">
        <f t="array" ref="K408">IF(ROW(K408)&lt;=COUNTA(E:E)*2,IF(MOD(ROW(K408),2)=1,INDEX(E:E,(ROW(K408)+1)/2),INDEX(G:G,ROW(K408)/2)),"")</f>
        <v>48.76</v>
      </c>
    </row>
    <row r="409" spans="1:11" x14ac:dyDescent="0.25">
      <c r="A409" s="25"/>
      <c r="B409" s="25"/>
      <c r="J409" s="17">
        <f t="array" ref="J409">IF(ROW(J409)&lt;=COUNTA(D:D)*2,IF(MOD(ROW(J409),2)=1,INDEX(D:D,(ROW(J409)+1)/2),INDEX(F:F,ROW(J409)/2)),"")</f>
        <v>-405.9</v>
      </c>
      <c r="K409" s="17">
        <f t="array" ref="K409">IF(ROW(K409)&lt;=COUNTA(E:E)*2,IF(MOD(ROW(K409),2)=1,INDEX(E:E,(ROW(K409)+1)/2),INDEX(G:G,ROW(K409)/2)),"")</f>
        <v>48.32</v>
      </c>
    </row>
    <row r="410" spans="1:11" x14ac:dyDescent="0.25">
      <c r="A410" s="25"/>
      <c r="B410" s="25"/>
      <c r="J410" s="17">
        <f t="array" ref="J410">IF(ROW(J410)&lt;=COUNTA(D:D)*2,IF(MOD(ROW(J410),2)=1,INDEX(D:D,(ROW(J410)+1)/2),INDEX(F:F,ROW(J410)/2)),"")</f>
        <v>-407.9</v>
      </c>
      <c r="K410" s="17">
        <f t="array" ref="K410">IF(ROW(K410)&lt;=COUNTA(E:E)*2,IF(MOD(ROW(K410),2)=1,INDEX(E:E,(ROW(K410)+1)/2),INDEX(G:G,ROW(K410)/2)),"")</f>
        <v>48.32</v>
      </c>
    </row>
    <row r="411" spans="1:11" x14ac:dyDescent="0.25">
      <c r="A411" s="25"/>
      <c r="B411" s="25"/>
      <c r="J411" s="17">
        <f t="array" ref="J411">IF(ROW(J411)&lt;=COUNTA(D:D)*2,IF(MOD(ROW(J411),2)=1,INDEX(D:D,(ROW(J411)+1)/2),INDEX(F:F,ROW(J411)/2)),"")</f>
        <v>-407.9</v>
      </c>
      <c r="K411" s="17">
        <f t="array" ref="K411">IF(ROW(K411)&lt;=COUNTA(E:E)*2,IF(MOD(ROW(K411),2)=1,INDEX(E:E,(ROW(K411)+1)/2),INDEX(G:G,ROW(K411)/2)),"")</f>
        <v>48.62</v>
      </c>
    </row>
    <row r="412" spans="1:11" x14ac:dyDescent="0.25">
      <c r="A412" s="25"/>
      <c r="B412" s="25"/>
      <c r="J412" s="17">
        <f t="array" ref="J412">IF(ROW(J412)&lt;=COUNTA(D:D)*2,IF(MOD(ROW(J412),2)=1,INDEX(D:D,(ROW(J412)+1)/2),INDEX(F:F,ROW(J412)/2)),"")</f>
        <v>-409.9</v>
      </c>
      <c r="K412" s="17">
        <f t="array" ref="K412">IF(ROW(K412)&lt;=COUNTA(E:E)*2,IF(MOD(ROW(K412),2)=1,INDEX(E:E,(ROW(K412)+1)/2),INDEX(G:G,ROW(K412)/2)),"")</f>
        <v>48.62</v>
      </c>
    </row>
    <row r="413" spans="1:11" x14ac:dyDescent="0.25">
      <c r="A413" s="25"/>
      <c r="B413" s="25"/>
      <c r="J413" s="17">
        <f t="array" ref="J413">IF(ROW(J413)&lt;=COUNTA(D:D)*2,IF(MOD(ROW(J413),2)=1,INDEX(D:D,(ROW(J413)+1)/2),INDEX(F:F,ROW(J413)/2)),"")</f>
        <v>-409.9</v>
      </c>
      <c r="K413" s="17">
        <f t="array" ref="K413">IF(ROW(K413)&lt;=COUNTA(E:E)*2,IF(MOD(ROW(K413),2)=1,INDEX(E:E,(ROW(K413)+1)/2),INDEX(G:G,ROW(K413)/2)),"")</f>
        <v>48.52</v>
      </c>
    </row>
    <row r="414" spans="1:11" x14ac:dyDescent="0.25">
      <c r="A414" s="25"/>
      <c r="B414" s="25"/>
      <c r="J414" s="17">
        <f t="array" ref="J414">IF(ROW(J414)&lt;=COUNTA(D:D)*2,IF(MOD(ROW(J414),2)=1,INDEX(D:D,(ROW(J414)+1)/2),INDEX(F:F,ROW(J414)/2)),"")</f>
        <v>-411.9</v>
      </c>
      <c r="K414" s="17">
        <f t="array" ref="K414">IF(ROW(K414)&lt;=COUNTA(E:E)*2,IF(MOD(ROW(K414),2)=1,INDEX(E:E,(ROW(K414)+1)/2),INDEX(G:G,ROW(K414)/2)),"")</f>
        <v>48.52</v>
      </c>
    </row>
    <row r="415" spans="1:11" x14ac:dyDescent="0.25">
      <c r="A415" s="25"/>
      <c r="B415" s="25"/>
      <c r="J415" s="17">
        <f t="array" ref="J415">IF(ROW(J415)&lt;=COUNTA(D:D)*2,IF(MOD(ROW(J415),2)=1,INDEX(D:D,(ROW(J415)+1)/2),INDEX(F:F,ROW(J415)/2)),"")</f>
        <v>-411.9</v>
      </c>
      <c r="K415" s="17">
        <f t="array" ref="K415">IF(ROW(K415)&lt;=COUNTA(E:E)*2,IF(MOD(ROW(K415),2)=1,INDEX(E:E,(ROW(K415)+1)/2),INDEX(G:G,ROW(K415)/2)),"")</f>
        <v>48.02</v>
      </c>
    </row>
    <row r="416" spans="1:11" x14ac:dyDescent="0.25">
      <c r="A416" s="25"/>
      <c r="B416" s="25"/>
      <c r="J416" s="17">
        <f t="array" ref="J416">IF(ROW(J416)&lt;=COUNTA(D:D)*2,IF(MOD(ROW(J416),2)=1,INDEX(D:D,(ROW(J416)+1)/2),INDEX(F:F,ROW(J416)/2)),"")</f>
        <v>-413.9</v>
      </c>
      <c r="K416" s="17">
        <f t="array" ref="K416">IF(ROW(K416)&lt;=COUNTA(E:E)*2,IF(MOD(ROW(K416),2)=1,INDEX(E:E,(ROW(K416)+1)/2),INDEX(G:G,ROW(K416)/2)),"")</f>
        <v>48.02</v>
      </c>
    </row>
    <row r="417" spans="1:11" x14ac:dyDescent="0.25">
      <c r="A417" s="25"/>
      <c r="B417" s="25"/>
      <c r="J417" s="17">
        <f t="array" ref="J417">IF(ROW(J417)&lt;=COUNTA(D:D)*2,IF(MOD(ROW(J417),2)=1,INDEX(D:D,(ROW(J417)+1)/2),INDEX(F:F,ROW(J417)/2)),"")</f>
        <v>-413.9</v>
      </c>
      <c r="K417" s="17">
        <f t="array" ref="K417">IF(ROW(K417)&lt;=COUNTA(E:E)*2,IF(MOD(ROW(K417),2)=1,INDEX(E:E,(ROW(K417)+1)/2),INDEX(G:G,ROW(K417)/2)),"")</f>
        <v>48.18</v>
      </c>
    </row>
    <row r="418" spans="1:11" x14ac:dyDescent="0.25">
      <c r="A418" s="25"/>
      <c r="B418" s="25"/>
      <c r="J418" s="17">
        <f t="array" ref="J418">IF(ROW(J418)&lt;=COUNTA(D:D)*2,IF(MOD(ROW(J418),2)=1,INDEX(D:D,(ROW(J418)+1)/2),INDEX(F:F,ROW(J418)/2)),"")</f>
        <v>-415.9</v>
      </c>
      <c r="K418" s="17">
        <f t="array" ref="K418">IF(ROW(K418)&lt;=COUNTA(E:E)*2,IF(MOD(ROW(K418),2)=1,INDEX(E:E,(ROW(K418)+1)/2),INDEX(G:G,ROW(K418)/2)),"")</f>
        <v>48.18</v>
      </c>
    </row>
    <row r="419" spans="1:11" x14ac:dyDescent="0.25">
      <c r="A419" s="25"/>
      <c r="B419" s="25"/>
      <c r="J419" s="17">
        <f t="array" ref="J419">IF(ROW(J419)&lt;=COUNTA(D:D)*2,IF(MOD(ROW(J419),2)=1,INDEX(D:D,(ROW(J419)+1)/2),INDEX(F:F,ROW(J419)/2)),"")</f>
        <v>-415.9</v>
      </c>
      <c r="K419" s="17">
        <f t="array" ref="K419">IF(ROW(K419)&lt;=COUNTA(E:E)*2,IF(MOD(ROW(K419),2)=1,INDEX(E:E,(ROW(K419)+1)/2),INDEX(G:G,ROW(K419)/2)),"")</f>
        <v>48.2</v>
      </c>
    </row>
    <row r="420" spans="1:11" x14ac:dyDescent="0.25">
      <c r="A420" s="25"/>
      <c r="B420" s="25"/>
      <c r="J420" s="17">
        <f t="array" ref="J420">IF(ROW(J420)&lt;=COUNTA(D:D)*2,IF(MOD(ROW(J420),2)=1,INDEX(D:D,(ROW(J420)+1)/2),INDEX(F:F,ROW(J420)/2)),"")</f>
        <v>-417.9</v>
      </c>
      <c r="K420" s="17">
        <f t="array" ref="K420">IF(ROW(K420)&lt;=COUNTA(E:E)*2,IF(MOD(ROW(K420),2)=1,INDEX(E:E,(ROW(K420)+1)/2),INDEX(G:G,ROW(K420)/2)),"")</f>
        <v>48.2</v>
      </c>
    </row>
    <row r="421" spans="1:11" x14ac:dyDescent="0.25">
      <c r="A421" s="25"/>
      <c r="B421" s="25"/>
      <c r="J421" s="17">
        <f t="array" ref="J421">IF(ROW(J421)&lt;=COUNTA(D:D)*2,IF(MOD(ROW(J421),2)=1,INDEX(D:D,(ROW(J421)+1)/2),INDEX(F:F,ROW(J421)/2)),"")</f>
        <v>-417.9</v>
      </c>
      <c r="K421" s="17">
        <f t="array" ref="K421">IF(ROW(K421)&lt;=COUNTA(E:E)*2,IF(MOD(ROW(K421),2)=1,INDEX(E:E,(ROW(K421)+1)/2),INDEX(G:G,ROW(K421)/2)),"")</f>
        <v>46.8</v>
      </c>
    </row>
    <row r="422" spans="1:11" x14ac:dyDescent="0.25">
      <c r="A422" s="25"/>
      <c r="B422" s="25"/>
      <c r="J422" s="17">
        <f t="array" ref="J422">IF(ROW(J422)&lt;=COUNTA(D:D)*2,IF(MOD(ROW(J422),2)=1,INDEX(D:D,(ROW(J422)+1)/2),INDEX(F:F,ROW(J422)/2)),"")</f>
        <v>-419.9</v>
      </c>
      <c r="K422" s="17">
        <f t="array" ref="K422">IF(ROW(K422)&lt;=COUNTA(E:E)*2,IF(MOD(ROW(K422),2)=1,INDEX(E:E,(ROW(K422)+1)/2),INDEX(G:G,ROW(K422)/2)),"")</f>
        <v>46.8</v>
      </c>
    </row>
    <row r="423" spans="1:11" x14ac:dyDescent="0.25">
      <c r="A423" s="25"/>
      <c r="B423" s="25"/>
      <c r="J423" s="17">
        <f t="array" ref="J423">IF(ROW(J423)&lt;=COUNTA(D:D)*2,IF(MOD(ROW(J423),2)=1,INDEX(D:D,(ROW(J423)+1)/2),INDEX(F:F,ROW(J423)/2)),"")</f>
        <v>-419.9</v>
      </c>
      <c r="K423" s="17">
        <f t="array" ref="K423">IF(ROW(K423)&lt;=COUNTA(E:E)*2,IF(MOD(ROW(K423),2)=1,INDEX(E:E,(ROW(K423)+1)/2),INDEX(G:G,ROW(K423)/2)),"")</f>
        <v>47.36</v>
      </c>
    </row>
    <row r="424" spans="1:11" x14ac:dyDescent="0.25">
      <c r="A424" s="25"/>
      <c r="B424" s="25"/>
      <c r="J424" s="17">
        <f t="array" ref="J424">IF(ROW(J424)&lt;=COUNTA(D:D)*2,IF(MOD(ROW(J424),2)=1,INDEX(D:D,(ROW(J424)+1)/2),INDEX(F:F,ROW(J424)/2)),"")</f>
        <v>-421.9</v>
      </c>
      <c r="K424" s="17">
        <f t="array" ref="K424">IF(ROW(K424)&lt;=COUNTA(E:E)*2,IF(MOD(ROW(K424),2)=1,INDEX(E:E,(ROW(K424)+1)/2),INDEX(G:G,ROW(K424)/2)),"")</f>
        <v>47.36</v>
      </c>
    </row>
    <row r="425" spans="1:11" x14ac:dyDescent="0.25">
      <c r="A425" s="25"/>
      <c r="B425" s="25"/>
      <c r="J425" s="17">
        <f t="array" ref="J425">IF(ROW(J425)&lt;=COUNTA(D:D)*2,IF(MOD(ROW(J425),2)=1,INDEX(D:D,(ROW(J425)+1)/2),INDEX(F:F,ROW(J425)/2)),"")</f>
        <v>-421.9</v>
      </c>
      <c r="K425" s="17">
        <f t="array" ref="K425">IF(ROW(K425)&lt;=COUNTA(E:E)*2,IF(MOD(ROW(K425),2)=1,INDEX(E:E,(ROW(K425)+1)/2),INDEX(G:G,ROW(K425)/2)),"")</f>
        <v>45.86</v>
      </c>
    </row>
    <row r="426" spans="1:11" x14ac:dyDescent="0.25">
      <c r="A426" s="25"/>
      <c r="B426" s="25"/>
      <c r="J426" s="17">
        <f t="array" ref="J426">IF(ROW(J426)&lt;=COUNTA(D:D)*2,IF(MOD(ROW(J426),2)=1,INDEX(D:D,(ROW(J426)+1)/2),INDEX(F:F,ROW(J426)/2)),"")</f>
        <v>-423.9</v>
      </c>
      <c r="K426" s="17">
        <f t="array" ref="K426">IF(ROW(K426)&lt;=COUNTA(E:E)*2,IF(MOD(ROW(K426),2)=1,INDEX(E:E,(ROW(K426)+1)/2),INDEX(G:G,ROW(K426)/2)),"")</f>
        <v>45.86</v>
      </c>
    </row>
    <row r="427" spans="1:11" x14ac:dyDescent="0.25">
      <c r="A427" s="25"/>
      <c r="B427" s="25"/>
      <c r="J427" s="17">
        <f t="array" ref="J427">IF(ROW(J427)&lt;=COUNTA(D:D)*2,IF(MOD(ROW(J427),2)=1,INDEX(D:D,(ROW(J427)+1)/2),INDEX(F:F,ROW(J427)/2)),"")</f>
        <v>-423.9</v>
      </c>
      <c r="K427" s="17">
        <f t="array" ref="K427">IF(ROW(K427)&lt;=COUNTA(E:E)*2,IF(MOD(ROW(K427),2)=1,INDEX(E:E,(ROW(K427)+1)/2),INDEX(G:G,ROW(K427)/2)),"")</f>
        <v>46.2</v>
      </c>
    </row>
    <row r="428" spans="1:11" x14ac:dyDescent="0.25">
      <c r="A428" s="25"/>
      <c r="B428" s="25"/>
      <c r="J428" s="17">
        <f t="array" ref="J428">IF(ROW(J428)&lt;=COUNTA(D:D)*2,IF(MOD(ROW(J428),2)=1,INDEX(D:D,(ROW(J428)+1)/2),INDEX(F:F,ROW(J428)/2)),"")</f>
        <v>-425.9</v>
      </c>
      <c r="K428" s="17">
        <f t="array" ref="K428">IF(ROW(K428)&lt;=COUNTA(E:E)*2,IF(MOD(ROW(K428),2)=1,INDEX(E:E,(ROW(K428)+1)/2),INDEX(G:G,ROW(K428)/2)),"")</f>
        <v>46.2</v>
      </c>
    </row>
    <row r="429" spans="1:11" x14ac:dyDescent="0.25">
      <c r="A429" s="25"/>
      <c r="B429" s="25"/>
      <c r="J429" s="17">
        <f t="array" ref="J429">IF(ROW(J429)&lt;=COUNTA(D:D)*2,IF(MOD(ROW(J429),2)=1,INDEX(D:D,(ROW(J429)+1)/2),INDEX(F:F,ROW(J429)/2)),"")</f>
        <v>-425.9</v>
      </c>
      <c r="K429" s="17">
        <f t="array" ref="K429">IF(ROW(K429)&lt;=COUNTA(E:E)*2,IF(MOD(ROW(K429),2)=1,INDEX(E:E,(ROW(K429)+1)/2),INDEX(G:G,ROW(K429)/2)),"")</f>
        <v>46.94</v>
      </c>
    </row>
    <row r="430" spans="1:11" x14ac:dyDescent="0.25">
      <c r="A430" s="25"/>
      <c r="B430" s="25"/>
      <c r="J430" s="17">
        <f t="array" ref="J430">IF(ROW(J430)&lt;=COUNTA(D:D)*2,IF(MOD(ROW(J430),2)=1,INDEX(D:D,(ROW(J430)+1)/2),INDEX(F:F,ROW(J430)/2)),"")</f>
        <v>-427.9</v>
      </c>
      <c r="K430" s="17">
        <f t="array" ref="K430">IF(ROW(K430)&lt;=COUNTA(E:E)*2,IF(MOD(ROW(K430),2)=1,INDEX(E:E,(ROW(K430)+1)/2),INDEX(G:G,ROW(K430)/2)),"")</f>
        <v>46.94</v>
      </c>
    </row>
    <row r="431" spans="1:11" x14ac:dyDescent="0.25">
      <c r="A431" s="25"/>
      <c r="B431" s="25"/>
      <c r="J431" s="17">
        <f t="array" ref="J431">IF(ROW(J431)&lt;=COUNTA(D:D)*2,IF(MOD(ROW(J431),2)=1,INDEX(D:D,(ROW(J431)+1)/2),INDEX(F:F,ROW(J431)/2)),"")</f>
        <v>-427.9</v>
      </c>
      <c r="K431" s="17">
        <f t="array" ref="K431">IF(ROW(K431)&lt;=COUNTA(E:E)*2,IF(MOD(ROW(K431),2)=1,INDEX(E:E,(ROW(K431)+1)/2),INDEX(G:G,ROW(K431)/2)),"")</f>
        <v>46</v>
      </c>
    </row>
    <row r="432" spans="1:11" x14ac:dyDescent="0.25">
      <c r="A432" s="25"/>
      <c r="B432" s="25"/>
      <c r="J432" s="17">
        <f t="array" ref="J432">IF(ROW(J432)&lt;=COUNTA(D:D)*2,IF(MOD(ROW(J432),2)=1,INDEX(D:D,(ROW(J432)+1)/2),INDEX(F:F,ROW(J432)/2)),"")</f>
        <v>-429.9</v>
      </c>
      <c r="K432" s="17">
        <f t="array" ref="K432">IF(ROW(K432)&lt;=COUNTA(E:E)*2,IF(MOD(ROW(K432),2)=1,INDEX(E:E,(ROW(K432)+1)/2),INDEX(G:G,ROW(K432)/2)),"")</f>
        <v>46</v>
      </c>
    </row>
    <row r="433" spans="1:11" x14ac:dyDescent="0.25">
      <c r="A433" s="25"/>
      <c r="B433" s="25"/>
      <c r="J433" s="17">
        <f t="array" ref="J433">IF(ROW(J433)&lt;=COUNTA(D:D)*2,IF(MOD(ROW(J433),2)=1,INDEX(D:D,(ROW(J433)+1)/2),INDEX(F:F,ROW(J433)/2)),"")</f>
        <v>-429.9</v>
      </c>
      <c r="K433" s="17">
        <f t="array" ref="K433">IF(ROW(K433)&lt;=COUNTA(E:E)*2,IF(MOD(ROW(K433),2)=1,INDEX(E:E,(ROW(K433)+1)/2),INDEX(G:G,ROW(K433)/2)),"")</f>
        <v>46.62</v>
      </c>
    </row>
    <row r="434" spans="1:11" x14ac:dyDescent="0.25">
      <c r="A434" s="25"/>
      <c r="B434" s="25"/>
      <c r="J434" s="17">
        <f t="array" ref="J434">IF(ROW(J434)&lt;=COUNTA(D:D)*2,IF(MOD(ROW(J434),2)=1,INDEX(D:D,(ROW(J434)+1)/2),INDEX(F:F,ROW(J434)/2)),"")</f>
        <v>-431.9</v>
      </c>
      <c r="K434" s="17">
        <f t="array" ref="K434">IF(ROW(K434)&lt;=COUNTA(E:E)*2,IF(MOD(ROW(K434),2)=1,INDEX(E:E,(ROW(K434)+1)/2),INDEX(G:G,ROW(K434)/2)),"")</f>
        <v>46.62</v>
      </c>
    </row>
    <row r="435" spans="1:11" x14ac:dyDescent="0.25">
      <c r="A435" s="25"/>
      <c r="B435" s="25"/>
      <c r="J435" s="17">
        <f t="array" ref="J435">IF(ROW(J435)&lt;=COUNTA(D:D)*2,IF(MOD(ROW(J435),2)=1,INDEX(D:D,(ROW(J435)+1)/2),INDEX(F:F,ROW(J435)/2)),"")</f>
        <v>-431.9</v>
      </c>
      <c r="K435" s="17">
        <f t="array" ref="K435">IF(ROW(K435)&lt;=COUNTA(E:E)*2,IF(MOD(ROW(K435),2)=1,INDEX(E:E,(ROW(K435)+1)/2),INDEX(G:G,ROW(K435)/2)),"")</f>
        <v>47.6</v>
      </c>
    </row>
    <row r="436" spans="1:11" x14ac:dyDescent="0.25">
      <c r="A436" s="25"/>
      <c r="B436" s="25"/>
      <c r="J436" s="17">
        <f t="array" ref="J436">IF(ROW(J436)&lt;=COUNTA(D:D)*2,IF(MOD(ROW(J436),2)=1,INDEX(D:D,(ROW(J436)+1)/2),INDEX(F:F,ROW(J436)/2)),"")</f>
        <v>-433.9</v>
      </c>
      <c r="K436" s="17">
        <f t="array" ref="K436">IF(ROW(K436)&lt;=COUNTA(E:E)*2,IF(MOD(ROW(K436),2)=1,INDEX(E:E,(ROW(K436)+1)/2),INDEX(G:G,ROW(K436)/2)),"")</f>
        <v>47.6</v>
      </c>
    </row>
    <row r="437" spans="1:11" x14ac:dyDescent="0.25">
      <c r="A437" s="25"/>
      <c r="B437" s="25"/>
      <c r="J437" s="17">
        <f t="array" ref="J437">IF(ROW(J437)&lt;=COUNTA(D:D)*2,IF(MOD(ROW(J437),2)=1,INDEX(D:D,(ROW(J437)+1)/2),INDEX(F:F,ROW(J437)/2)),"")</f>
        <v>-433.9</v>
      </c>
      <c r="K437" s="17">
        <f t="array" ref="K437">IF(ROW(K437)&lt;=COUNTA(E:E)*2,IF(MOD(ROW(K437),2)=1,INDEX(E:E,(ROW(K437)+1)/2),INDEX(G:G,ROW(K437)/2)),"")</f>
        <v>46.64</v>
      </c>
    </row>
    <row r="438" spans="1:11" x14ac:dyDescent="0.25">
      <c r="A438" s="25"/>
      <c r="B438" s="25"/>
      <c r="J438" s="17">
        <f t="array" ref="J438">IF(ROW(J438)&lt;=COUNTA(D:D)*2,IF(MOD(ROW(J438),2)=1,INDEX(D:D,(ROW(J438)+1)/2),INDEX(F:F,ROW(J438)/2)),"")</f>
        <v>-435.9</v>
      </c>
      <c r="K438" s="17">
        <f t="array" ref="K438">IF(ROW(K438)&lt;=COUNTA(E:E)*2,IF(MOD(ROW(K438),2)=1,INDEX(E:E,(ROW(K438)+1)/2),INDEX(G:G,ROW(K438)/2)),"")</f>
        <v>46.64</v>
      </c>
    </row>
    <row r="439" spans="1:11" x14ac:dyDescent="0.25">
      <c r="A439" s="25"/>
      <c r="B439" s="25"/>
      <c r="J439" s="17">
        <f t="array" ref="J439">IF(ROW(J439)&lt;=COUNTA(D:D)*2,IF(MOD(ROW(J439),2)=1,INDEX(D:D,(ROW(J439)+1)/2),INDEX(F:F,ROW(J439)/2)),"")</f>
        <v>-435.9</v>
      </c>
      <c r="K439" s="17">
        <f t="array" ref="K439">IF(ROW(K439)&lt;=COUNTA(E:E)*2,IF(MOD(ROW(K439),2)=1,INDEX(E:E,(ROW(K439)+1)/2),INDEX(G:G,ROW(K439)/2)),"")</f>
        <v>47.82</v>
      </c>
    </row>
    <row r="440" spans="1:11" x14ac:dyDescent="0.25">
      <c r="A440" s="25"/>
      <c r="B440" s="25"/>
      <c r="J440" s="17">
        <f t="array" ref="J440">IF(ROW(J440)&lt;=COUNTA(D:D)*2,IF(MOD(ROW(J440),2)=1,INDEX(D:D,(ROW(J440)+1)/2),INDEX(F:F,ROW(J440)/2)),"")</f>
        <v>-437.9</v>
      </c>
      <c r="K440" s="17">
        <f t="array" ref="K440">IF(ROW(K440)&lt;=COUNTA(E:E)*2,IF(MOD(ROW(K440),2)=1,INDEX(E:E,(ROW(K440)+1)/2),INDEX(G:G,ROW(K440)/2)),"")</f>
        <v>47.82</v>
      </c>
    </row>
    <row r="441" spans="1:11" x14ac:dyDescent="0.25">
      <c r="A441" s="25"/>
      <c r="B441" s="25"/>
      <c r="J441" s="17">
        <f t="array" ref="J441">IF(ROW(J441)&lt;=COUNTA(D:D)*2,IF(MOD(ROW(J441),2)=1,INDEX(D:D,(ROW(J441)+1)/2),INDEX(F:F,ROW(J441)/2)),"")</f>
        <v>-437.9</v>
      </c>
      <c r="K441" s="17">
        <f t="array" ref="K441">IF(ROW(K441)&lt;=COUNTA(E:E)*2,IF(MOD(ROW(K441),2)=1,INDEX(E:E,(ROW(K441)+1)/2),INDEX(G:G,ROW(K441)/2)),"")</f>
        <v>47.14</v>
      </c>
    </row>
    <row r="442" spans="1:11" x14ac:dyDescent="0.25">
      <c r="A442" s="25"/>
      <c r="B442" s="25"/>
      <c r="J442" s="17">
        <f t="array" ref="J442">IF(ROW(J442)&lt;=COUNTA(D:D)*2,IF(MOD(ROW(J442),2)=1,INDEX(D:D,(ROW(J442)+1)/2),INDEX(F:F,ROW(J442)/2)),"")</f>
        <v>-439.9</v>
      </c>
      <c r="K442" s="17">
        <f t="array" ref="K442">IF(ROW(K442)&lt;=COUNTA(E:E)*2,IF(MOD(ROW(K442),2)=1,INDEX(E:E,(ROW(K442)+1)/2),INDEX(G:G,ROW(K442)/2)),"")</f>
        <v>47.14</v>
      </c>
    </row>
    <row r="443" spans="1:11" x14ac:dyDescent="0.25">
      <c r="A443" s="25"/>
      <c r="B443" s="25"/>
      <c r="J443" s="17">
        <f t="array" ref="J443">IF(ROW(J443)&lt;=COUNTA(D:D)*2,IF(MOD(ROW(J443),2)=1,INDEX(D:D,(ROW(J443)+1)/2),INDEX(F:F,ROW(J443)/2)),"")</f>
        <v>-439.9</v>
      </c>
      <c r="K443" s="17">
        <f t="array" ref="K443">IF(ROW(K443)&lt;=COUNTA(E:E)*2,IF(MOD(ROW(K443),2)=1,INDEX(E:E,(ROW(K443)+1)/2),INDEX(G:G,ROW(K443)/2)),"")</f>
        <v>47.64</v>
      </c>
    </row>
    <row r="444" spans="1:11" x14ac:dyDescent="0.25">
      <c r="A444" s="25"/>
      <c r="B444" s="25"/>
      <c r="J444" s="17">
        <f t="array" ref="J444">IF(ROW(J444)&lt;=COUNTA(D:D)*2,IF(MOD(ROW(J444),2)=1,INDEX(D:D,(ROW(J444)+1)/2),INDEX(F:F,ROW(J444)/2)),"")</f>
        <v>-441.9</v>
      </c>
      <c r="K444" s="17">
        <f t="array" ref="K444">IF(ROW(K444)&lt;=COUNTA(E:E)*2,IF(MOD(ROW(K444),2)=1,INDEX(E:E,(ROW(K444)+1)/2),INDEX(G:G,ROW(K444)/2)),"")</f>
        <v>47.64</v>
      </c>
    </row>
    <row r="445" spans="1:11" x14ac:dyDescent="0.25">
      <c r="A445" s="25"/>
      <c r="B445" s="25"/>
      <c r="J445" s="17">
        <f t="array" ref="J445">IF(ROW(J445)&lt;=COUNTA(D:D)*2,IF(MOD(ROW(J445),2)=1,INDEX(D:D,(ROW(J445)+1)/2),INDEX(F:F,ROW(J445)/2)),"")</f>
        <v>-441.9</v>
      </c>
      <c r="K445" s="17">
        <f t="array" ref="K445">IF(ROW(K445)&lt;=COUNTA(E:E)*2,IF(MOD(ROW(K445),2)=1,INDEX(E:E,(ROW(K445)+1)/2),INDEX(G:G,ROW(K445)/2)),"")</f>
        <v>46.1</v>
      </c>
    </row>
    <row r="446" spans="1:11" x14ac:dyDescent="0.25">
      <c r="A446" s="25"/>
      <c r="B446" s="25"/>
      <c r="J446" s="17">
        <f t="array" ref="J446">IF(ROW(J446)&lt;=COUNTA(D:D)*2,IF(MOD(ROW(J446),2)=1,INDEX(D:D,(ROW(J446)+1)/2),INDEX(F:F,ROW(J446)/2)),"")</f>
        <v>-443.9</v>
      </c>
      <c r="K446" s="17">
        <f t="array" ref="K446">IF(ROW(K446)&lt;=COUNTA(E:E)*2,IF(MOD(ROW(K446),2)=1,INDEX(E:E,(ROW(K446)+1)/2),INDEX(G:G,ROW(K446)/2)),"")</f>
        <v>46.1</v>
      </c>
    </row>
    <row r="447" spans="1:11" x14ac:dyDescent="0.25">
      <c r="A447" s="25"/>
      <c r="B447" s="25"/>
      <c r="J447" s="17">
        <f t="array" ref="J447">IF(ROW(J447)&lt;=COUNTA(D:D)*2,IF(MOD(ROW(J447),2)=1,INDEX(D:D,(ROW(J447)+1)/2),INDEX(F:F,ROW(J447)/2)),"")</f>
        <v>-443.9</v>
      </c>
      <c r="K447" s="17">
        <f t="array" ref="K447">IF(ROW(K447)&lt;=COUNTA(E:E)*2,IF(MOD(ROW(K447),2)=1,INDEX(E:E,(ROW(K447)+1)/2),INDEX(G:G,ROW(K447)/2)),"")</f>
        <v>46.02</v>
      </c>
    </row>
    <row r="448" spans="1:11" x14ac:dyDescent="0.25">
      <c r="A448" s="25"/>
      <c r="B448" s="25"/>
      <c r="J448" s="17">
        <f t="array" ref="J448">IF(ROW(J448)&lt;=COUNTA(D:D)*2,IF(MOD(ROW(J448),2)=1,INDEX(D:D,(ROW(J448)+1)/2),INDEX(F:F,ROW(J448)/2)),"")</f>
        <v>-445.9</v>
      </c>
      <c r="K448" s="17">
        <f t="array" ref="K448">IF(ROW(K448)&lt;=COUNTA(E:E)*2,IF(MOD(ROW(K448),2)=1,INDEX(E:E,(ROW(K448)+1)/2),INDEX(G:G,ROW(K448)/2)),"")</f>
        <v>46.02</v>
      </c>
    </row>
    <row r="449" spans="1:11" x14ac:dyDescent="0.25">
      <c r="A449" s="25"/>
      <c r="B449" s="25"/>
      <c r="J449" s="17">
        <f t="array" ref="J449">IF(ROW(J449)&lt;=COUNTA(D:D)*2,IF(MOD(ROW(J449),2)=1,INDEX(D:D,(ROW(J449)+1)/2),INDEX(F:F,ROW(J449)/2)),"")</f>
        <v>-445.9</v>
      </c>
      <c r="K449" s="17">
        <f t="array" ref="K449">IF(ROW(K449)&lt;=COUNTA(E:E)*2,IF(MOD(ROW(K449),2)=1,INDEX(E:E,(ROW(K449)+1)/2),INDEX(G:G,ROW(K449)/2)),"")</f>
        <v>47.16</v>
      </c>
    </row>
    <row r="450" spans="1:11" x14ac:dyDescent="0.25">
      <c r="A450" s="25"/>
      <c r="B450" s="25"/>
      <c r="J450" s="17">
        <f t="array" ref="J450">IF(ROW(J450)&lt;=COUNTA(D:D)*2,IF(MOD(ROW(J450),2)=1,INDEX(D:D,(ROW(J450)+1)/2),INDEX(F:F,ROW(J450)/2)),"")</f>
        <v>-447.9</v>
      </c>
      <c r="K450" s="17">
        <f t="array" ref="K450">IF(ROW(K450)&lt;=COUNTA(E:E)*2,IF(MOD(ROW(K450),2)=1,INDEX(E:E,(ROW(K450)+1)/2),INDEX(G:G,ROW(K450)/2)),"")</f>
        <v>47.16</v>
      </c>
    </row>
    <row r="451" spans="1:11" x14ac:dyDescent="0.25">
      <c r="A451" s="25"/>
      <c r="B451" s="25"/>
      <c r="J451" s="17">
        <f t="array" ref="J451">IF(ROW(J451)&lt;=COUNTA(D:D)*2,IF(MOD(ROW(J451),2)=1,INDEX(D:D,(ROW(J451)+1)/2),INDEX(F:F,ROW(J451)/2)),"")</f>
        <v>-447.9</v>
      </c>
      <c r="K451" s="17">
        <f t="array" ref="K451">IF(ROW(K451)&lt;=COUNTA(E:E)*2,IF(MOD(ROW(K451),2)=1,INDEX(E:E,(ROW(K451)+1)/2),INDEX(G:G,ROW(K451)/2)),"")</f>
        <v>45.74</v>
      </c>
    </row>
    <row r="452" spans="1:11" x14ac:dyDescent="0.25">
      <c r="A452" s="25"/>
      <c r="B452" s="25"/>
      <c r="J452" s="17">
        <f t="array" ref="J452">IF(ROW(J452)&lt;=COUNTA(D:D)*2,IF(MOD(ROW(J452),2)=1,INDEX(D:D,(ROW(J452)+1)/2),INDEX(F:F,ROW(J452)/2)),"")</f>
        <v>-449.9</v>
      </c>
      <c r="K452" s="17">
        <f t="array" ref="K452">IF(ROW(K452)&lt;=COUNTA(E:E)*2,IF(MOD(ROW(K452),2)=1,INDEX(E:E,(ROW(K452)+1)/2),INDEX(G:G,ROW(K452)/2)),"")</f>
        <v>45.74</v>
      </c>
    </row>
    <row r="453" spans="1:11" x14ac:dyDescent="0.25">
      <c r="A453" s="25"/>
      <c r="B453" s="25"/>
      <c r="J453" s="17">
        <f t="array" ref="J453">IF(ROW(J453)&lt;=COUNTA(D:D)*2,IF(MOD(ROW(J453),2)=1,INDEX(D:D,(ROW(J453)+1)/2),INDEX(F:F,ROW(J453)/2)),"")</f>
        <v>-449.9</v>
      </c>
      <c r="K453" s="17">
        <f t="array" ref="K453">IF(ROW(K453)&lt;=COUNTA(E:E)*2,IF(MOD(ROW(K453),2)=1,INDEX(E:E,(ROW(K453)+1)/2),INDEX(G:G,ROW(K453)/2)),"")</f>
        <v>46.42</v>
      </c>
    </row>
    <row r="454" spans="1:11" x14ac:dyDescent="0.25">
      <c r="A454" s="25"/>
      <c r="B454" s="25"/>
      <c r="J454" s="17">
        <f t="array" ref="J454">IF(ROW(J454)&lt;=COUNTA(D:D)*2,IF(MOD(ROW(J454),2)=1,INDEX(D:D,(ROW(J454)+1)/2),INDEX(F:F,ROW(J454)/2)),"")</f>
        <v>-451.9</v>
      </c>
      <c r="K454" s="17">
        <f t="array" ref="K454">IF(ROW(K454)&lt;=COUNTA(E:E)*2,IF(MOD(ROW(K454),2)=1,INDEX(E:E,(ROW(K454)+1)/2),INDEX(G:G,ROW(K454)/2)),"")</f>
        <v>46.42</v>
      </c>
    </row>
    <row r="455" spans="1:11" x14ac:dyDescent="0.25">
      <c r="A455" s="25"/>
      <c r="B455" s="25"/>
      <c r="J455" s="17">
        <f t="array" ref="J455">IF(ROW(J455)&lt;=COUNTA(D:D)*2,IF(MOD(ROW(J455),2)=1,INDEX(D:D,(ROW(J455)+1)/2),INDEX(F:F,ROW(J455)/2)),"")</f>
        <v>-451.9</v>
      </c>
      <c r="K455" s="17">
        <f t="array" ref="K455">IF(ROW(K455)&lt;=COUNTA(E:E)*2,IF(MOD(ROW(K455),2)=1,INDEX(E:E,(ROW(K455)+1)/2),INDEX(G:G,ROW(K455)/2)),"")</f>
        <v>47.12</v>
      </c>
    </row>
    <row r="456" spans="1:11" x14ac:dyDescent="0.25">
      <c r="A456" s="25"/>
      <c r="B456" s="25"/>
      <c r="J456" s="17">
        <f t="array" ref="J456">IF(ROW(J456)&lt;=COUNTA(D:D)*2,IF(MOD(ROW(J456),2)=1,INDEX(D:D,(ROW(J456)+1)/2),INDEX(F:F,ROW(J456)/2)),"")</f>
        <v>-453.9</v>
      </c>
      <c r="K456" s="17">
        <f t="array" ref="K456">IF(ROW(K456)&lt;=COUNTA(E:E)*2,IF(MOD(ROW(K456),2)=1,INDEX(E:E,(ROW(K456)+1)/2),INDEX(G:G,ROW(K456)/2)),"")</f>
        <v>47.12</v>
      </c>
    </row>
    <row r="457" spans="1:11" x14ac:dyDescent="0.25">
      <c r="A457" s="25"/>
      <c r="B457" s="25"/>
      <c r="J457" s="17">
        <f t="array" ref="J457">IF(ROW(J457)&lt;=COUNTA(D:D)*2,IF(MOD(ROW(J457),2)=1,INDEX(D:D,(ROW(J457)+1)/2),INDEX(F:F,ROW(J457)/2)),"")</f>
        <v>-453.9</v>
      </c>
      <c r="K457" s="17">
        <f t="array" ref="K457">IF(ROW(K457)&lt;=COUNTA(E:E)*2,IF(MOD(ROW(K457),2)=1,INDEX(E:E,(ROW(K457)+1)/2),INDEX(G:G,ROW(K457)/2)),"")</f>
        <v>45.86</v>
      </c>
    </row>
    <row r="458" spans="1:11" x14ac:dyDescent="0.25">
      <c r="A458" s="25"/>
      <c r="B458" s="25"/>
      <c r="J458" s="17">
        <f t="array" ref="J458">IF(ROW(J458)&lt;=COUNTA(D:D)*2,IF(MOD(ROW(J458),2)=1,INDEX(D:D,(ROW(J458)+1)/2),INDEX(F:F,ROW(J458)/2)),"")</f>
        <v>-455.9</v>
      </c>
      <c r="K458" s="17">
        <f t="array" ref="K458">IF(ROW(K458)&lt;=COUNTA(E:E)*2,IF(MOD(ROW(K458),2)=1,INDEX(E:E,(ROW(K458)+1)/2),INDEX(G:G,ROW(K458)/2)),"")</f>
        <v>45.86</v>
      </c>
    </row>
    <row r="459" spans="1:11" x14ac:dyDescent="0.25">
      <c r="A459" s="25"/>
      <c r="B459" s="25"/>
      <c r="J459" s="17">
        <f t="array" ref="J459">IF(ROW(J459)&lt;=COUNTA(D:D)*2,IF(MOD(ROW(J459),2)=1,INDEX(D:D,(ROW(J459)+1)/2),INDEX(F:F,ROW(J459)/2)),"")</f>
        <v>-455.9</v>
      </c>
      <c r="K459" s="17">
        <f t="array" ref="K459">IF(ROW(K459)&lt;=COUNTA(E:E)*2,IF(MOD(ROW(K459),2)=1,INDEX(E:E,(ROW(K459)+1)/2),INDEX(G:G,ROW(K459)/2)),"")</f>
        <v>47.56</v>
      </c>
    </row>
    <row r="460" spans="1:11" x14ac:dyDescent="0.25">
      <c r="A460" s="25"/>
      <c r="B460" s="25"/>
      <c r="J460" s="17">
        <f t="array" ref="J460">IF(ROW(J460)&lt;=COUNTA(D:D)*2,IF(MOD(ROW(J460),2)=1,INDEX(D:D,(ROW(J460)+1)/2),INDEX(F:F,ROW(J460)/2)),"")</f>
        <v>-457.9</v>
      </c>
      <c r="K460" s="17">
        <f t="array" ref="K460">IF(ROW(K460)&lt;=COUNTA(E:E)*2,IF(MOD(ROW(K460),2)=1,INDEX(E:E,(ROW(K460)+1)/2),INDEX(G:G,ROW(K460)/2)),"")</f>
        <v>47.56</v>
      </c>
    </row>
    <row r="461" spans="1:11" x14ac:dyDescent="0.25">
      <c r="A461" s="25"/>
      <c r="B461" s="25"/>
      <c r="J461" s="17">
        <f t="array" ref="J461">IF(ROW(J461)&lt;=COUNTA(D:D)*2,IF(MOD(ROW(J461),2)=1,INDEX(D:D,(ROW(J461)+1)/2),INDEX(F:F,ROW(J461)/2)),"")</f>
        <v>-457.9</v>
      </c>
      <c r="K461" s="17">
        <f t="array" ref="K461">IF(ROW(K461)&lt;=COUNTA(E:E)*2,IF(MOD(ROW(K461),2)=1,INDEX(E:E,(ROW(K461)+1)/2),INDEX(G:G,ROW(K461)/2)),"")</f>
        <v>47.12</v>
      </c>
    </row>
    <row r="462" spans="1:11" x14ac:dyDescent="0.25">
      <c r="A462" s="25"/>
      <c r="B462" s="25"/>
      <c r="J462" s="17">
        <f t="array" ref="J462">IF(ROW(J462)&lt;=COUNTA(D:D)*2,IF(MOD(ROW(J462),2)=1,INDEX(D:D,(ROW(J462)+1)/2),INDEX(F:F,ROW(J462)/2)),"")</f>
        <v>-459.9</v>
      </c>
      <c r="K462" s="17">
        <f t="array" ref="K462">IF(ROW(K462)&lt;=COUNTA(E:E)*2,IF(MOD(ROW(K462),2)=1,INDEX(E:E,(ROW(K462)+1)/2),INDEX(G:G,ROW(K462)/2)),"")</f>
        <v>47.12</v>
      </c>
    </row>
    <row r="463" spans="1:11" x14ac:dyDescent="0.25">
      <c r="A463" s="25"/>
      <c r="B463" s="25"/>
      <c r="J463" s="17">
        <f t="array" ref="J463">IF(ROW(J463)&lt;=COUNTA(D:D)*2,IF(MOD(ROW(J463),2)=1,INDEX(D:D,(ROW(J463)+1)/2),INDEX(F:F,ROW(J463)/2)),"")</f>
        <v>-459.9</v>
      </c>
      <c r="K463" s="17">
        <f t="array" ref="K463">IF(ROW(K463)&lt;=COUNTA(E:E)*2,IF(MOD(ROW(K463),2)=1,INDEX(E:E,(ROW(K463)+1)/2),INDEX(G:G,ROW(K463)/2)),"")</f>
        <v>47.8</v>
      </c>
    </row>
    <row r="464" spans="1:11" x14ac:dyDescent="0.25">
      <c r="A464" s="25"/>
      <c r="B464" s="25"/>
      <c r="J464" s="17">
        <f t="array" ref="J464">IF(ROW(J464)&lt;=COUNTA(D:D)*2,IF(MOD(ROW(J464),2)=1,INDEX(D:D,(ROW(J464)+1)/2),INDEX(F:F,ROW(J464)/2)),"")</f>
        <v>-461.9</v>
      </c>
      <c r="K464" s="17">
        <f t="array" ref="K464">IF(ROW(K464)&lt;=COUNTA(E:E)*2,IF(MOD(ROW(K464),2)=1,INDEX(E:E,(ROW(K464)+1)/2),INDEX(G:G,ROW(K464)/2)),"")</f>
        <v>47.8</v>
      </c>
    </row>
    <row r="465" spans="1:11" x14ac:dyDescent="0.25">
      <c r="A465" s="25"/>
      <c r="B465" s="25"/>
      <c r="J465" s="17">
        <f t="array" ref="J465">IF(ROW(J465)&lt;=COUNTA(D:D)*2,IF(MOD(ROW(J465),2)=1,INDEX(D:D,(ROW(J465)+1)/2),INDEX(F:F,ROW(J465)/2)),"")</f>
        <v>-461.9</v>
      </c>
      <c r="K465" s="17">
        <f t="array" ref="K465">IF(ROW(K465)&lt;=COUNTA(E:E)*2,IF(MOD(ROW(K465),2)=1,INDEX(E:E,(ROW(K465)+1)/2),INDEX(G:G,ROW(K465)/2)),"")</f>
        <v>47.7</v>
      </c>
    </row>
    <row r="466" spans="1:11" x14ac:dyDescent="0.25">
      <c r="A466" s="25"/>
      <c r="B466" s="25"/>
      <c r="J466" s="17">
        <f t="array" ref="J466">IF(ROW(J466)&lt;=COUNTA(D:D)*2,IF(MOD(ROW(J466),2)=1,INDEX(D:D,(ROW(J466)+1)/2),INDEX(F:F,ROW(J466)/2)),"")</f>
        <v>-463.9</v>
      </c>
      <c r="K466" s="17">
        <f t="array" ref="K466">IF(ROW(K466)&lt;=COUNTA(E:E)*2,IF(MOD(ROW(K466),2)=1,INDEX(E:E,(ROW(K466)+1)/2),INDEX(G:G,ROW(K466)/2)),"")</f>
        <v>47.7</v>
      </c>
    </row>
    <row r="467" spans="1:11" x14ac:dyDescent="0.25">
      <c r="A467" s="25"/>
      <c r="B467" s="25"/>
      <c r="J467" s="17">
        <f t="array" ref="J467">IF(ROW(J467)&lt;=COUNTA(D:D)*2,IF(MOD(ROW(J467),2)=1,INDEX(D:D,(ROW(J467)+1)/2),INDEX(F:F,ROW(J467)/2)),"")</f>
        <v>-463.9</v>
      </c>
      <c r="K467" s="17">
        <f t="array" ref="K467">IF(ROW(K467)&lt;=COUNTA(E:E)*2,IF(MOD(ROW(K467),2)=1,INDEX(E:E,(ROW(K467)+1)/2),INDEX(G:G,ROW(K467)/2)),"")</f>
        <v>47.72</v>
      </c>
    </row>
    <row r="468" spans="1:11" x14ac:dyDescent="0.25">
      <c r="A468" s="25"/>
      <c r="B468" s="25"/>
      <c r="J468" s="17">
        <f t="array" ref="J468">IF(ROW(J468)&lt;=COUNTA(D:D)*2,IF(MOD(ROW(J468),2)=1,INDEX(D:D,(ROW(J468)+1)/2),INDEX(F:F,ROW(J468)/2)),"")</f>
        <v>-465.9</v>
      </c>
      <c r="K468" s="17">
        <f t="array" ref="K468">IF(ROW(K468)&lt;=COUNTA(E:E)*2,IF(MOD(ROW(K468),2)=1,INDEX(E:E,(ROW(K468)+1)/2),INDEX(G:G,ROW(K468)/2)),"")</f>
        <v>47.72</v>
      </c>
    </row>
    <row r="469" spans="1:11" x14ac:dyDescent="0.25">
      <c r="A469" s="25"/>
      <c r="B469" s="25"/>
      <c r="J469" s="17">
        <f t="array" ref="J469">IF(ROW(J469)&lt;=COUNTA(D:D)*2,IF(MOD(ROW(J469),2)=1,INDEX(D:D,(ROW(J469)+1)/2),INDEX(F:F,ROW(J469)/2)),"")</f>
        <v>-465.9</v>
      </c>
      <c r="K469" s="17">
        <f t="array" ref="K469">IF(ROW(K469)&lt;=COUNTA(E:E)*2,IF(MOD(ROW(K469),2)=1,INDEX(E:E,(ROW(K469)+1)/2),INDEX(G:G,ROW(K469)/2)),"")</f>
        <v>47.26</v>
      </c>
    </row>
    <row r="470" spans="1:11" x14ac:dyDescent="0.25">
      <c r="A470" s="25"/>
      <c r="B470" s="25"/>
      <c r="J470" s="17">
        <f t="array" ref="J470">IF(ROW(J470)&lt;=COUNTA(D:D)*2,IF(MOD(ROW(J470),2)=1,INDEX(D:D,(ROW(J470)+1)/2),INDEX(F:F,ROW(J470)/2)),"")</f>
        <v>-467.9</v>
      </c>
      <c r="K470" s="17">
        <f t="array" ref="K470">IF(ROW(K470)&lt;=COUNTA(E:E)*2,IF(MOD(ROW(K470),2)=1,INDEX(E:E,(ROW(K470)+1)/2),INDEX(G:G,ROW(K470)/2)),"")</f>
        <v>47.26</v>
      </c>
    </row>
    <row r="471" spans="1:11" x14ac:dyDescent="0.25">
      <c r="A471" s="25"/>
      <c r="B471" s="25"/>
      <c r="J471" s="17">
        <f t="array" ref="J471">IF(ROW(J471)&lt;=COUNTA(D:D)*2,IF(MOD(ROW(J471),2)=1,INDEX(D:D,(ROW(J471)+1)/2),INDEX(F:F,ROW(J471)/2)),"")</f>
        <v>-467.9</v>
      </c>
      <c r="K471" s="17">
        <f t="array" ref="K471">IF(ROW(K471)&lt;=COUNTA(E:E)*2,IF(MOD(ROW(K471),2)=1,INDEX(E:E,(ROW(K471)+1)/2),INDEX(G:G,ROW(K471)/2)),"")</f>
        <v>46.68</v>
      </c>
    </row>
    <row r="472" spans="1:11" x14ac:dyDescent="0.25">
      <c r="A472" s="25"/>
      <c r="B472" s="25"/>
      <c r="J472" s="17">
        <f t="array" ref="J472">IF(ROW(J472)&lt;=COUNTA(D:D)*2,IF(MOD(ROW(J472),2)=1,INDEX(D:D,(ROW(J472)+1)/2),INDEX(F:F,ROW(J472)/2)),"")</f>
        <v>-469.9</v>
      </c>
      <c r="K472" s="17">
        <f t="array" ref="K472">IF(ROW(K472)&lt;=COUNTA(E:E)*2,IF(MOD(ROW(K472),2)=1,INDEX(E:E,(ROW(K472)+1)/2),INDEX(G:G,ROW(K472)/2)),"")</f>
        <v>46.68</v>
      </c>
    </row>
    <row r="473" spans="1:11" x14ac:dyDescent="0.25">
      <c r="A473" s="25"/>
      <c r="B473" s="25"/>
      <c r="J473" s="17">
        <f t="array" ref="J473">IF(ROW(J473)&lt;=COUNTA(D:D)*2,IF(MOD(ROW(J473),2)=1,INDEX(D:D,(ROW(J473)+1)/2),INDEX(F:F,ROW(J473)/2)),"")</f>
        <v>-469.9</v>
      </c>
      <c r="K473" s="17">
        <f t="array" ref="K473">IF(ROW(K473)&lt;=COUNTA(E:E)*2,IF(MOD(ROW(K473),2)=1,INDEX(E:E,(ROW(K473)+1)/2),INDEX(G:G,ROW(K473)/2)),"")</f>
        <v>47.56</v>
      </c>
    </row>
    <row r="474" spans="1:11" x14ac:dyDescent="0.25">
      <c r="A474" s="25"/>
      <c r="B474" s="25"/>
      <c r="J474" s="17">
        <f t="array" ref="J474">IF(ROW(J474)&lt;=COUNTA(D:D)*2,IF(MOD(ROW(J474),2)=1,INDEX(D:D,(ROW(J474)+1)/2),INDEX(F:F,ROW(J474)/2)),"")</f>
        <v>-471.9</v>
      </c>
      <c r="K474" s="17">
        <f t="array" ref="K474">IF(ROW(K474)&lt;=COUNTA(E:E)*2,IF(MOD(ROW(K474),2)=1,INDEX(E:E,(ROW(K474)+1)/2),INDEX(G:G,ROW(K474)/2)),"")</f>
        <v>47.56</v>
      </c>
    </row>
    <row r="475" spans="1:11" x14ac:dyDescent="0.25">
      <c r="A475" s="25"/>
      <c r="B475" s="25"/>
      <c r="J475" s="17">
        <f t="array" ref="J475">IF(ROW(J475)&lt;=COUNTA(D:D)*2,IF(MOD(ROW(J475),2)=1,INDEX(D:D,(ROW(J475)+1)/2),INDEX(F:F,ROW(J475)/2)),"")</f>
        <v>-471.9</v>
      </c>
      <c r="K475" s="17">
        <f t="array" ref="K475">IF(ROW(K475)&lt;=COUNTA(E:E)*2,IF(MOD(ROW(K475),2)=1,INDEX(E:E,(ROW(K475)+1)/2),INDEX(G:G,ROW(K475)/2)),"")</f>
        <v>47.32</v>
      </c>
    </row>
    <row r="476" spans="1:11" x14ac:dyDescent="0.25">
      <c r="A476" s="25"/>
      <c r="B476" s="25"/>
      <c r="J476" s="17">
        <f t="array" ref="J476">IF(ROW(J476)&lt;=COUNTA(D:D)*2,IF(MOD(ROW(J476),2)=1,INDEX(D:D,(ROW(J476)+1)/2),INDEX(F:F,ROW(J476)/2)),"")</f>
        <v>-473.9</v>
      </c>
      <c r="K476" s="17">
        <f t="array" ref="K476">IF(ROW(K476)&lt;=COUNTA(E:E)*2,IF(MOD(ROW(K476),2)=1,INDEX(E:E,(ROW(K476)+1)/2),INDEX(G:G,ROW(K476)/2)),"")</f>
        <v>47.32</v>
      </c>
    </row>
    <row r="477" spans="1:11" x14ac:dyDescent="0.25">
      <c r="A477" s="25"/>
      <c r="B477" s="25"/>
      <c r="J477" s="17">
        <f t="array" ref="J477">IF(ROW(J477)&lt;=COUNTA(D:D)*2,IF(MOD(ROW(J477),2)=1,INDEX(D:D,(ROW(J477)+1)/2),INDEX(F:F,ROW(J477)/2)),"")</f>
        <v>-473.9</v>
      </c>
      <c r="K477" s="17">
        <f t="array" ref="K477">IF(ROW(K477)&lt;=COUNTA(E:E)*2,IF(MOD(ROW(K477),2)=1,INDEX(E:E,(ROW(K477)+1)/2),INDEX(G:G,ROW(K477)/2)),"")</f>
        <v>45.72</v>
      </c>
    </row>
    <row r="478" spans="1:11" x14ac:dyDescent="0.25">
      <c r="A478" s="25"/>
      <c r="B478" s="25"/>
      <c r="J478" s="17">
        <f t="array" ref="J478">IF(ROW(J478)&lt;=COUNTA(D:D)*2,IF(MOD(ROW(J478),2)=1,INDEX(D:D,(ROW(J478)+1)/2),INDEX(F:F,ROW(J478)/2)),"")</f>
        <v>-475.9</v>
      </c>
      <c r="K478" s="17">
        <f t="array" ref="K478">IF(ROW(K478)&lt;=COUNTA(E:E)*2,IF(MOD(ROW(K478),2)=1,INDEX(E:E,(ROW(K478)+1)/2),INDEX(G:G,ROW(K478)/2)),"")</f>
        <v>45.72</v>
      </c>
    </row>
    <row r="479" spans="1:11" x14ac:dyDescent="0.25">
      <c r="A479" s="25"/>
      <c r="B479" s="25"/>
      <c r="J479" s="17">
        <f t="array" ref="J479">IF(ROW(J479)&lt;=COUNTA(D:D)*2,IF(MOD(ROW(J479),2)=1,INDEX(D:D,(ROW(J479)+1)/2),INDEX(F:F,ROW(J479)/2)),"")</f>
        <v>-475.9</v>
      </c>
      <c r="K479" s="17">
        <f t="array" ref="K479">IF(ROW(K479)&lt;=COUNTA(E:E)*2,IF(MOD(ROW(K479),2)=1,INDEX(E:E,(ROW(K479)+1)/2),INDEX(G:G,ROW(K479)/2)),"")</f>
        <v>45.92</v>
      </c>
    </row>
    <row r="480" spans="1:11" x14ac:dyDescent="0.25">
      <c r="A480" s="25"/>
      <c r="B480" s="25"/>
      <c r="J480" s="17">
        <f t="array" ref="J480">IF(ROW(J480)&lt;=COUNTA(D:D)*2,IF(MOD(ROW(J480),2)=1,INDEX(D:D,(ROW(J480)+1)/2),INDEX(F:F,ROW(J480)/2)),"")</f>
        <v>-477.9</v>
      </c>
      <c r="K480" s="17">
        <f t="array" ref="K480">IF(ROW(K480)&lt;=COUNTA(E:E)*2,IF(MOD(ROW(K480),2)=1,INDEX(E:E,(ROW(K480)+1)/2),INDEX(G:G,ROW(K480)/2)),"")</f>
        <v>45.92</v>
      </c>
    </row>
    <row r="481" spans="1:11" x14ac:dyDescent="0.25">
      <c r="A481" s="25"/>
      <c r="B481" s="25"/>
      <c r="J481" s="17">
        <f t="array" ref="J481">IF(ROW(J481)&lt;=COUNTA(D:D)*2,IF(MOD(ROW(J481),2)=1,INDEX(D:D,(ROW(J481)+1)/2),INDEX(F:F,ROW(J481)/2)),"")</f>
        <v>-477.9</v>
      </c>
      <c r="K481" s="17">
        <f t="array" ref="K481">IF(ROW(K481)&lt;=COUNTA(E:E)*2,IF(MOD(ROW(K481),2)=1,INDEX(E:E,(ROW(K481)+1)/2),INDEX(G:G,ROW(K481)/2)),"")</f>
        <v>46.74</v>
      </c>
    </row>
    <row r="482" spans="1:11" x14ac:dyDescent="0.25">
      <c r="A482" s="25"/>
      <c r="B482" s="25"/>
      <c r="J482" s="17">
        <f t="array" ref="J482">IF(ROW(J482)&lt;=COUNTA(D:D)*2,IF(MOD(ROW(J482),2)=1,INDEX(D:D,(ROW(J482)+1)/2),INDEX(F:F,ROW(J482)/2)),"")</f>
        <v>-479.9</v>
      </c>
      <c r="K482" s="17">
        <f t="array" ref="K482">IF(ROW(K482)&lt;=COUNTA(E:E)*2,IF(MOD(ROW(K482),2)=1,INDEX(E:E,(ROW(K482)+1)/2),INDEX(G:G,ROW(K482)/2)),"")</f>
        <v>46.74</v>
      </c>
    </row>
    <row r="483" spans="1:11" x14ac:dyDescent="0.25">
      <c r="A483" s="25"/>
      <c r="B483" s="25"/>
      <c r="J483" s="17">
        <f t="array" ref="J483">IF(ROW(J483)&lt;=COUNTA(D:D)*2,IF(MOD(ROW(J483),2)=1,INDEX(D:D,(ROW(J483)+1)/2),INDEX(F:F,ROW(J483)/2)),"")</f>
        <v>-479.9</v>
      </c>
      <c r="K483" s="17">
        <f t="array" ref="K483">IF(ROW(K483)&lt;=COUNTA(E:E)*2,IF(MOD(ROW(K483),2)=1,INDEX(E:E,(ROW(K483)+1)/2),INDEX(G:G,ROW(K483)/2)),"")</f>
        <v>47.62</v>
      </c>
    </row>
    <row r="484" spans="1:11" x14ac:dyDescent="0.25">
      <c r="A484" s="25"/>
      <c r="B484" s="25"/>
      <c r="J484" s="17">
        <f t="array" ref="J484">IF(ROW(J484)&lt;=COUNTA(D:D)*2,IF(MOD(ROW(J484),2)=1,INDEX(D:D,(ROW(J484)+1)/2),INDEX(F:F,ROW(J484)/2)),"")</f>
        <v>-481.9</v>
      </c>
      <c r="K484" s="17">
        <f t="array" ref="K484">IF(ROW(K484)&lt;=COUNTA(E:E)*2,IF(MOD(ROW(K484),2)=1,INDEX(E:E,(ROW(K484)+1)/2),INDEX(G:G,ROW(K484)/2)),"")</f>
        <v>47.62</v>
      </c>
    </row>
    <row r="485" spans="1:11" x14ac:dyDescent="0.25">
      <c r="A485" s="25"/>
      <c r="B485" s="25"/>
      <c r="J485" s="17">
        <f t="array" ref="J485">IF(ROW(J485)&lt;=COUNTA(D:D)*2,IF(MOD(ROW(J485),2)=1,INDEX(D:D,(ROW(J485)+1)/2),INDEX(F:F,ROW(J485)/2)),"")</f>
        <v>-481.9</v>
      </c>
      <c r="K485" s="17">
        <f t="array" ref="K485">IF(ROW(K485)&lt;=COUNTA(E:E)*2,IF(MOD(ROW(K485),2)=1,INDEX(E:E,(ROW(K485)+1)/2),INDEX(G:G,ROW(K485)/2)),"")</f>
        <v>47.62</v>
      </c>
    </row>
    <row r="486" spans="1:11" x14ac:dyDescent="0.25">
      <c r="A486" s="25"/>
      <c r="B486" s="25"/>
      <c r="J486" s="17">
        <f t="array" ref="J486">IF(ROW(J486)&lt;=COUNTA(D:D)*2,IF(MOD(ROW(J486),2)=1,INDEX(D:D,(ROW(J486)+1)/2),INDEX(F:F,ROW(J486)/2)),"")</f>
        <v>-483.9</v>
      </c>
      <c r="K486" s="17">
        <f t="array" ref="K486">IF(ROW(K486)&lt;=COUNTA(E:E)*2,IF(MOD(ROW(K486),2)=1,INDEX(E:E,(ROW(K486)+1)/2),INDEX(G:G,ROW(K486)/2)),"")</f>
        <v>47.62</v>
      </c>
    </row>
    <row r="487" spans="1:11" x14ac:dyDescent="0.25">
      <c r="A487" s="25"/>
      <c r="B487" s="25"/>
      <c r="J487" s="17">
        <f t="array" ref="J487">IF(ROW(J487)&lt;=COUNTA(D:D)*2,IF(MOD(ROW(J487),2)=1,INDEX(D:D,(ROW(J487)+1)/2),INDEX(F:F,ROW(J487)/2)),"")</f>
        <v>-483.9</v>
      </c>
      <c r="K487" s="17">
        <f t="array" ref="K487">IF(ROW(K487)&lt;=COUNTA(E:E)*2,IF(MOD(ROW(K487),2)=1,INDEX(E:E,(ROW(K487)+1)/2),INDEX(G:G,ROW(K487)/2)),"")</f>
        <v>47.36</v>
      </c>
    </row>
    <row r="488" spans="1:11" x14ac:dyDescent="0.25">
      <c r="A488" s="25"/>
      <c r="B488" s="25"/>
      <c r="J488" s="17">
        <f t="array" ref="J488">IF(ROW(J488)&lt;=COUNTA(D:D)*2,IF(MOD(ROW(J488),2)=1,INDEX(D:D,(ROW(J488)+1)/2),INDEX(F:F,ROW(J488)/2)),"")</f>
        <v>-485.9</v>
      </c>
      <c r="K488" s="17">
        <f t="array" ref="K488">IF(ROW(K488)&lt;=COUNTA(E:E)*2,IF(MOD(ROW(K488),2)=1,INDEX(E:E,(ROW(K488)+1)/2),INDEX(G:G,ROW(K488)/2)),"")</f>
        <v>47.36</v>
      </c>
    </row>
    <row r="489" spans="1:11" x14ac:dyDescent="0.25">
      <c r="A489" s="25"/>
      <c r="B489" s="25"/>
      <c r="J489" s="17">
        <f t="array" ref="J489">IF(ROW(J489)&lt;=COUNTA(D:D)*2,IF(MOD(ROW(J489),2)=1,INDEX(D:D,(ROW(J489)+1)/2),INDEX(F:F,ROW(J489)/2)),"")</f>
        <v>-485.9</v>
      </c>
      <c r="K489" s="17">
        <f t="array" ref="K489">IF(ROW(K489)&lt;=COUNTA(E:E)*2,IF(MOD(ROW(K489),2)=1,INDEX(E:E,(ROW(K489)+1)/2),INDEX(G:G,ROW(K489)/2)),"")</f>
        <v>47.24</v>
      </c>
    </row>
    <row r="490" spans="1:11" x14ac:dyDescent="0.25">
      <c r="A490" s="25"/>
      <c r="B490" s="25"/>
      <c r="J490" s="17">
        <f t="array" ref="J490">IF(ROW(J490)&lt;=COUNTA(D:D)*2,IF(MOD(ROW(J490),2)=1,INDEX(D:D,(ROW(J490)+1)/2),INDEX(F:F,ROW(J490)/2)),"")</f>
        <v>-487.9</v>
      </c>
      <c r="K490" s="17">
        <f t="array" ref="K490">IF(ROW(K490)&lt;=COUNTA(E:E)*2,IF(MOD(ROW(K490),2)=1,INDEX(E:E,(ROW(K490)+1)/2),INDEX(G:G,ROW(K490)/2)),"")</f>
        <v>47.24</v>
      </c>
    </row>
    <row r="491" spans="1:11" x14ac:dyDescent="0.25">
      <c r="A491" s="25"/>
      <c r="B491" s="25"/>
      <c r="J491" s="17">
        <f t="array" ref="J491">IF(ROW(J491)&lt;=COUNTA(D:D)*2,IF(MOD(ROW(J491),2)=1,INDEX(D:D,(ROW(J491)+1)/2),INDEX(F:F,ROW(J491)/2)),"")</f>
        <v>-487.9</v>
      </c>
      <c r="K491" s="17">
        <f t="array" ref="K491">IF(ROW(K491)&lt;=COUNTA(E:E)*2,IF(MOD(ROW(K491),2)=1,INDEX(E:E,(ROW(K491)+1)/2),INDEX(G:G,ROW(K491)/2)),"")</f>
        <v>47.6</v>
      </c>
    </row>
    <row r="492" spans="1:11" x14ac:dyDescent="0.25">
      <c r="A492" s="25"/>
      <c r="B492" s="25"/>
      <c r="J492" s="17">
        <f t="array" ref="J492">IF(ROW(J492)&lt;=COUNTA(D:D)*2,IF(MOD(ROW(J492),2)=1,INDEX(D:D,(ROW(J492)+1)/2),INDEX(F:F,ROW(J492)/2)),"")</f>
        <v>-489.9</v>
      </c>
      <c r="K492" s="17">
        <f t="array" ref="K492">IF(ROW(K492)&lt;=COUNTA(E:E)*2,IF(MOD(ROW(K492),2)=1,INDEX(E:E,(ROW(K492)+1)/2),INDEX(G:G,ROW(K492)/2)),"")</f>
        <v>47.6</v>
      </c>
    </row>
    <row r="493" spans="1:11" x14ac:dyDescent="0.25">
      <c r="A493" s="25"/>
      <c r="B493" s="25"/>
      <c r="J493" s="17">
        <f t="array" ref="J493">IF(ROW(J493)&lt;=COUNTA(D:D)*2,IF(MOD(ROW(J493),2)=1,INDEX(D:D,(ROW(J493)+1)/2),INDEX(F:F,ROW(J493)/2)),"")</f>
        <v>-489.9</v>
      </c>
      <c r="K493" s="17">
        <f t="array" ref="K493">IF(ROW(K493)&lt;=COUNTA(E:E)*2,IF(MOD(ROW(K493),2)=1,INDEX(E:E,(ROW(K493)+1)/2),INDEX(G:G,ROW(K493)/2)),"")</f>
        <v>47.22</v>
      </c>
    </row>
    <row r="494" spans="1:11" x14ac:dyDescent="0.25">
      <c r="A494" s="25"/>
      <c r="B494" s="25"/>
      <c r="J494" s="17">
        <f t="array" ref="J494">IF(ROW(J494)&lt;=COUNTA(D:D)*2,IF(MOD(ROW(J494),2)=1,INDEX(D:D,(ROW(J494)+1)/2),INDEX(F:F,ROW(J494)/2)),"")</f>
        <v>-491.9</v>
      </c>
      <c r="K494" s="17">
        <f t="array" ref="K494">IF(ROW(K494)&lt;=COUNTA(E:E)*2,IF(MOD(ROW(K494),2)=1,INDEX(E:E,(ROW(K494)+1)/2),INDEX(G:G,ROW(K494)/2)),"")</f>
        <v>47.22</v>
      </c>
    </row>
    <row r="495" spans="1:11" x14ac:dyDescent="0.25">
      <c r="A495" s="25"/>
      <c r="B495" s="25"/>
      <c r="J495" s="17">
        <f t="array" ref="J495">IF(ROW(J495)&lt;=COUNTA(D:D)*2,IF(MOD(ROW(J495),2)=1,INDEX(D:D,(ROW(J495)+1)/2),INDEX(F:F,ROW(J495)/2)),"")</f>
        <v>-491.9</v>
      </c>
      <c r="K495" s="17">
        <f t="array" ref="K495">IF(ROW(K495)&lt;=COUNTA(E:E)*2,IF(MOD(ROW(K495),2)=1,INDEX(E:E,(ROW(K495)+1)/2),INDEX(G:G,ROW(K495)/2)),"")</f>
        <v>47.2</v>
      </c>
    </row>
    <row r="496" spans="1:11" x14ac:dyDescent="0.25">
      <c r="A496" s="25"/>
      <c r="B496" s="25"/>
      <c r="J496" s="17">
        <f t="array" ref="J496">IF(ROW(J496)&lt;=COUNTA(D:D)*2,IF(MOD(ROW(J496),2)=1,INDEX(D:D,(ROW(J496)+1)/2),INDEX(F:F,ROW(J496)/2)),"")</f>
        <v>-493.9</v>
      </c>
      <c r="K496" s="17">
        <f t="array" ref="K496">IF(ROW(K496)&lt;=COUNTA(E:E)*2,IF(MOD(ROW(K496),2)=1,INDEX(E:E,(ROW(K496)+1)/2),INDEX(G:G,ROW(K496)/2)),"")</f>
        <v>47.2</v>
      </c>
    </row>
    <row r="497" spans="1:11" x14ac:dyDescent="0.25">
      <c r="A497" s="25"/>
      <c r="B497" s="25"/>
      <c r="J497" s="17">
        <f t="array" ref="J497">IF(ROW(J497)&lt;=COUNTA(D:D)*2,IF(MOD(ROW(J497),2)=1,INDEX(D:D,(ROW(J497)+1)/2),INDEX(F:F,ROW(J497)/2)),"")</f>
        <v>-493.9</v>
      </c>
      <c r="K497" s="17">
        <f t="array" ref="K497">IF(ROW(K497)&lt;=COUNTA(E:E)*2,IF(MOD(ROW(K497),2)=1,INDEX(E:E,(ROW(K497)+1)/2),INDEX(G:G,ROW(K497)/2)),"")</f>
        <v>47.5</v>
      </c>
    </row>
    <row r="498" spans="1:11" x14ac:dyDescent="0.25">
      <c r="A498" s="25"/>
      <c r="B498" s="25"/>
      <c r="J498" s="17">
        <f t="array" ref="J498">IF(ROW(J498)&lt;=COUNTA(D:D)*2,IF(MOD(ROW(J498),2)=1,INDEX(D:D,(ROW(J498)+1)/2),INDEX(F:F,ROW(J498)/2)),"")</f>
        <v>-495.9</v>
      </c>
      <c r="K498" s="17">
        <f t="array" ref="K498">IF(ROW(K498)&lt;=COUNTA(E:E)*2,IF(MOD(ROW(K498),2)=1,INDEX(E:E,(ROW(K498)+1)/2),INDEX(G:G,ROW(K498)/2)),"")</f>
        <v>47.5</v>
      </c>
    </row>
    <row r="499" spans="1:11" x14ac:dyDescent="0.25">
      <c r="A499" s="25"/>
      <c r="B499" s="25"/>
      <c r="J499" s="17">
        <f t="array" ref="J499">IF(ROW(J499)&lt;=COUNTA(D:D)*2,IF(MOD(ROW(J499),2)=1,INDEX(D:D,(ROW(J499)+1)/2),INDEX(F:F,ROW(J499)/2)),"")</f>
        <v>-495.9</v>
      </c>
      <c r="K499" s="17">
        <f t="array" ref="K499">IF(ROW(K499)&lt;=COUNTA(E:E)*2,IF(MOD(ROW(K499),2)=1,INDEX(E:E,(ROW(K499)+1)/2),INDEX(G:G,ROW(K499)/2)),"")</f>
        <v>47.64</v>
      </c>
    </row>
    <row r="500" spans="1:11" x14ac:dyDescent="0.25">
      <c r="A500" s="25"/>
      <c r="B500" s="25"/>
      <c r="J500" s="17">
        <f t="array" ref="J500">IF(ROW(J500)&lt;=COUNTA(D:D)*2,IF(MOD(ROW(J500),2)=1,INDEX(D:D,(ROW(J500)+1)/2),INDEX(F:F,ROW(J500)/2)),"")</f>
        <v>-497.9</v>
      </c>
      <c r="K500" s="17">
        <f t="array" ref="K500">IF(ROW(K500)&lt;=COUNTA(E:E)*2,IF(MOD(ROW(K500),2)=1,INDEX(E:E,(ROW(K500)+1)/2),INDEX(G:G,ROW(K500)/2)),"")</f>
        <v>47.64</v>
      </c>
    </row>
    <row r="501" spans="1:11" x14ac:dyDescent="0.25">
      <c r="A501" s="25"/>
      <c r="B501" s="25"/>
      <c r="J501" s="17">
        <f t="array" ref="J501">IF(ROW(J501)&lt;=COUNTA(D:D)*2,IF(MOD(ROW(J501),2)=1,INDEX(D:D,(ROW(J501)+1)/2),INDEX(F:F,ROW(J501)/2)),"")</f>
        <v>-497.9</v>
      </c>
      <c r="K501" s="17">
        <f t="array" ref="K501">IF(ROW(K501)&lt;=COUNTA(E:E)*2,IF(MOD(ROW(K501),2)=1,INDEX(E:E,(ROW(K501)+1)/2),INDEX(G:G,ROW(K501)/2)),"")</f>
        <v>47.14</v>
      </c>
    </row>
    <row r="502" spans="1:11" x14ac:dyDescent="0.25">
      <c r="A502" s="25"/>
      <c r="B502" s="25"/>
      <c r="J502" s="17">
        <f t="array" ref="J502">IF(ROW(J502)&lt;=COUNTA(D:D)*2,IF(MOD(ROW(J502),2)=1,INDEX(D:D,(ROW(J502)+1)/2),INDEX(F:F,ROW(J502)/2)),"")</f>
        <v>-499.9</v>
      </c>
      <c r="K502" s="17">
        <f t="array" ref="K502">IF(ROW(K502)&lt;=COUNTA(E:E)*2,IF(MOD(ROW(K502),2)=1,INDEX(E:E,(ROW(K502)+1)/2),INDEX(G:G,ROW(K502)/2)),"")</f>
        <v>47.14</v>
      </c>
    </row>
    <row r="503" spans="1:11" x14ac:dyDescent="0.25">
      <c r="A503" s="25"/>
      <c r="B503" s="25"/>
      <c r="J503" s="17">
        <f t="array" ref="J503">IF(ROW(J503)&lt;=COUNTA(D:D)*2,IF(MOD(ROW(J503),2)=1,INDEX(D:D,(ROW(J503)+1)/2),INDEX(F:F,ROW(J503)/2)),"")</f>
        <v>-499.9</v>
      </c>
      <c r="K503" s="17">
        <f t="array" ref="K503">IF(ROW(K503)&lt;=COUNTA(E:E)*2,IF(MOD(ROW(K503),2)=1,INDEX(E:E,(ROW(K503)+1)/2),INDEX(G:G,ROW(K503)/2)),"")</f>
        <v>46.8</v>
      </c>
    </row>
    <row r="504" spans="1:11" x14ac:dyDescent="0.25">
      <c r="A504" s="25"/>
      <c r="B504" s="25"/>
      <c r="J504" s="17">
        <f t="array" ref="J504">IF(ROW(J504)&lt;=COUNTA(D:D)*2,IF(MOD(ROW(J504),2)=1,INDEX(D:D,(ROW(J504)+1)/2),INDEX(F:F,ROW(J504)/2)),"")</f>
        <v>-501.9</v>
      </c>
      <c r="K504" s="17">
        <f t="array" ref="K504">IF(ROW(K504)&lt;=COUNTA(E:E)*2,IF(MOD(ROW(K504),2)=1,INDEX(E:E,(ROW(K504)+1)/2),INDEX(G:G,ROW(K504)/2)),"")</f>
        <v>46.8</v>
      </c>
    </row>
    <row r="505" spans="1:11" x14ac:dyDescent="0.25">
      <c r="A505" s="25"/>
      <c r="B505" s="25"/>
      <c r="J505" s="17">
        <f t="array" ref="J505">IF(ROW(J505)&lt;=COUNTA(D:D)*2,IF(MOD(ROW(J505),2)=1,INDEX(D:D,(ROW(J505)+1)/2),INDEX(F:F,ROW(J505)/2)),"")</f>
        <v>-501.9</v>
      </c>
      <c r="K505" s="17">
        <f t="array" ref="K505">IF(ROW(K505)&lt;=COUNTA(E:E)*2,IF(MOD(ROW(K505),2)=1,INDEX(E:E,(ROW(K505)+1)/2),INDEX(G:G,ROW(K505)/2)),"")</f>
        <v>45.9</v>
      </c>
    </row>
    <row r="506" spans="1:11" x14ac:dyDescent="0.25">
      <c r="A506" s="25"/>
      <c r="B506" s="25"/>
      <c r="J506" s="17">
        <f t="array" ref="J506">IF(ROW(J506)&lt;=COUNTA(D:D)*2,IF(MOD(ROW(J506),2)=1,INDEX(D:D,(ROW(J506)+1)/2),INDEX(F:F,ROW(J506)/2)),"")</f>
        <v>-503.9</v>
      </c>
      <c r="K506" s="17">
        <f t="array" ref="K506">IF(ROW(K506)&lt;=COUNTA(E:E)*2,IF(MOD(ROW(K506),2)=1,INDEX(E:E,(ROW(K506)+1)/2),INDEX(G:G,ROW(K506)/2)),"")</f>
        <v>45.9</v>
      </c>
    </row>
    <row r="507" spans="1:11" x14ac:dyDescent="0.25">
      <c r="A507" s="25"/>
      <c r="B507" s="25"/>
      <c r="J507" s="17">
        <f t="array" ref="J507">IF(ROW(J507)&lt;=COUNTA(D:D)*2,IF(MOD(ROW(J507),2)=1,INDEX(D:D,(ROW(J507)+1)/2),INDEX(F:F,ROW(J507)/2)),"")</f>
        <v>-503.9</v>
      </c>
      <c r="K507" s="17">
        <f t="array" ref="K507">IF(ROW(K507)&lt;=COUNTA(E:E)*2,IF(MOD(ROW(K507),2)=1,INDEX(E:E,(ROW(K507)+1)/2),INDEX(G:G,ROW(K507)/2)),"")</f>
        <v>46.8</v>
      </c>
    </row>
    <row r="508" spans="1:11" x14ac:dyDescent="0.25">
      <c r="A508" s="25"/>
      <c r="B508" s="25"/>
      <c r="J508" s="17">
        <f t="array" ref="J508">IF(ROW(J508)&lt;=COUNTA(D:D)*2,IF(MOD(ROW(J508),2)=1,INDEX(D:D,(ROW(J508)+1)/2),INDEX(F:F,ROW(J508)/2)),"")</f>
        <v>-505.9</v>
      </c>
      <c r="K508" s="17">
        <f t="array" ref="K508">IF(ROW(K508)&lt;=COUNTA(E:E)*2,IF(MOD(ROW(K508),2)=1,INDEX(E:E,(ROW(K508)+1)/2),INDEX(G:G,ROW(K508)/2)),"")</f>
        <v>46.8</v>
      </c>
    </row>
    <row r="509" spans="1:11" x14ac:dyDescent="0.25">
      <c r="A509" s="25"/>
      <c r="B509" s="25"/>
      <c r="J509" s="17">
        <f t="array" ref="J509">IF(ROW(J509)&lt;=COUNTA(D:D)*2,IF(MOD(ROW(J509),2)=1,INDEX(D:D,(ROW(J509)+1)/2),INDEX(F:F,ROW(J509)/2)),"")</f>
        <v>-505.9</v>
      </c>
      <c r="K509" s="17">
        <f t="array" ref="K509">IF(ROW(K509)&lt;=COUNTA(E:E)*2,IF(MOD(ROW(K509),2)=1,INDEX(E:E,(ROW(K509)+1)/2),INDEX(G:G,ROW(K509)/2)),"")</f>
        <v>46.52</v>
      </c>
    </row>
    <row r="510" spans="1:11" x14ac:dyDescent="0.25">
      <c r="A510" s="25"/>
      <c r="B510" s="25"/>
      <c r="J510" s="17">
        <f t="array" ref="J510">IF(ROW(J510)&lt;=COUNTA(D:D)*2,IF(MOD(ROW(J510),2)=1,INDEX(D:D,(ROW(J510)+1)/2),INDEX(F:F,ROW(J510)/2)),"")</f>
        <v>-507.9</v>
      </c>
      <c r="K510" s="17">
        <f t="array" ref="K510">IF(ROW(K510)&lt;=COUNTA(E:E)*2,IF(MOD(ROW(K510),2)=1,INDEX(E:E,(ROW(K510)+1)/2),INDEX(G:G,ROW(K510)/2)),"")</f>
        <v>46.52</v>
      </c>
    </row>
    <row r="511" spans="1:11" x14ac:dyDescent="0.25">
      <c r="A511" s="25"/>
      <c r="B511" s="25"/>
      <c r="J511" s="17">
        <f t="array" ref="J511">IF(ROW(J511)&lt;=COUNTA(D:D)*2,IF(MOD(ROW(J511),2)=1,INDEX(D:D,(ROW(J511)+1)/2),INDEX(F:F,ROW(J511)/2)),"")</f>
        <v>-507.9</v>
      </c>
      <c r="K511" s="17">
        <f t="array" ref="K511">IF(ROW(K511)&lt;=COUNTA(E:E)*2,IF(MOD(ROW(K511),2)=1,INDEX(E:E,(ROW(K511)+1)/2),INDEX(G:G,ROW(K511)/2)),"")</f>
        <v>47.18</v>
      </c>
    </row>
    <row r="512" spans="1:11" x14ac:dyDescent="0.25">
      <c r="A512" s="25"/>
      <c r="B512" s="25"/>
      <c r="J512" s="17">
        <f t="array" ref="J512">IF(ROW(J512)&lt;=COUNTA(D:D)*2,IF(MOD(ROW(J512),2)=1,INDEX(D:D,(ROW(J512)+1)/2),INDEX(F:F,ROW(J512)/2)),"")</f>
        <v>-509.9</v>
      </c>
      <c r="K512" s="17">
        <f t="array" ref="K512">IF(ROW(K512)&lt;=COUNTA(E:E)*2,IF(MOD(ROW(K512),2)=1,INDEX(E:E,(ROW(K512)+1)/2),INDEX(G:G,ROW(K512)/2)),"")</f>
        <v>47.18</v>
      </c>
    </row>
    <row r="513" spans="1:11" x14ac:dyDescent="0.25">
      <c r="A513" s="25"/>
      <c r="B513" s="25"/>
      <c r="J513" s="17">
        <f t="array" ref="J513">IF(ROW(J513)&lt;=COUNTA(D:D)*2,IF(MOD(ROW(J513),2)=1,INDEX(D:D,(ROW(J513)+1)/2),INDEX(F:F,ROW(J513)/2)),"")</f>
        <v>-509.9</v>
      </c>
      <c r="K513" s="17">
        <f t="array" ref="K513">IF(ROW(K513)&lt;=COUNTA(E:E)*2,IF(MOD(ROW(K513),2)=1,INDEX(E:E,(ROW(K513)+1)/2),INDEX(G:G,ROW(K513)/2)),"")</f>
        <v>47.38</v>
      </c>
    </row>
    <row r="514" spans="1:11" x14ac:dyDescent="0.25">
      <c r="A514" s="25"/>
      <c r="B514" s="25"/>
      <c r="J514" s="17">
        <f t="array" ref="J514">IF(ROW(J514)&lt;=COUNTA(D:D)*2,IF(MOD(ROW(J514),2)=1,INDEX(D:D,(ROW(J514)+1)/2),INDEX(F:F,ROW(J514)/2)),"")</f>
        <v>-511.9</v>
      </c>
      <c r="K514" s="17">
        <f t="array" ref="K514">IF(ROW(K514)&lt;=COUNTA(E:E)*2,IF(MOD(ROW(K514),2)=1,INDEX(E:E,(ROW(K514)+1)/2),INDEX(G:G,ROW(K514)/2)),"")</f>
        <v>47.38</v>
      </c>
    </row>
    <row r="515" spans="1:11" x14ac:dyDescent="0.25">
      <c r="A515" s="25"/>
      <c r="B515" s="25"/>
      <c r="J515" s="17">
        <f t="array" ref="J515">IF(ROW(J515)&lt;=COUNTA(D:D)*2,IF(MOD(ROW(J515),2)=1,INDEX(D:D,(ROW(J515)+1)/2),INDEX(F:F,ROW(J515)/2)),"")</f>
        <v>-511.9</v>
      </c>
      <c r="K515" s="17">
        <f t="array" ref="K515">IF(ROW(K515)&lt;=COUNTA(E:E)*2,IF(MOD(ROW(K515),2)=1,INDEX(E:E,(ROW(K515)+1)/2),INDEX(G:G,ROW(K515)/2)),"")</f>
        <v>47.7</v>
      </c>
    </row>
    <row r="516" spans="1:11" x14ac:dyDescent="0.25">
      <c r="A516" s="25"/>
      <c r="B516" s="25"/>
      <c r="J516" s="17">
        <f t="array" ref="J516">IF(ROW(J516)&lt;=COUNTA(D:D)*2,IF(MOD(ROW(J516),2)=1,INDEX(D:D,(ROW(J516)+1)/2),INDEX(F:F,ROW(J516)/2)),"")</f>
        <v>-513.9</v>
      </c>
      <c r="K516" s="17">
        <f t="array" ref="K516">IF(ROW(K516)&lt;=COUNTA(E:E)*2,IF(MOD(ROW(K516),2)=1,INDEX(E:E,(ROW(K516)+1)/2),INDEX(G:G,ROW(K516)/2)),"")</f>
        <v>47.7</v>
      </c>
    </row>
    <row r="517" spans="1:11" x14ac:dyDescent="0.25">
      <c r="A517" s="25"/>
      <c r="B517" s="25"/>
      <c r="J517" s="17">
        <f t="array" ref="J517">IF(ROW(J517)&lt;=COUNTA(D:D)*2,IF(MOD(ROW(J517),2)=1,INDEX(D:D,(ROW(J517)+1)/2),INDEX(F:F,ROW(J517)/2)),"")</f>
        <v>-513.9</v>
      </c>
      <c r="K517" s="17">
        <f t="array" ref="K517">IF(ROW(K517)&lt;=COUNTA(E:E)*2,IF(MOD(ROW(K517),2)=1,INDEX(E:E,(ROW(K517)+1)/2),INDEX(G:G,ROW(K517)/2)),"")</f>
        <v>47.82</v>
      </c>
    </row>
    <row r="518" spans="1:11" x14ac:dyDescent="0.25">
      <c r="A518" s="25"/>
      <c r="B518" s="25"/>
      <c r="J518" s="17">
        <f t="array" ref="J518">IF(ROW(J518)&lt;=COUNTA(D:D)*2,IF(MOD(ROW(J518),2)=1,INDEX(D:D,(ROW(J518)+1)/2),INDEX(F:F,ROW(J518)/2)),"")</f>
        <v>-515.9</v>
      </c>
      <c r="K518" s="17">
        <f t="array" ref="K518">IF(ROW(K518)&lt;=COUNTA(E:E)*2,IF(MOD(ROW(K518),2)=1,INDEX(E:E,(ROW(K518)+1)/2),INDEX(G:G,ROW(K518)/2)),"")</f>
        <v>47.82</v>
      </c>
    </row>
    <row r="519" spans="1:11" x14ac:dyDescent="0.25">
      <c r="A519" s="25"/>
      <c r="B519" s="25"/>
      <c r="J519" s="17">
        <f t="array" ref="J519">IF(ROW(J519)&lt;=COUNTA(D:D)*2,IF(MOD(ROW(J519),2)=1,INDEX(D:D,(ROW(J519)+1)/2),INDEX(F:F,ROW(J519)/2)),"")</f>
        <v>-515.9</v>
      </c>
      <c r="K519" s="17">
        <f t="array" ref="K519">IF(ROW(K519)&lt;=COUNTA(E:E)*2,IF(MOD(ROW(K519),2)=1,INDEX(E:E,(ROW(K519)+1)/2),INDEX(G:G,ROW(K519)/2)),"")</f>
        <v>47.66</v>
      </c>
    </row>
    <row r="520" spans="1:11" x14ac:dyDescent="0.25">
      <c r="A520" s="25"/>
      <c r="B520" s="25"/>
      <c r="J520" s="17">
        <f t="array" ref="J520">IF(ROW(J520)&lt;=COUNTA(D:D)*2,IF(MOD(ROW(J520),2)=1,INDEX(D:D,(ROW(J520)+1)/2),INDEX(F:F,ROW(J520)/2)),"")</f>
        <v>-517.9</v>
      </c>
      <c r="K520" s="17">
        <f t="array" ref="K520">IF(ROW(K520)&lt;=COUNTA(E:E)*2,IF(MOD(ROW(K520),2)=1,INDEX(E:E,(ROW(K520)+1)/2),INDEX(G:G,ROW(K520)/2)),"")</f>
        <v>47.66</v>
      </c>
    </row>
    <row r="521" spans="1:11" x14ac:dyDescent="0.25">
      <c r="A521" s="25"/>
      <c r="B521" s="25"/>
      <c r="J521" s="17">
        <f t="array" ref="J521">IF(ROW(J521)&lt;=COUNTA(D:D)*2,IF(MOD(ROW(J521),2)=1,INDEX(D:D,(ROW(J521)+1)/2),INDEX(F:F,ROW(J521)/2)),"")</f>
        <v>-517.9</v>
      </c>
      <c r="K521" s="17">
        <f t="array" ref="K521">IF(ROW(K521)&lt;=COUNTA(E:E)*2,IF(MOD(ROW(K521),2)=1,INDEX(E:E,(ROW(K521)+1)/2),INDEX(G:G,ROW(K521)/2)),"")</f>
        <v>47.82</v>
      </c>
    </row>
    <row r="522" spans="1:11" x14ac:dyDescent="0.25">
      <c r="A522" s="25"/>
      <c r="B522" s="25"/>
      <c r="J522" s="17">
        <f t="array" ref="J522">IF(ROW(J522)&lt;=COUNTA(D:D)*2,IF(MOD(ROW(J522),2)=1,INDEX(D:D,(ROW(J522)+1)/2),INDEX(F:F,ROW(J522)/2)),"")</f>
        <v>-519.9</v>
      </c>
      <c r="K522" s="17">
        <f t="array" ref="K522">IF(ROW(K522)&lt;=COUNTA(E:E)*2,IF(MOD(ROW(K522),2)=1,INDEX(E:E,(ROW(K522)+1)/2),INDEX(G:G,ROW(K522)/2)),"")</f>
        <v>47.82</v>
      </c>
    </row>
    <row r="523" spans="1:11" x14ac:dyDescent="0.25">
      <c r="A523" s="25"/>
      <c r="B523" s="25"/>
      <c r="J523" s="17">
        <f t="array" ref="J523">IF(ROW(J523)&lt;=COUNTA(D:D)*2,IF(MOD(ROW(J523),2)=1,INDEX(D:D,(ROW(J523)+1)/2),INDEX(F:F,ROW(J523)/2)),"")</f>
        <v>-519.9</v>
      </c>
      <c r="K523" s="17">
        <f t="array" ref="K523">IF(ROW(K523)&lt;=COUNTA(E:E)*2,IF(MOD(ROW(K523),2)=1,INDEX(E:E,(ROW(K523)+1)/2),INDEX(G:G,ROW(K523)/2)),"")</f>
        <v>46.28</v>
      </c>
    </row>
    <row r="524" spans="1:11" x14ac:dyDescent="0.25">
      <c r="A524" s="25"/>
      <c r="B524" s="25"/>
      <c r="J524" s="17">
        <f t="array" ref="J524">IF(ROW(J524)&lt;=COUNTA(D:D)*2,IF(MOD(ROW(J524),2)=1,INDEX(D:D,(ROW(J524)+1)/2),INDEX(F:F,ROW(J524)/2)),"")</f>
        <v>-521.9</v>
      </c>
      <c r="K524" s="17">
        <f t="array" ref="K524">IF(ROW(K524)&lt;=COUNTA(E:E)*2,IF(MOD(ROW(K524),2)=1,INDEX(E:E,(ROW(K524)+1)/2),INDEX(G:G,ROW(K524)/2)),"")</f>
        <v>46.28</v>
      </c>
    </row>
    <row r="525" spans="1:11" x14ac:dyDescent="0.25">
      <c r="A525" s="25"/>
      <c r="B525" s="25"/>
      <c r="J525" s="17">
        <f t="array" ref="J525">IF(ROW(J525)&lt;=COUNTA(D:D)*2,IF(MOD(ROW(J525),2)=1,INDEX(D:D,(ROW(J525)+1)/2),INDEX(F:F,ROW(J525)/2)),"")</f>
        <v>-521.9</v>
      </c>
      <c r="K525" s="17">
        <f t="array" ref="K525">IF(ROW(K525)&lt;=COUNTA(E:E)*2,IF(MOD(ROW(K525),2)=1,INDEX(E:E,(ROW(K525)+1)/2),INDEX(G:G,ROW(K525)/2)),"")</f>
        <v>46.02</v>
      </c>
    </row>
    <row r="526" spans="1:11" x14ac:dyDescent="0.25">
      <c r="A526" s="25"/>
      <c r="B526" s="25"/>
      <c r="J526" s="17">
        <f t="array" ref="J526">IF(ROW(J526)&lt;=COUNTA(D:D)*2,IF(MOD(ROW(J526),2)=1,INDEX(D:D,(ROW(J526)+1)/2),INDEX(F:F,ROW(J526)/2)),"")</f>
        <v>-523.9</v>
      </c>
      <c r="K526" s="17">
        <f t="array" ref="K526">IF(ROW(K526)&lt;=COUNTA(E:E)*2,IF(MOD(ROW(K526),2)=1,INDEX(E:E,(ROW(K526)+1)/2),INDEX(G:G,ROW(K526)/2)),"")</f>
        <v>46.02</v>
      </c>
    </row>
    <row r="527" spans="1:11" x14ac:dyDescent="0.25">
      <c r="A527" s="25"/>
      <c r="B527" s="25"/>
      <c r="J527" s="17">
        <f t="array" ref="J527">IF(ROW(J527)&lt;=COUNTA(D:D)*2,IF(MOD(ROW(J527),2)=1,INDEX(D:D,(ROW(J527)+1)/2),INDEX(F:F,ROW(J527)/2)),"")</f>
        <v>-523.9</v>
      </c>
      <c r="K527" s="17">
        <f t="array" ref="K527">IF(ROW(K527)&lt;=COUNTA(E:E)*2,IF(MOD(ROW(K527),2)=1,INDEX(E:E,(ROW(K527)+1)/2),INDEX(G:G,ROW(K527)/2)),"")</f>
        <v>46.26</v>
      </c>
    </row>
    <row r="528" spans="1:11" x14ac:dyDescent="0.25">
      <c r="A528" s="25"/>
      <c r="B528" s="25"/>
      <c r="J528" s="17">
        <f t="array" ref="J528">IF(ROW(J528)&lt;=COUNTA(D:D)*2,IF(MOD(ROW(J528),2)=1,INDEX(D:D,(ROW(J528)+1)/2),INDEX(F:F,ROW(J528)/2)),"")</f>
        <v>-525.9</v>
      </c>
      <c r="K528" s="17">
        <f t="array" ref="K528">IF(ROW(K528)&lt;=COUNTA(E:E)*2,IF(MOD(ROW(K528),2)=1,INDEX(E:E,(ROW(K528)+1)/2),INDEX(G:G,ROW(K528)/2)),"")</f>
        <v>46.26</v>
      </c>
    </row>
    <row r="529" spans="1:11" x14ac:dyDescent="0.25">
      <c r="A529" s="25"/>
      <c r="B529" s="25"/>
      <c r="J529" s="17">
        <f t="array" ref="J529">IF(ROW(J529)&lt;=COUNTA(D:D)*2,IF(MOD(ROW(J529),2)=1,INDEX(D:D,(ROW(J529)+1)/2),INDEX(F:F,ROW(J529)/2)),"")</f>
        <v>-525.9</v>
      </c>
      <c r="K529" s="17">
        <f t="array" ref="K529">IF(ROW(K529)&lt;=COUNTA(E:E)*2,IF(MOD(ROW(K529),2)=1,INDEX(E:E,(ROW(K529)+1)/2),INDEX(G:G,ROW(K529)/2)),"")</f>
        <v>46.92</v>
      </c>
    </row>
    <row r="530" spans="1:11" x14ac:dyDescent="0.25">
      <c r="A530" s="25"/>
      <c r="B530" s="25"/>
      <c r="J530" s="17">
        <f t="array" ref="J530">IF(ROW(J530)&lt;=COUNTA(D:D)*2,IF(MOD(ROW(J530),2)=1,INDEX(D:D,(ROW(J530)+1)/2),INDEX(F:F,ROW(J530)/2)),"")</f>
        <v>-527.9</v>
      </c>
      <c r="K530" s="17">
        <f t="array" ref="K530">IF(ROW(K530)&lt;=COUNTA(E:E)*2,IF(MOD(ROW(K530),2)=1,INDEX(E:E,(ROW(K530)+1)/2),INDEX(G:G,ROW(K530)/2)),"")</f>
        <v>46.92</v>
      </c>
    </row>
    <row r="531" spans="1:11" x14ac:dyDescent="0.25">
      <c r="A531" s="25"/>
      <c r="B531" s="25"/>
      <c r="J531" s="17">
        <f t="array" ref="J531">IF(ROW(J531)&lt;=COUNTA(D:D)*2,IF(MOD(ROW(J531),2)=1,INDEX(D:D,(ROW(J531)+1)/2),INDEX(F:F,ROW(J531)/2)),"")</f>
        <v>-527.9</v>
      </c>
      <c r="K531" s="17">
        <f t="array" ref="K531">IF(ROW(K531)&lt;=COUNTA(E:E)*2,IF(MOD(ROW(K531),2)=1,INDEX(E:E,(ROW(K531)+1)/2),INDEX(G:G,ROW(K531)/2)),"")</f>
        <v>45.64</v>
      </c>
    </row>
    <row r="532" spans="1:11" x14ac:dyDescent="0.25">
      <c r="A532" s="25"/>
      <c r="B532" s="25"/>
      <c r="J532" s="17">
        <f t="array" ref="J532">IF(ROW(J532)&lt;=COUNTA(D:D)*2,IF(MOD(ROW(J532),2)=1,INDEX(D:D,(ROW(J532)+1)/2),INDEX(F:F,ROW(J532)/2)),"")</f>
        <v>-529.9</v>
      </c>
      <c r="K532" s="17">
        <f t="array" ref="K532">IF(ROW(K532)&lt;=COUNTA(E:E)*2,IF(MOD(ROW(K532),2)=1,INDEX(E:E,(ROW(K532)+1)/2),INDEX(G:G,ROW(K532)/2)),"")</f>
        <v>45.64</v>
      </c>
    </row>
    <row r="533" spans="1:11" x14ac:dyDescent="0.25">
      <c r="A533" s="25"/>
      <c r="B533" s="25"/>
      <c r="J533" s="17">
        <f t="array" ref="J533">IF(ROW(J533)&lt;=COUNTA(D:D)*2,IF(MOD(ROW(J533),2)=1,INDEX(D:D,(ROW(J533)+1)/2),INDEX(F:F,ROW(J533)/2)),"")</f>
        <v>-529.9</v>
      </c>
      <c r="K533" s="17">
        <f t="array" ref="K533">IF(ROW(K533)&lt;=COUNTA(E:E)*2,IF(MOD(ROW(K533),2)=1,INDEX(E:E,(ROW(K533)+1)/2),INDEX(G:G,ROW(K533)/2)),"")</f>
        <v>46.28</v>
      </c>
    </row>
    <row r="534" spans="1:11" x14ac:dyDescent="0.25">
      <c r="A534" s="25"/>
      <c r="B534" s="25"/>
      <c r="J534" s="17">
        <f t="array" ref="J534">IF(ROW(J534)&lt;=COUNTA(D:D)*2,IF(MOD(ROW(J534),2)=1,INDEX(D:D,(ROW(J534)+1)/2),INDEX(F:F,ROW(J534)/2)),"")</f>
        <v>-531.9</v>
      </c>
      <c r="K534" s="17">
        <f t="array" ref="K534">IF(ROW(K534)&lt;=COUNTA(E:E)*2,IF(MOD(ROW(K534),2)=1,INDEX(E:E,(ROW(K534)+1)/2),INDEX(G:G,ROW(K534)/2)),"")</f>
        <v>46.28</v>
      </c>
    </row>
    <row r="535" spans="1:11" x14ac:dyDescent="0.25">
      <c r="A535" s="25"/>
      <c r="B535" s="25"/>
      <c r="J535" s="17">
        <f t="array" ref="J535">IF(ROW(J535)&lt;=COUNTA(D:D)*2,IF(MOD(ROW(J535),2)=1,INDEX(D:D,(ROW(J535)+1)/2),INDEX(F:F,ROW(J535)/2)),"")</f>
        <v>-531.9</v>
      </c>
      <c r="K535" s="17">
        <f t="array" ref="K535">IF(ROW(K535)&lt;=COUNTA(E:E)*2,IF(MOD(ROW(K535),2)=1,INDEX(E:E,(ROW(K535)+1)/2),INDEX(G:G,ROW(K535)/2)),"")</f>
        <v>47.78</v>
      </c>
    </row>
    <row r="536" spans="1:11" x14ac:dyDescent="0.25">
      <c r="A536" s="25"/>
      <c r="B536" s="25"/>
      <c r="J536" s="17">
        <f t="array" ref="J536">IF(ROW(J536)&lt;=COUNTA(D:D)*2,IF(MOD(ROW(J536),2)=1,INDEX(D:D,(ROW(J536)+1)/2),INDEX(F:F,ROW(J536)/2)),"")</f>
        <v>-533.9</v>
      </c>
      <c r="K536" s="17">
        <f t="array" ref="K536">IF(ROW(K536)&lt;=COUNTA(E:E)*2,IF(MOD(ROW(K536),2)=1,INDEX(E:E,(ROW(K536)+1)/2),INDEX(G:G,ROW(K536)/2)),"")</f>
        <v>47.78</v>
      </c>
    </row>
    <row r="537" spans="1:11" x14ac:dyDescent="0.25">
      <c r="A537" s="25"/>
      <c r="B537" s="25"/>
      <c r="J537" s="17">
        <f t="array" ref="J537">IF(ROW(J537)&lt;=COUNTA(D:D)*2,IF(MOD(ROW(J537),2)=1,INDEX(D:D,(ROW(J537)+1)/2),INDEX(F:F,ROW(J537)/2)),"")</f>
        <v>-533.9</v>
      </c>
      <c r="K537" s="17">
        <f t="array" ref="K537">IF(ROW(K537)&lt;=COUNTA(E:E)*2,IF(MOD(ROW(K537),2)=1,INDEX(E:E,(ROW(K537)+1)/2),INDEX(G:G,ROW(K537)/2)),"")</f>
        <v>46.98</v>
      </c>
    </row>
    <row r="538" spans="1:11" x14ac:dyDescent="0.25">
      <c r="A538" s="25"/>
      <c r="B538" s="25"/>
      <c r="J538" s="17">
        <f t="array" ref="J538">IF(ROW(J538)&lt;=COUNTA(D:D)*2,IF(MOD(ROW(J538),2)=1,INDEX(D:D,(ROW(J538)+1)/2),INDEX(F:F,ROW(J538)/2)),"")</f>
        <v>-535.9</v>
      </c>
      <c r="K538" s="17">
        <f t="array" ref="K538">IF(ROW(K538)&lt;=COUNTA(E:E)*2,IF(MOD(ROW(K538),2)=1,INDEX(E:E,(ROW(K538)+1)/2),INDEX(G:G,ROW(K538)/2)),"")</f>
        <v>46.98</v>
      </c>
    </row>
    <row r="539" spans="1:11" x14ac:dyDescent="0.25">
      <c r="A539" s="25"/>
      <c r="B539" s="25"/>
      <c r="J539" s="17">
        <f t="array" ref="J539">IF(ROW(J539)&lt;=COUNTA(D:D)*2,IF(MOD(ROW(J539),2)=1,INDEX(D:D,(ROW(J539)+1)/2),INDEX(F:F,ROW(J539)/2)),"")</f>
        <v>-535.9</v>
      </c>
      <c r="K539" s="17">
        <f t="array" ref="K539">IF(ROW(K539)&lt;=COUNTA(E:E)*2,IF(MOD(ROW(K539),2)=1,INDEX(E:E,(ROW(K539)+1)/2),INDEX(G:G,ROW(K539)/2)),"")</f>
        <v>46.28</v>
      </c>
    </row>
    <row r="540" spans="1:11" x14ac:dyDescent="0.25">
      <c r="A540" s="25"/>
      <c r="B540" s="25"/>
      <c r="J540" s="17">
        <f t="array" ref="J540">IF(ROW(J540)&lt;=COUNTA(D:D)*2,IF(MOD(ROW(J540),2)=1,INDEX(D:D,(ROW(J540)+1)/2),INDEX(F:F,ROW(J540)/2)),"")</f>
        <v>-537.9</v>
      </c>
      <c r="K540" s="17">
        <f t="array" ref="K540">IF(ROW(K540)&lt;=COUNTA(E:E)*2,IF(MOD(ROW(K540),2)=1,INDEX(E:E,(ROW(K540)+1)/2),INDEX(G:G,ROW(K540)/2)),"")</f>
        <v>46.28</v>
      </c>
    </row>
    <row r="541" spans="1:11" x14ac:dyDescent="0.25">
      <c r="A541" s="25"/>
      <c r="B541" s="25"/>
      <c r="J541" s="17">
        <f t="array" ref="J541">IF(ROW(J541)&lt;=COUNTA(D:D)*2,IF(MOD(ROW(J541),2)=1,INDEX(D:D,(ROW(J541)+1)/2),INDEX(F:F,ROW(J541)/2)),"")</f>
        <v>-537.9</v>
      </c>
      <c r="K541" s="17">
        <f t="array" ref="K541">IF(ROW(K541)&lt;=COUNTA(E:E)*2,IF(MOD(ROW(K541),2)=1,INDEX(E:E,(ROW(K541)+1)/2),INDEX(G:G,ROW(K541)/2)),"")</f>
        <v>45.84</v>
      </c>
    </row>
    <row r="542" spans="1:11" x14ac:dyDescent="0.25">
      <c r="A542" s="25"/>
      <c r="B542" s="25"/>
      <c r="J542" s="17">
        <f t="array" ref="J542">IF(ROW(J542)&lt;=COUNTA(D:D)*2,IF(MOD(ROW(J542),2)=1,INDEX(D:D,(ROW(J542)+1)/2),INDEX(F:F,ROW(J542)/2)),"")</f>
        <v>-539.9</v>
      </c>
      <c r="K542" s="17">
        <f t="array" ref="K542">IF(ROW(K542)&lt;=COUNTA(E:E)*2,IF(MOD(ROW(K542),2)=1,INDEX(E:E,(ROW(K542)+1)/2),INDEX(G:G,ROW(K542)/2)),"")</f>
        <v>45.84</v>
      </c>
    </row>
    <row r="543" spans="1:11" x14ac:dyDescent="0.25">
      <c r="A543" s="25"/>
      <c r="B543" s="25"/>
      <c r="J543" s="17">
        <f t="array" ref="J543">IF(ROW(J543)&lt;=COUNTA(D:D)*2,IF(MOD(ROW(J543),2)=1,INDEX(D:D,(ROW(J543)+1)/2),INDEX(F:F,ROW(J543)/2)),"")</f>
        <v>-539.9</v>
      </c>
      <c r="K543" s="17">
        <f t="array" ref="K543">IF(ROW(K543)&lt;=COUNTA(E:E)*2,IF(MOD(ROW(K543),2)=1,INDEX(E:E,(ROW(K543)+1)/2),INDEX(G:G,ROW(K543)/2)),"")</f>
        <v>46.6</v>
      </c>
    </row>
    <row r="544" spans="1:11" x14ac:dyDescent="0.25">
      <c r="A544" s="25"/>
      <c r="B544" s="25"/>
      <c r="J544" s="17">
        <f t="array" ref="J544">IF(ROW(J544)&lt;=COUNTA(D:D)*2,IF(MOD(ROW(J544),2)=1,INDEX(D:D,(ROW(J544)+1)/2),INDEX(F:F,ROW(J544)/2)),"")</f>
        <v>-541.9</v>
      </c>
      <c r="K544" s="17">
        <f t="array" ref="K544">IF(ROW(K544)&lt;=COUNTA(E:E)*2,IF(MOD(ROW(K544),2)=1,INDEX(E:E,(ROW(K544)+1)/2),INDEX(G:G,ROW(K544)/2)),"")</f>
        <v>46.6</v>
      </c>
    </row>
    <row r="545" spans="1:11" x14ac:dyDescent="0.25">
      <c r="A545" s="25"/>
      <c r="B545" s="25"/>
      <c r="J545" s="17">
        <f t="array" ref="J545">IF(ROW(J545)&lt;=COUNTA(D:D)*2,IF(MOD(ROW(J545),2)=1,INDEX(D:D,(ROW(J545)+1)/2),INDEX(F:F,ROW(J545)/2)),"")</f>
        <v>-541.9</v>
      </c>
      <c r="K545" s="17">
        <f t="array" ref="K545">IF(ROW(K545)&lt;=COUNTA(E:E)*2,IF(MOD(ROW(K545),2)=1,INDEX(E:E,(ROW(K545)+1)/2),INDEX(G:G,ROW(K545)/2)),"")</f>
        <v>47.06</v>
      </c>
    </row>
    <row r="546" spans="1:11" x14ac:dyDescent="0.25">
      <c r="A546" s="25"/>
      <c r="B546" s="25"/>
      <c r="J546" s="17">
        <f t="array" ref="J546">IF(ROW(J546)&lt;=COUNTA(D:D)*2,IF(MOD(ROW(J546),2)=1,INDEX(D:D,(ROW(J546)+1)/2),INDEX(F:F,ROW(J546)/2)),"")</f>
        <v>-543.9</v>
      </c>
      <c r="K546" s="17">
        <f t="array" ref="K546">IF(ROW(K546)&lt;=COUNTA(E:E)*2,IF(MOD(ROW(K546),2)=1,INDEX(E:E,(ROW(K546)+1)/2),INDEX(G:G,ROW(K546)/2)),"")</f>
        <v>47.06</v>
      </c>
    </row>
    <row r="547" spans="1:11" x14ac:dyDescent="0.25">
      <c r="A547" s="25"/>
      <c r="B547" s="25"/>
      <c r="J547" s="17">
        <f t="array" ref="J547">IF(ROW(J547)&lt;=COUNTA(D:D)*2,IF(MOD(ROW(J547),2)=1,INDEX(D:D,(ROW(J547)+1)/2),INDEX(F:F,ROW(J547)/2)),"")</f>
        <v>-543.9</v>
      </c>
      <c r="K547" s="17">
        <f t="array" ref="K547">IF(ROW(K547)&lt;=COUNTA(E:E)*2,IF(MOD(ROW(K547),2)=1,INDEX(E:E,(ROW(K547)+1)/2),INDEX(G:G,ROW(K547)/2)),"")</f>
        <v>47.02</v>
      </c>
    </row>
    <row r="548" spans="1:11" x14ac:dyDescent="0.25">
      <c r="A548" s="25"/>
      <c r="B548" s="25"/>
      <c r="J548" s="17">
        <f t="array" ref="J548">IF(ROW(J548)&lt;=COUNTA(D:D)*2,IF(MOD(ROW(J548),2)=1,INDEX(D:D,(ROW(J548)+1)/2),INDEX(F:F,ROW(J548)/2)),"")</f>
        <v>-545.9</v>
      </c>
      <c r="K548" s="17">
        <f t="array" ref="K548">IF(ROW(K548)&lt;=COUNTA(E:E)*2,IF(MOD(ROW(K548),2)=1,INDEX(E:E,(ROW(K548)+1)/2),INDEX(G:G,ROW(K548)/2)),"")</f>
        <v>47.02</v>
      </c>
    </row>
    <row r="549" spans="1:11" x14ac:dyDescent="0.25">
      <c r="A549" s="25"/>
      <c r="B549" s="25"/>
      <c r="J549" s="17">
        <f t="array" ref="J549">IF(ROW(J549)&lt;=COUNTA(D:D)*2,IF(MOD(ROW(J549),2)=1,INDEX(D:D,(ROW(J549)+1)/2),INDEX(F:F,ROW(J549)/2)),"")</f>
        <v>-545.9</v>
      </c>
      <c r="K549" s="17">
        <f t="array" ref="K549">IF(ROW(K549)&lt;=COUNTA(E:E)*2,IF(MOD(ROW(K549),2)=1,INDEX(E:E,(ROW(K549)+1)/2),INDEX(G:G,ROW(K549)/2)),"")</f>
        <v>46.26</v>
      </c>
    </row>
    <row r="550" spans="1:11" x14ac:dyDescent="0.25">
      <c r="A550" s="25"/>
      <c r="B550" s="25"/>
      <c r="J550" s="17">
        <f t="array" ref="J550">IF(ROW(J550)&lt;=COUNTA(D:D)*2,IF(MOD(ROW(J550),2)=1,INDEX(D:D,(ROW(J550)+1)/2),INDEX(F:F,ROW(J550)/2)),"")</f>
        <v>-547.9</v>
      </c>
      <c r="K550" s="17">
        <f t="array" ref="K550">IF(ROW(K550)&lt;=COUNTA(E:E)*2,IF(MOD(ROW(K550),2)=1,INDEX(E:E,(ROW(K550)+1)/2),INDEX(G:G,ROW(K550)/2)),"")</f>
        <v>46.26</v>
      </c>
    </row>
    <row r="551" spans="1:11" x14ac:dyDescent="0.25">
      <c r="A551" s="25"/>
      <c r="B551" s="25"/>
      <c r="J551" s="17">
        <f t="array" ref="J551">IF(ROW(J551)&lt;=COUNTA(D:D)*2,IF(MOD(ROW(J551),2)=1,INDEX(D:D,(ROW(J551)+1)/2),INDEX(F:F,ROW(J551)/2)),"")</f>
        <v>-547.9</v>
      </c>
      <c r="K551" s="17">
        <f t="array" ref="K551">IF(ROW(K551)&lt;=COUNTA(E:E)*2,IF(MOD(ROW(K551),2)=1,INDEX(E:E,(ROW(K551)+1)/2),INDEX(G:G,ROW(K551)/2)),"")</f>
        <v>45.9</v>
      </c>
    </row>
    <row r="552" spans="1:11" x14ac:dyDescent="0.25">
      <c r="A552" s="25"/>
      <c r="B552" s="25"/>
      <c r="J552" s="17">
        <f t="array" ref="J552">IF(ROW(J552)&lt;=COUNTA(D:D)*2,IF(MOD(ROW(J552),2)=1,INDEX(D:D,(ROW(J552)+1)/2),INDEX(F:F,ROW(J552)/2)),"")</f>
        <v>-549.9</v>
      </c>
      <c r="K552" s="17">
        <f t="array" ref="K552">IF(ROW(K552)&lt;=COUNTA(E:E)*2,IF(MOD(ROW(K552),2)=1,INDEX(E:E,(ROW(K552)+1)/2),INDEX(G:G,ROW(K552)/2)),"")</f>
        <v>45.9</v>
      </c>
    </row>
    <row r="553" spans="1:11" x14ac:dyDescent="0.25">
      <c r="A553" s="25"/>
      <c r="B553" s="25"/>
      <c r="J553" s="17">
        <f t="array" ref="J553">IF(ROW(J553)&lt;=COUNTA(D:D)*2,IF(MOD(ROW(J553),2)=1,INDEX(D:D,(ROW(J553)+1)/2),INDEX(F:F,ROW(J553)/2)),"")</f>
        <v>-549.9</v>
      </c>
      <c r="K553" s="17">
        <f t="array" ref="K553">IF(ROW(K553)&lt;=COUNTA(E:E)*2,IF(MOD(ROW(K553),2)=1,INDEX(E:E,(ROW(K553)+1)/2),INDEX(G:G,ROW(K553)/2)),"")</f>
        <v>47.34</v>
      </c>
    </row>
    <row r="554" spans="1:11" x14ac:dyDescent="0.25">
      <c r="A554" s="25"/>
      <c r="B554" s="25"/>
      <c r="J554" s="17">
        <f t="array" ref="J554">IF(ROW(J554)&lt;=COUNTA(D:D)*2,IF(MOD(ROW(J554),2)=1,INDEX(D:D,(ROW(J554)+1)/2),INDEX(F:F,ROW(J554)/2)),"")</f>
        <v>-551.9</v>
      </c>
      <c r="K554" s="17">
        <f t="array" ref="K554">IF(ROW(K554)&lt;=COUNTA(E:E)*2,IF(MOD(ROW(K554),2)=1,INDEX(E:E,(ROW(K554)+1)/2),INDEX(G:G,ROW(K554)/2)),"")</f>
        <v>47.34</v>
      </c>
    </row>
    <row r="555" spans="1:11" x14ac:dyDescent="0.25">
      <c r="A555" s="25"/>
      <c r="B555" s="25"/>
      <c r="J555" s="17">
        <f t="array" ref="J555">IF(ROW(J555)&lt;=COUNTA(D:D)*2,IF(MOD(ROW(J555),2)=1,INDEX(D:D,(ROW(J555)+1)/2),INDEX(F:F,ROW(J555)/2)),"")</f>
        <v>-551.9</v>
      </c>
      <c r="K555" s="17">
        <f t="array" ref="K555">IF(ROW(K555)&lt;=COUNTA(E:E)*2,IF(MOD(ROW(K555),2)=1,INDEX(E:E,(ROW(K555)+1)/2),INDEX(G:G,ROW(K555)/2)),"")</f>
        <v>45</v>
      </c>
    </row>
    <row r="556" spans="1:11" x14ac:dyDescent="0.25">
      <c r="A556" s="25"/>
      <c r="B556" s="25"/>
      <c r="J556" s="17">
        <f t="array" ref="J556">IF(ROW(J556)&lt;=COUNTA(D:D)*2,IF(MOD(ROW(J556),2)=1,INDEX(D:D,(ROW(J556)+1)/2),INDEX(F:F,ROW(J556)/2)),"")</f>
        <v>-553.9</v>
      </c>
      <c r="K556" s="17">
        <f t="array" ref="K556">IF(ROW(K556)&lt;=COUNTA(E:E)*2,IF(MOD(ROW(K556),2)=1,INDEX(E:E,(ROW(K556)+1)/2),INDEX(G:G,ROW(K556)/2)),"")</f>
        <v>45</v>
      </c>
    </row>
    <row r="557" spans="1:11" x14ac:dyDescent="0.25">
      <c r="A557" s="25"/>
      <c r="B557" s="25"/>
      <c r="J557" s="17">
        <f t="array" ref="J557">IF(ROW(J557)&lt;=COUNTA(D:D)*2,IF(MOD(ROW(J557),2)=1,INDEX(D:D,(ROW(J557)+1)/2),INDEX(F:F,ROW(J557)/2)),"")</f>
        <v>-553.9</v>
      </c>
      <c r="K557" s="17">
        <f t="array" ref="K557">IF(ROW(K557)&lt;=COUNTA(E:E)*2,IF(MOD(ROW(K557),2)=1,INDEX(E:E,(ROW(K557)+1)/2),INDEX(G:G,ROW(K557)/2)),"")</f>
        <v>45.24</v>
      </c>
    </row>
    <row r="558" spans="1:11" x14ac:dyDescent="0.25">
      <c r="A558" s="25"/>
      <c r="B558" s="25"/>
      <c r="J558" s="17">
        <f t="array" ref="J558">IF(ROW(J558)&lt;=COUNTA(D:D)*2,IF(MOD(ROW(J558),2)=1,INDEX(D:D,(ROW(J558)+1)/2),INDEX(F:F,ROW(J558)/2)),"")</f>
        <v>-555.9</v>
      </c>
      <c r="K558" s="17">
        <f t="array" ref="K558">IF(ROW(K558)&lt;=COUNTA(E:E)*2,IF(MOD(ROW(K558),2)=1,INDEX(E:E,(ROW(K558)+1)/2),INDEX(G:G,ROW(K558)/2)),"")</f>
        <v>45.24</v>
      </c>
    </row>
    <row r="559" spans="1:11" x14ac:dyDescent="0.25">
      <c r="A559" s="25"/>
      <c r="B559" s="25"/>
      <c r="J559" s="17">
        <f t="array" ref="J559">IF(ROW(J559)&lt;=COUNTA(D:D)*2,IF(MOD(ROW(J559),2)=1,INDEX(D:D,(ROW(J559)+1)/2),INDEX(F:F,ROW(J559)/2)),"")</f>
        <v>-555.9</v>
      </c>
      <c r="K559" s="17">
        <f t="array" ref="K559">IF(ROW(K559)&lt;=COUNTA(E:E)*2,IF(MOD(ROW(K559),2)=1,INDEX(E:E,(ROW(K559)+1)/2),INDEX(G:G,ROW(K559)/2)),"")</f>
        <v>46.24</v>
      </c>
    </row>
    <row r="560" spans="1:11" x14ac:dyDescent="0.25">
      <c r="A560" s="25"/>
      <c r="B560" s="25"/>
      <c r="J560" s="17">
        <f t="array" ref="J560">IF(ROW(J560)&lt;=COUNTA(D:D)*2,IF(MOD(ROW(J560),2)=1,INDEX(D:D,(ROW(J560)+1)/2),INDEX(F:F,ROW(J560)/2)),"")</f>
        <v>-557.9</v>
      </c>
      <c r="K560" s="17">
        <f t="array" ref="K560">IF(ROW(K560)&lt;=COUNTA(E:E)*2,IF(MOD(ROW(K560),2)=1,INDEX(E:E,(ROW(K560)+1)/2),INDEX(G:G,ROW(K560)/2)),"")</f>
        <v>46.24</v>
      </c>
    </row>
    <row r="561" spans="1:11" x14ac:dyDescent="0.25">
      <c r="A561" s="25"/>
      <c r="B561" s="25"/>
      <c r="J561" s="17">
        <f t="array" ref="J561">IF(ROW(J561)&lt;=COUNTA(D:D)*2,IF(MOD(ROW(J561),2)=1,INDEX(D:D,(ROW(J561)+1)/2),INDEX(F:F,ROW(J561)/2)),"")</f>
        <v>-557.9</v>
      </c>
      <c r="K561" s="17">
        <f t="array" ref="K561">IF(ROW(K561)&lt;=COUNTA(E:E)*2,IF(MOD(ROW(K561),2)=1,INDEX(E:E,(ROW(K561)+1)/2),INDEX(G:G,ROW(K561)/2)),"")</f>
        <v>47.32</v>
      </c>
    </row>
    <row r="562" spans="1:11" x14ac:dyDescent="0.25">
      <c r="A562" s="25"/>
      <c r="B562" s="25"/>
      <c r="J562" s="17">
        <f t="array" ref="J562">IF(ROW(J562)&lt;=COUNTA(D:D)*2,IF(MOD(ROW(J562),2)=1,INDEX(D:D,(ROW(J562)+1)/2),INDEX(F:F,ROW(J562)/2)),"")</f>
        <v>-559.9</v>
      </c>
      <c r="K562" s="17">
        <f t="array" ref="K562">IF(ROW(K562)&lt;=COUNTA(E:E)*2,IF(MOD(ROW(K562),2)=1,INDEX(E:E,(ROW(K562)+1)/2),INDEX(G:G,ROW(K562)/2)),"")</f>
        <v>47.32</v>
      </c>
    </row>
    <row r="563" spans="1:11" x14ac:dyDescent="0.25">
      <c r="A563" s="25"/>
      <c r="B563" s="25"/>
      <c r="J563" s="17">
        <f t="array" ref="J563">IF(ROW(J563)&lt;=COUNTA(D:D)*2,IF(MOD(ROW(J563),2)=1,INDEX(D:D,(ROW(J563)+1)/2),INDEX(F:F,ROW(J563)/2)),"")</f>
        <v>-559.9</v>
      </c>
      <c r="K563" s="17">
        <f t="array" ref="K563">IF(ROW(K563)&lt;=COUNTA(E:E)*2,IF(MOD(ROW(K563),2)=1,INDEX(E:E,(ROW(K563)+1)/2),INDEX(G:G,ROW(K563)/2)),"")</f>
        <v>46.12</v>
      </c>
    </row>
    <row r="564" spans="1:11" x14ac:dyDescent="0.25">
      <c r="A564" s="25"/>
      <c r="B564" s="25"/>
      <c r="J564" s="17">
        <f t="array" ref="J564">IF(ROW(J564)&lt;=COUNTA(D:D)*2,IF(MOD(ROW(J564),2)=1,INDEX(D:D,(ROW(J564)+1)/2),INDEX(F:F,ROW(J564)/2)),"")</f>
        <v>-561.9</v>
      </c>
      <c r="K564" s="17">
        <f t="array" ref="K564">IF(ROW(K564)&lt;=COUNTA(E:E)*2,IF(MOD(ROW(K564),2)=1,INDEX(E:E,(ROW(K564)+1)/2),INDEX(G:G,ROW(K564)/2)),"")</f>
        <v>46.12</v>
      </c>
    </row>
    <row r="565" spans="1:11" x14ac:dyDescent="0.25">
      <c r="A565" s="25"/>
      <c r="B565" s="25"/>
      <c r="J565" s="17">
        <f t="array" ref="J565">IF(ROW(J565)&lt;=COUNTA(D:D)*2,IF(MOD(ROW(J565),2)=1,INDEX(D:D,(ROW(J565)+1)/2),INDEX(F:F,ROW(J565)/2)),"")</f>
        <v>-561.9</v>
      </c>
      <c r="K565" s="17">
        <f t="array" ref="K565">IF(ROW(K565)&lt;=COUNTA(E:E)*2,IF(MOD(ROW(K565),2)=1,INDEX(E:E,(ROW(K565)+1)/2),INDEX(G:G,ROW(K565)/2)),"")</f>
        <v>47.1</v>
      </c>
    </row>
    <row r="566" spans="1:11" x14ac:dyDescent="0.25">
      <c r="A566" s="25"/>
      <c r="B566" s="25"/>
      <c r="J566" s="17">
        <f t="array" ref="J566">IF(ROW(J566)&lt;=COUNTA(D:D)*2,IF(MOD(ROW(J566),2)=1,INDEX(D:D,(ROW(J566)+1)/2),INDEX(F:F,ROW(J566)/2)),"")</f>
        <v>-563.9</v>
      </c>
      <c r="K566" s="17">
        <f t="array" ref="K566">IF(ROW(K566)&lt;=COUNTA(E:E)*2,IF(MOD(ROW(K566),2)=1,INDEX(E:E,(ROW(K566)+1)/2),INDEX(G:G,ROW(K566)/2)),"")</f>
        <v>47.1</v>
      </c>
    </row>
    <row r="567" spans="1:11" x14ac:dyDescent="0.25">
      <c r="A567" s="25"/>
      <c r="B567" s="25"/>
      <c r="J567" s="17">
        <f t="array" ref="J567">IF(ROW(J567)&lt;=COUNTA(D:D)*2,IF(MOD(ROW(J567),2)=1,INDEX(D:D,(ROW(J567)+1)/2),INDEX(F:F,ROW(J567)/2)),"")</f>
        <v>-563.9</v>
      </c>
      <c r="K567" s="17">
        <f t="array" ref="K567">IF(ROW(K567)&lt;=COUNTA(E:E)*2,IF(MOD(ROW(K567),2)=1,INDEX(E:E,(ROW(K567)+1)/2),INDEX(G:G,ROW(K567)/2)),"")</f>
        <v>45</v>
      </c>
    </row>
    <row r="568" spans="1:11" x14ac:dyDescent="0.25">
      <c r="A568" s="25"/>
      <c r="B568" s="25"/>
      <c r="J568" s="17">
        <f t="array" ref="J568">IF(ROW(J568)&lt;=COUNTA(D:D)*2,IF(MOD(ROW(J568),2)=1,INDEX(D:D,(ROW(J568)+1)/2),INDEX(F:F,ROW(J568)/2)),"")</f>
        <v>-565.9</v>
      </c>
      <c r="K568" s="17">
        <f t="array" ref="K568">IF(ROW(K568)&lt;=COUNTA(E:E)*2,IF(MOD(ROW(K568),2)=1,INDEX(E:E,(ROW(K568)+1)/2),INDEX(G:G,ROW(K568)/2)),"")</f>
        <v>45</v>
      </c>
    </row>
    <row r="569" spans="1:11" x14ac:dyDescent="0.25">
      <c r="A569" s="25"/>
      <c r="B569" s="25"/>
      <c r="J569" s="17">
        <f t="array" ref="J569">IF(ROW(J569)&lt;=COUNTA(D:D)*2,IF(MOD(ROW(J569),2)=1,INDEX(D:D,(ROW(J569)+1)/2),INDEX(F:F,ROW(J569)/2)),"")</f>
        <v>-565.9</v>
      </c>
      <c r="K569" s="17">
        <f t="array" ref="K569">IF(ROW(K569)&lt;=COUNTA(E:E)*2,IF(MOD(ROW(K569),2)=1,INDEX(E:E,(ROW(K569)+1)/2),INDEX(G:G,ROW(K569)/2)),"")</f>
        <v>45.44</v>
      </c>
    </row>
    <row r="570" spans="1:11" x14ac:dyDescent="0.25">
      <c r="A570" s="25"/>
      <c r="B570" s="25"/>
      <c r="J570" s="17">
        <f t="array" ref="J570">IF(ROW(J570)&lt;=COUNTA(D:D)*2,IF(MOD(ROW(J570),2)=1,INDEX(D:D,(ROW(J570)+1)/2),INDEX(F:F,ROW(J570)/2)),"")</f>
        <v>-567.9</v>
      </c>
      <c r="K570" s="17">
        <f t="array" ref="K570">IF(ROW(K570)&lt;=COUNTA(E:E)*2,IF(MOD(ROW(K570),2)=1,INDEX(E:E,(ROW(K570)+1)/2),INDEX(G:G,ROW(K570)/2)),"")</f>
        <v>45.44</v>
      </c>
    </row>
    <row r="571" spans="1:11" x14ac:dyDescent="0.25">
      <c r="A571" s="25"/>
      <c r="B571" s="25"/>
      <c r="J571" s="17">
        <f t="array" ref="J571">IF(ROW(J571)&lt;=COUNTA(D:D)*2,IF(MOD(ROW(J571),2)=1,INDEX(D:D,(ROW(J571)+1)/2),INDEX(F:F,ROW(J571)/2)),"")</f>
        <v>-567.9</v>
      </c>
      <c r="K571" s="17">
        <f t="array" ref="K571">IF(ROW(K571)&lt;=COUNTA(E:E)*2,IF(MOD(ROW(K571),2)=1,INDEX(E:E,(ROW(K571)+1)/2),INDEX(G:G,ROW(K571)/2)),"")</f>
        <v>46.88</v>
      </c>
    </row>
    <row r="572" spans="1:11" x14ac:dyDescent="0.25">
      <c r="A572" s="25"/>
      <c r="B572" s="25"/>
      <c r="J572" s="17">
        <f t="array" ref="J572">IF(ROW(J572)&lt;=COUNTA(D:D)*2,IF(MOD(ROW(J572),2)=1,INDEX(D:D,(ROW(J572)+1)/2),INDEX(F:F,ROW(J572)/2)),"")</f>
        <v>-569.9</v>
      </c>
      <c r="K572" s="17">
        <f t="array" ref="K572">IF(ROW(K572)&lt;=COUNTA(E:E)*2,IF(MOD(ROW(K572),2)=1,INDEX(E:E,(ROW(K572)+1)/2),INDEX(G:G,ROW(K572)/2)),"")</f>
        <v>46.88</v>
      </c>
    </row>
    <row r="573" spans="1:11" x14ac:dyDescent="0.25">
      <c r="A573" s="25"/>
      <c r="B573" s="25"/>
      <c r="J573" s="17">
        <f t="array" ref="J573">IF(ROW(J573)&lt;=COUNTA(D:D)*2,IF(MOD(ROW(J573),2)=1,INDEX(D:D,(ROW(J573)+1)/2),INDEX(F:F,ROW(J573)/2)),"")</f>
        <v>-569.9</v>
      </c>
      <c r="K573" s="17">
        <f t="array" ref="K573">IF(ROW(K573)&lt;=COUNTA(E:E)*2,IF(MOD(ROW(K573),2)=1,INDEX(E:E,(ROW(K573)+1)/2),INDEX(G:G,ROW(K573)/2)),"")</f>
        <v>46.54</v>
      </c>
    </row>
    <row r="574" spans="1:11" x14ac:dyDescent="0.25">
      <c r="A574" s="25"/>
      <c r="B574" s="25"/>
      <c r="J574" s="17">
        <f t="array" ref="J574">IF(ROW(J574)&lt;=COUNTA(D:D)*2,IF(MOD(ROW(J574),2)=1,INDEX(D:D,(ROW(J574)+1)/2),INDEX(F:F,ROW(J574)/2)),"")</f>
        <v>-571.9</v>
      </c>
      <c r="K574" s="17">
        <f t="array" ref="K574">IF(ROW(K574)&lt;=COUNTA(E:E)*2,IF(MOD(ROW(K574),2)=1,INDEX(E:E,(ROW(K574)+1)/2),INDEX(G:G,ROW(K574)/2)),"")</f>
        <v>46.54</v>
      </c>
    </row>
    <row r="575" spans="1:11" x14ac:dyDescent="0.25">
      <c r="A575" s="25"/>
      <c r="B575" s="25"/>
      <c r="J575" s="17">
        <f t="array" ref="J575">IF(ROW(J575)&lt;=COUNTA(D:D)*2,IF(MOD(ROW(J575),2)=1,INDEX(D:D,(ROW(J575)+1)/2),INDEX(F:F,ROW(J575)/2)),"")</f>
        <v>-571.9</v>
      </c>
      <c r="K575" s="17">
        <f t="array" ref="K575">IF(ROW(K575)&lt;=COUNTA(E:E)*2,IF(MOD(ROW(K575),2)=1,INDEX(E:E,(ROW(K575)+1)/2),INDEX(G:G,ROW(K575)/2)),"")</f>
        <v>45.94</v>
      </c>
    </row>
    <row r="576" spans="1:11" x14ac:dyDescent="0.25">
      <c r="A576" s="25"/>
      <c r="B576" s="25"/>
      <c r="J576" s="17">
        <f t="array" ref="J576">IF(ROW(J576)&lt;=COUNTA(D:D)*2,IF(MOD(ROW(J576),2)=1,INDEX(D:D,(ROW(J576)+1)/2),INDEX(F:F,ROW(J576)/2)),"")</f>
        <v>-573.9</v>
      </c>
      <c r="K576" s="17">
        <f t="array" ref="K576">IF(ROW(K576)&lt;=COUNTA(E:E)*2,IF(MOD(ROW(K576),2)=1,INDEX(E:E,(ROW(K576)+1)/2),INDEX(G:G,ROW(K576)/2)),"")</f>
        <v>45.94</v>
      </c>
    </row>
    <row r="577" spans="1:11" x14ac:dyDescent="0.25">
      <c r="A577" s="25"/>
      <c r="B577" s="25"/>
      <c r="J577" s="17">
        <f t="array" ref="J577">IF(ROW(J577)&lt;=COUNTA(D:D)*2,IF(MOD(ROW(J577),2)=1,INDEX(D:D,(ROW(J577)+1)/2),INDEX(F:F,ROW(J577)/2)),"")</f>
        <v>-573.9</v>
      </c>
      <c r="K577" s="17">
        <f t="array" ref="K577">IF(ROW(K577)&lt;=COUNTA(E:E)*2,IF(MOD(ROW(K577),2)=1,INDEX(E:E,(ROW(K577)+1)/2),INDEX(G:G,ROW(K577)/2)),"")</f>
        <v>46.98</v>
      </c>
    </row>
    <row r="578" spans="1:11" x14ac:dyDescent="0.25">
      <c r="A578" s="25"/>
      <c r="B578" s="25"/>
      <c r="J578" s="17">
        <f t="array" ref="J578">IF(ROW(J578)&lt;=COUNTA(D:D)*2,IF(MOD(ROW(J578),2)=1,INDEX(D:D,(ROW(J578)+1)/2),INDEX(F:F,ROW(J578)/2)),"")</f>
        <v>-575.9</v>
      </c>
      <c r="K578" s="17">
        <f t="array" ref="K578">IF(ROW(K578)&lt;=COUNTA(E:E)*2,IF(MOD(ROW(K578),2)=1,INDEX(E:E,(ROW(K578)+1)/2),INDEX(G:G,ROW(K578)/2)),"")</f>
        <v>46.98</v>
      </c>
    </row>
    <row r="579" spans="1:11" x14ac:dyDescent="0.25">
      <c r="A579" s="25"/>
      <c r="B579" s="25"/>
      <c r="J579" s="17">
        <f t="array" ref="J579">IF(ROW(J579)&lt;=COUNTA(D:D)*2,IF(MOD(ROW(J579),2)=1,INDEX(D:D,(ROW(J579)+1)/2),INDEX(F:F,ROW(J579)/2)),"")</f>
        <v>-575.9</v>
      </c>
      <c r="K579" s="17">
        <f t="array" ref="K579">IF(ROW(K579)&lt;=COUNTA(E:E)*2,IF(MOD(ROW(K579),2)=1,INDEX(E:E,(ROW(K579)+1)/2),INDEX(G:G,ROW(K579)/2)),"")</f>
        <v>47.12</v>
      </c>
    </row>
    <row r="580" spans="1:11" x14ac:dyDescent="0.25">
      <c r="A580" s="25"/>
      <c r="B580" s="25"/>
      <c r="J580" s="17">
        <f t="array" ref="J580">IF(ROW(J580)&lt;=COUNTA(D:D)*2,IF(MOD(ROW(J580),2)=1,INDEX(D:D,(ROW(J580)+1)/2),INDEX(F:F,ROW(J580)/2)),"")</f>
        <v>-577.9</v>
      </c>
      <c r="K580" s="17">
        <f t="array" ref="K580">IF(ROW(K580)&lt;=COUNTA(E:E)*2,IF(MOD(ROW(K580),2)=1,INDEX(E:E,(ROW(K580)+1)/2),INDEX(G:G,ROW(K580)/2)),"")</f>
        <v>47.12</v>
      </c>
    </row>
    <row r="581" spans="1:11" x14ac:dyDescent="0.25">
      <c r="A581" s="25"/>
      <c r="B581" s="25"/>
      <c r="J581" s="17">
        <f t="array" ref="J581">IF(ROW(J581)&lt;=COUNTA(D:D)*2,IF(MOD(ROW(J581),2)=1,INDEX(D:D,(ROW(J581)+1)/2),INDEX(F:F,ROW(J581)/2)),"")</f>
        <v>-577.9</v>
      </c>
      <c r="K581" s="17">
        <f t="array" ref="K581">IF(ROW(K581)&lt;=COUNTA(E:E)*2,IF(MOD(ROW(K581),2)=1,INDEX(E:E,(ROW(K581)+1)/2),INDEX(G:G,ROW(K581)/2)),"")</f>
        <v>46.86</v>
      </c>
    </row>
    <row r="582" spans="1:11" x14ac:dyDescent="0.25">
      <c r="A582" s="25"/>
      <c r="B582" s="25"/>
      <c r="J582" s="17">
        <f t="array" ref="J582">IF(ROW(J582)&lt;=COUNTA(D:D)*2,IF(MOD(ROW(J582),2)=1,INDEX(D:D,(ROW(J582)+1)/2),INDEX(F:F,ROW(J582)/2)),"")</f>
        <v>-579.9</v>
      </c>
      <c r="K582" s="17">
        <f t="array" ref="K582">IF(ROW(K582)&lt;=COUNTA(E:E)*2,IF(MOD(ROW(K582),2)=1,INDEX(E:E,(ROW(K582)+1)/2),INDEX(G:G,ROW(K582)/2)),"")</f>
        <v>46.86</v>
      </c>
    </row>
    <row r="583" spans="1:11" x14ac:dyDescent="0.25">
      <c r="A583" s="25"/>
      <c r="B583" s="25"/>
      <c r="J583" s="17">
        <f t="array" ref="J583">IF(ROW(J583)&lt;=COUNTA(D:D)*2,IF(MOD(ROW(J583),2)=1,INDEX(D:D,(ROW(J583)+1)/2),INDEX(F:F,ROW(J583)/2)),"")</f>
        <v>-579.9</v>
      </c>
      <c r="K583" s="17">
        <f t="array" ref="K583">IF(ROW(K583)&lt;=COUNTA(E:E)*2,IF(MOD(ROW(K583),2)=1,INDEX(E:E,(ROW(K583)+1)/2),INDEX(G:G,ROW(K583)/2)),"")</f>
        <v>47.44</v>
      </c>
    </row>
    <row r="584" spans="1:11" x14ac:dyDescent="0.25">
      <c r="A584" s="25"/>
      <c r="B584" s="25"/>
      <c r="J584" s="17">
        <f t="array" ref="J584">IF(ROW(J584)&lt;=COUNTA(D:D)*2,IF(MOD(ROW(J584),2)=1,INDEX(D:D,(ROW(J584)+1)/2),INDEX(F:F,ROW(J584)/2)),"")</f>
        <v>-581.9</v>
      </c>
      <c r="K584" s="17">
        <f t="array" ref="K584">IF(ROW(K584)&lt;=COUNTA(E:E)*2,IF(MOD(ROW(K584),2)=1,INDEX(E:E,(ROW(K584)+1)/2),INDEX(G:G,ROW(K584)/2)),"")</f>
        <v>47.44</v>
      </c>
    </row>
    <row r="585" spans="1:11" x14ac:dyDescent="0.25">
      <c r="A585" s="25"/>
      <c r="B585" s="25"/>
      <c r="J585" s="17">
        <f t="array" ref="J585">IF(ROW(J585)&lt;=COUNTA(D:D)*2,IF(MOD(ROW(J585),2)=1,INDEX(D:D,(ROW(J585)+1)/2),INDEX(F:F,ROW(J585)/2)),"")</f>
        <v>-581.9</v>
      </c>
      <c r="K585" s="17">
        <f t="array" ref="K585">IF(ROW(K585)&lt;=COUNTA(E:E)*2,IF(MOD(ROW(K585),2)=1,INDEX(E:E,(ROW(K585)+1)/2),INDEX(G:G,ROW(K585)/2)),"")</f>
        <v>47.1</v>
      </c>
    </row>
    <row r="586" spans="1:11" x14ac:dyDescent="0.25">
      <c r="A586" s="25"/>
      <c r="B586" s="25"/>
      <c r="J586" s="17">
        <f t="array" ref="J586">IF(ROW(J586)&lt;=COUNTA(D:D)*2,IF(MOD(ROW(J586),2)=1,INDEX(D:D,(ROW(J586)+1)/2),INDEX(F:F,ROW(J586)/2)),"")</f>
        <v>-583.9</v>
      </c>
      <c r="K586" s="17">
        <f t="array" ref="K586">IF(ROW(K586)&lt;=COUNTA(E:E)*2,IF(MOD(ROW(K586),2)=1,INDEX(E:E,(ROW(K586)+1)/2),INDEX(G:G,ROW(K586)/2)),"")</f>
        <v>47.1</v>
      </c>
    </row>
    <row r="587" spans="1:11" x14ac:dyDescent="0.25">
      <c r="A587" s="25"/>
      <c r="B587" s="25"/>
      <c r="J587" s="17">
        <f t="array" ref="J587">IF(ROW(J587)&lt;=COUNTA(D:D)*2,IF(MOD(ROW(J587),2)=1,INDEX(D:D,(ROW(J587)+1)/2),INDEX(F:F,ROW(J587)/2)),"")</f>
        <v>-583.9</v>
      </c>
      <c r="K587" s="17">
        <f t="array" ref="K587">IF(ROW(K587)&lt;=COUNTA(E:E)*2,IF(MOD(ROW(K587),2)=1,INDEX(E:E,(ROW(K587)+1)/2),INDEX(G:G,ROW(K587)/2)),"")</f>
        <v>47.98</v>
      </c>
    </row>
    <row r="588" spans="1:11" x14ac:dyDescent="0.25">
      <c r="A588" s="25"/>
      <c r="B588" s="25"/>
      <c r="J588" s="17">
        <f t="array" ref="J588">IF(ROW(J588)&lt;=COUNTA(D:D)*2,IF(MOD(ROW(J588),2)=1,INDEX(D:D,(ROW(J588)+1)/2),INDEX(F:F,ROW(J588)/2)),"")</f>
        <v>-585.9</v>
      </c>
      <c r="K588" s="17">
        <f t="array" ref="K588">IF(ROW(K588)&lt;=COUNTA(E:E)*2,IF(MOD(ROW(K588),2)=1,INDEX(E:E,(ROW(K588)+1)/2),INDEX(G:G,ROW(K588)/2)),"")</f>
        <v>47.98</v>
      </c>
    </row>
    <row r="589" spans="1:11" x14ac:dyDescent="0.25">
      <c r="A589" s="25"/>
      <c r="B589" s="25"/>
      <c r="J589" s="17">
        <f t="array" ref="J589">IF(ROW(J589)&lt;=COUNTA(D:D)*2,IF(MOD(ROW(J589),2)=1,INDEX(D:D,(ROW(J589)+1)/2),INDEX(F:F,ROW(J589)/2)),"")</f>
        <v>-585.9</v>
      </c>
      <c r="K589" s="17">
        <f t="array" ref="K589">IF(ROW(K589)&lt;=COUNTA(E:E)*2,IF(MOD(ROW(K589),2)=1,INDEX(E:E,(ROW(K589)+1)/2),INDEX(G:G,ROW(K589)/2)),"")</f>
        <v>47.88</v>
      </c>
    </row>
    <row r="590" spans="1:11" x14ac:dyDescent="0.25">
      <c r="A590" s="25"/>
      <c r="B590" s="25"/>
      <c r="J590" s="17">
        <f t="array" ref="J590">IF(ROW(J590)&lt;=COUNTA(D:D)*2,IF(MOD(ROW(J590),2)=1,INDEX(D:D,(ROW(J590)+1)/2),INDEX(F:F,ROW(J590)/2)),"")</f>
        <v>-587.9</v>
      </c>
      <c r="K590" s="17">
        <f t="array" ref="K590">IF(ROW(K590)&lt;=COUNTA(E:E)*2,IF(MOD(ROW(K590),2)=1,INDEX(E:E,(ROW(K590)+1)/2),INDEX(G:G,ROW(K590)/2)),"")</f>
        <v>47.88</v>
      </c>
    </row>
    <row r="591" spans="1:11" x14ac:dyDescent="0.25">
      <c r="A591" s="25"/>
      <c r="B591" s="25"/>
      <c r="J591" s="17">
        <f t="array" ref="J591">IF(ROW(J591)&lt;=COUNTA(D:D)*2,IF(MOD(ROW(J591),2)=1,INDEX(D:D,(ROW(J591)+1)/2),INDEX(F:F,ROW(J591)/2)),"")</f>
        <v>-587.9</v>
      </c>
      <c r="K591" s="17">
        <f t="array" ref="K591">IF(ROW(K591)&lt;=COUNTA(E:E)*2,IF(MOD(ROW(K591),2)=1,INDEX(E:E,(ROW(K591)+1)/2),INDEX(G:G,ROW(K591)/2)),"")</f>
        <v>47.54</v>
      </c>
    </row>
    <row r="592" spans="1:11" x14ac:dyDescent="0.25">
      <c r="A592" s="25"/>
      <c r="B592" s="25"/>
      <c r="J592" s="17">
        <f t="array" ref="J592">IF(ROW(J592)&lt;=COUNTA(D:D)*2,IF(MOD(ROW(J592),2)=1,INDEX(D:D,(ROW(J592)+1)/2),INDEX(F:F,ROW(J592)/2)),"")</f>
        <v>-589.9</v>
      </c>
      <c r="K592" s="17">
        <f t="array" ref="K592">IF(ROW(K592)&lt;=COUNTA(E:E)*2,IF(MOD(ROW(K592),2)=1,INDEX(E:E,(ROW(K592)+1)/2),INDEX(G:G,ROW(K592)/2)),"")</f>
        <v>47.54</v>
      </c>
    </row>
    <row r="593" spans="1:11" x14ac:dyDescent="0.25">
      <c r="A593" s="25"/>
      <c r="B593" s="25"/>
      <c r="J593" s="17">
        <f t="array" ref="J593">IF(ROW(J593)&lt;=COUNTA(D:D)*2,IF(MOD(ROW(J593),2)=1,INDEX(D:D,(ROW(J593)+1)/2),INDEX(F:F,ROW(J593)/2)),"")</f>
        <v>-589.9</v>
      </c>
      <c r="K593" s="17">
        <f t="array" ref="K593">IF(ROW(K593)&lt;=COUNTA(E:E)*2,IF(MOD(ROW(K593),2)=1,INDEX(E:E,(ROW(K593)+1)/2),INDEX(G:G,ROW(K593)/2)),"")</f>
        <v>46.68</v>
      </c>
    </row>
    <row r="594" spans="1:11" x14ac:dyDescent="0.25">
      <c r="A594" s="25"/>
      <c r="B594" s="25"/>
      <c r="J594" s="17">
        <f t="array" ref="J594">IF(ROW(J594)&lt;=COUNTA(D:D)*2,IF(MOD(ROW(J594),2)=1,INDEX(D:D,(ROW(J594)+1)/2),INDEX(F:F,ROW(J594)/2)),"")</f>
        <v>-591.9</v>
      </c>
      <c r="K594" s="17">
        <f t="array" ref="K594">IF(ROW(K594)&lt;=COUNTA(E:E)*2,IF(MOD(ROW(K594),2)=1,INDEX(E:E,(ROW(K594)+1)/2),INDEX(G:G,ROW(K594)/2)),"")</f>
        <v>46.68</v>
      </c>
    </row>
    <row r="595" spans="1:11" x14ac:dyDescent="0.25">
      <c r="A595" s="25"/>
      <c r="B595" s="25"/>
      <c r="J595" s="17">
        <f t="array" ref="J595">IF(ROW(J595)&lt;=COUNTA(D:D)*2,IF(MOD(ROW(J595),2)=1,INDEX(D:D,(ROW(J595)+1)/2),INDEX(F:F,ROW(J595)/2)),"")</f>
        <v>-591.9</v>
      </c>
      <c r="K595" s="17">
        <f t="array" ref="K595">IF(ROW(K595)&lt;=COUNTA(E:E)*2,IF(MOD(ROW(K595),2)=1,INDEX(E:E,(ROW(K595)+1)/2),INDEX(G:G,ROW(K595)/2)),"")</f>
        <v>47.04</v>
      </c>
    </row>
    <row r="596" spans="1:11" x14ac:dyDescent="0.25">
      <c r="A596" s="25"/>
      <c r="B596" s="25"/>
      <c r="J596" s="17">
        <f t="array" ref="J596">IF(ROW(J596)&lt;=COUNTA(D:D)*2,IF(MOD(ROW(J596),2)=1,INDEX(D:D,(ROW(J596)+1)/2),INDEX(F:F,ROW(J596)/2)),"")</f>
        <v>-593.9</v>
      </c>
      <c r="K596" s="17">
        <f t="array" ref="K596">IF(ROW(K596)&lt;=COUNTA(E:E)*2,IF(MOD(ROW(K596),2)=1,INDEX(E:E,(ROW(K596)+1)/2),INDEX(G:G,ROW(K596)/2)),"")</f>
        <v>47.04</v>
      </c>
    </row>
    <row r="597" spans="1:11" x14ac:dyDescent="0.25">
      <c r="A597" s="25"/>
      <c r="B597" s="25"/>
      <c r="J597" s="17">
        <f t="array" ref="J597">IF(ROW(J597)&lt;=COUNTA(D:D)*2,IF(MOD(ROW(J597),2)=1,INDEX(D:D,(ROW(J597)+1)/2),INDEX(F:F,ROW(J597)/2)),"")</f>
        <v>-593.9</v>
      </c>
      <c r="K597" s="17">
        <f t="array" ref="K597">IF(ROW(K597)&lt;=COUNTA(E:E)*2,IF(MOD(ROW(K597),2)=1,INDEX(E:E,(ROW(K597)+1)/2),INDEX(G:G,ROW(K597)/2)),"")</f>
        <v>47.02</v>
      </c>
    </row>
    <row r="598" spans="1:11" x14ac:dyDescent="0.25">
      <c r="A598" s="25"/>
      <c r="B598" s="25"/>
      <c r="J598" s="17">
        <f t="array" ref="J598">IF(ROW(J598)&lt;=COUNTA(D:D)*2,IF(MOD(ROW(J598),2)=1,INDEX(D:D,(ROW(J598)+1)/2),INDEX(F:F,ROW(J598)/2)),"")</f>
        <v>-595.9</v>
      </c>
      <c r="K598" s="17">
        <f t="array" ref="K598">IF(ROW(K598)&lt;=COUNTA(E:E)*2,IF(MOD(ROW(K598),2)=1,INDEX(E:E,(ROW(K598)+1)/2),INDEX(G:G,ROW(K598)/2)),"")</f>
        <v>47.02</v>
      </c>
    </row>
    <row r="599" spans="1:11" x14ac:dyDescent="0.25">
      <c r="A599" s="25"/>
      <c r="B599" s="25"/>
      <c r="J599" s="17">
        <f t="array" ref="J599">IF(ROW(J599)&lt;=COUNTA(D:D)*2,IF(MOD(ROW(J599),2)=1,INDEX(D:D,(ROW(J599)+1)/2),INDEX(F:F,ROW(J599)/2)),"")</f>
        <v>-595.9</v>
      </c>
      <c r="K599" s="17">
        <f t="array" ref="K599">IF(ROW(K599)&lt;=COUNTA(E:E)*2,IF(MOD(ROW(K599),2)=1,INDEX(E:E,(ROW(K599)+1)/2),INDEX(G:G,ROW(K599)/2)),"")</f>
        <v>46.48</v>
      </c>
    </row>
    <row r="600" spans="1:11" x14ac:dyDescent="0.25">
      <c r="A600" s="25"/>
      <c r="B600" s="25"/>
      <c r="J600" s="17">
        <f t="array" ref="J600">IF(ROW(J600)&lt;=COUNTA(D:D)*2,IF(MOD(ROW(J600),2)=1,INDEX(D:D,(ROW(J600)+1)/2),INDEX(F:F,ROW(J600)/2)),"")</f>
        <v>-597.9</v>
      </c>
      <c r="K600" s="17">
        <f t="array" ref="K600">IF(ROW(K600)&lt;=COUNTA(E:E)*2,IF(MOD(ROW(K600),2)=1,INDEX(E:E,(ROW(K600)+1)/2),INDEX(G:G,ROW(K600)/2)),"")</f>
        <v>46.48</v>
      </c>
    </row>
    <row r="601" spans="1:11" x14ac:dyDescent="0.25">
      <c r="A601" s="25"/>
      <c r="B601" s="25"/>
      <c r="J601" s="17">
        <f t="array" ref="J601">IF(ROW(J601)&lt;=COUNTA(D:D)*2,IF(MOD(ROW(J601),2)=1,INDEX(D:D,(ROW(J601)+1)/2),INDEX(F:F,ROW(J601)/2)),"")</f>
        <v>-597.9</v>
      </c>
      <c r="K601" s="17">
        <f t="array" ref="K601">IF(ROW(K601)&lt;=COUNTA(E:E)*2,IF(MOD(ROW(K601),2)=1,INDEX(E:E,(ROW(K601)+1)/2),INDEX(G:G,ROW(K601)/2)),"")</f>
        <v>45.94</v>
      </c>
    </row>
    <row r="602" spans="1:11" x14ac:dyDescent="0.25">
      <c r="A602" s="25"/>
      <c r="B602" s="25"/>
      <c r="J602" s="17">
        <f t="array" ref="J602">IF(ROW(J602)&lt;=COUNTA(D:D)*2,IF(MOD(ROW(J602),2)=1,INDEX(D:D,(ROW(J602)+1)/2),INDEX(F:F,ROW(J602)/2)),"")</f>
        <v>-599.9</v>
      </c>
      <c r="K602" s="17">
        <f t="array" ref="K602">IF(ROW(K602)&lt;=COUNTA(E:E)*2,IF(MOD(ROW(K602),2)=1,INDEX(E:E,(ROW(K602)+1)/2),INDEX(G:G,ROW(K602)/2)),"")</f>
        <v>45.94</v>
      </c>
    </row>
    <row r="603" spans="1:11" x14ac:dyDescent="0.25">
      <c r="A603" s="25"/>
      <c r="B603" s="25"/>
      <c r="J603" s="17">
        <f t="array" ref="J603">IF(ROW(J603)&lt;=COUNTA(D:D)*2,IF(MOD(ROW(J603),2)=1,INDEX(D:D,(ROW(J603)+1)/2),INDEX(F:F,ROW(J603)/2)),"")</f>
        <v>-599.9</v>
      </c>
      <c r="K603" s="17">
        <f t="array" ref="K603">IF(ROW(K603)&lt;=COUNTA(E:E)*2,IF(MOD(ROW(K603),2)=1,INDEX(E:E,(ROW(K603)+1)/2),INDEX(G:G,ROW(K603)/2)),"")</f>
        <v>47.74</v>
      </c>
    </row>
    <row r="604" spans="1:11" x14ac:dyDescent="0.25">
      <c r="A604" s="25"/>
      <c r="B604" s="25"/>
      <c r="J604" s="17">
        <f t="array" ref="J604">IF(ROW(J604)&lt;=COUNTA(D:D)*2,IF(MOD(ROW(J604),2)=1,INDEX(D:D,(ROW(J604)+1)/2),INDEX(F:F,ROW(J604)/2)),"")</f>
        <v>-601.9</v>
      </c>
      <c r="K604" s="17">
        <f t="array" ref="K604">IF(ROW(K604)&lt;=COUNTA(E:E)*2,IF(MOD(ROW(K604),2)=1,INDEX(E:E,(ROW(K604)+1)/2),INDEX(G:G,ROW(K604)/2)),"")</f>
        <v>47.74</v>
      </c>
    </row>
    <row r="605" spans="1:11" x14ac:dyDescent="0.25">
      <c r="A605" s="25"/>
      <c r="B605" s="25"/>
      <c r="J605" s="17">
        <f t="array" ref="J605">IF(ROW(J605)&lt;=COUNTA(D:D)*2,IF(MOD(ROW(J605),2)=1,INDEX(D:D,(ROW(J605)+1)/2),INDEX(F:F,ROW(J605)/2)),"")</f>
        <v>-601.9</v>
      </c>
      <c r="K605" s="17">
        <f t="array" ref="K605">IF(ROW(K605)&lt;=COUNTA(E:E)*2,IF(MOD(ROW(K605),2)=1,INDEX(E:E,(ROW(K605)+1)/2),INDEX(G:G,ROW(K605)/2)),"")</f>
        <v>48.18</v>
      </c>
    </row>
    <row r="606" spans="1:11" x14ac:dyDescent="0.25">
      <c r="A606" s="25"/>
      <c r="B606" s="25"/>
      <c r="J606" s="17">
        <f t="array" ref="J606">IF(ROW(J606)&lt;=COUNTA(D:D)*2,IF(MOD(ROW(J606),2)=1,INDEX(D:D,(ROW(J606)+1)/2),INDEX(F:F,ROW(J606)/2)),"")</f>
        <v>-603.9</v>
      </c>
      <c r="K606" s="17">
        <f t="array" ref="K606">IF(ROW(K606)&lt;=COUNTA(E:E)*2,IF(MOD(ROW(K606),2)=1,INDEX(E:E,(ROW(K606)+1)/2),INDEX(G:G,ROW(K606)/2)),"")</f>
        <v>48.18</v>
      </c>
    </row>
    <row r="607" spans="1:11" x14ac:dyDescent="0.25">
      <c r="A607" s="25"/>
      <c r="B607" s="25"/>
      <c r="J607" s="17">
        <f t="array" ref="J607">IF(ROW(J607)&lt;=COUNTA(D:D)*2,IF(MOD(ROW(J607),2)=1,INDEX(D:D,(ROW(J607)+1)/2),INDEX(F:F,ROW(J607)/2)),"")</f>
        <v>-603.9</v>
      </c>
      <c r="K607" s="17">
        <f t="array" ref="K607">IF(ROW(K607)&lt;=COUNTA(E:E)*2,IF(MOD(ROW(K607),2)=1,INDEX(E:E,(ROW(K607)+1)/2),INDEX(G:G,ROW(K607)/2)),"")</f>
        <v>47.94</v>
      </c>
    </row>
    <row r="608" spans="1:11" x14ac:dyDescent="0.25">
      <c r="A608" s="25"/>
      <c r="B608" s="25"/>
      <c r="J608" s="17">
        <f t="array" ref="J608">IF(ROW(J608)&lt;=COUNTA(D:D)*2,IF(MOD(ROW(J608),2)=1,INDEX(D:D,(ROW(J608)+1)/2),INDEX(F:F,ROW(J608)/2)),"")</f>
        <v>-605.9</v>
      </c>
      <c r="K608" s="17">
        <f t="array" ref="K608">IF(ROW(K608)&lt;=COUNTA(E:E)*2,IF(MOD(ROW(K608),2)=1,INDEX(E:E,(ROW(K608)+1)/2),INDEX(G:G,ROW(K608)/2)),"")</f>
        <v>47.94</v>
      </c>
    </row>
    <row r="609" spans="1:11" x14ac:dyDescent="0.25">
      <c r="A609" s="25"/>
      <c r="B609" s="25"/>
      <c r="J609" s="17">
        <f t="array" ref="J609">IF(ROW(J609)&lt;=COUNTA(D:D)*2,IF(MOD(ROW(J609),2)=1,INDEX(D:D,(ROW(J609)+1)/2),INDEX(F:F,ROW(J609)/2)),"")</f>
        <v>-605.9</v>
      </c>
      <c r="K609" s="17">
        <f t="array" ref="K609">IF(ROW(K609)&lt;=COUNTA(E:E)*2,IF(MOD(ROW(K609),2)=1,INDEX(E:E,(ROW(K609)+1)/2),INDEX(G:G,ROW(K609)/2)),"")</f>
        <v>47.4</v>
      </c>
    </row>
    <row r="610" spans="1:11" x14ac:dyDescent="0.25">
      <c r="A610" s="25"/>
      <c r="B610" s="25"/>
      <c r="J610" s="17">
        <f t="array" ref="J610">IF(ROW(J610)&lt;=COUNTA(D:D)*2,IF(MOD(ROW(J610),2)=1,INDEX(D:D,(ROW(J610)+1)/2),INDEX(F:F,ROW(J610)/2)),"")</f>
        <v>-607.9</v>
      </c>
      <c r="K610" s="17">
        <f t="array" ref="K610">IF(ROW(K610)&lt;=COUNTA(E:E)*2,IF(MOD(ROW(K610),2)=1,INDEX(E:E,(ROW(K610)+1)/2),INDEX(G:G,ROW(K610)/2)),"")</f>
        <v>47.4</v>
      </c>
    </row>
    <row r="611" spans="1:11" x14ac:dyDescent="0.25">
      <c r="A611" s="25"/>
      <c r="B611" s="25"/>
      <c r="J611" s="17">
        <f t="array" ref="J611">IF(ROW(J611)&lt;=COUNTA(D:D)*2,IF(MOD(ROW(J611),2)=1,INDEX(D:D,(ROW(J611)+1)/2),INDEX(F:F,ROW(J611)/2)),"")</f>
        <v>-607.9</v>
      </c>
      <c r="K611" s="17">
        <f t="array" ref="K611">IF(ROW(K611)&lt;=COUNTA(E:E)*2,IF(MOD(ROW(K611),2)=1,INDEX(E:E,(ROW(K611)+1)/2),INDEX(G:G,ROW(K611)/2)),"")</f>
        <v>46.92</v>
      </c>
    </row>
    <row r="612" spans="1:11" x14ac:dyDescent="0.25">
      <c r="A612" s="25"/>
      <c r="B612" s="25"/>
      <c r="J612" s="17">
        <f t="array" ref="J612">IF(ROW(J612)&lt;=COUNTA(D:D)*2,IF(MOD(ROW(J612),2)=1,INDEX(D:D,(ROW(J612)+1)/2),INDEX(F:F,ROW(J612)/2)),"")</f>
        <v>-609.9</v>
      </c>
      <c r="K612" s="17">
        <f t="array" ref="K612">IF(ROW(K612)&lt;=COUNTA(E:E)*2,IF(MOD(ROW(K612),2)=1,INDEX(E:E,(ROW(K612)+1)/2),INDEX(G:G,ROW(K612)/2)),"")</f>
        <v>46.92</v>
      </c>
    </row>
    <row r="613" spans="1:11" x14ac:dyDescent="0.25">
      <c r="A613" s="25"/>
      <c r="B613" s="25"/>
      <c r="J613" s="17">
        <f t="array" ref="J613">IF(ROW(J613)&lt;=COUNTA(D:D)*2,IF(MOD(ROW(J613),2)=1,INDEX(D:D,(ROW(J613)+1)/2),INDEX(F:F,ROW(J613)/2)),"")</f>
        <v>-609.9</v>
      </c>
      <c r="K613" s="17">
        <f t="array" ref="K613">IF(ROW(K613)&lt;=COUNTA(E:E)*2,IF(MOD(ROW(K613),2)=1,INDEX(E:E,(ROW(K613)+1)/2),INDEX(G:G,ROW(K613)/2)),"")</f>
        <v>47.3</v>
      </c>
    </row>
    <row r="614" spans="1:11" x14ac:dyDescent="0.25">
      <c r="A614" s="25"/>
      <c r="B614" s="25"/>
      <c r="J614" s="17">
        <f t="array" ref="J614">IF(ROW(J614)&lt;=COUNTA(D:D)*2,IF(MOD(ROW(J614),2)=1,INDEX(D:D,(ROW(J614)+1)/2),INDEX(F:F,ROW(J614)/2)),"")</f>
        <v>-611.9</v>
      </c>
      <c r="K614" s="17">
        <f t="array" ref="K614">IF(ROW(K614)&lt;=COUNTA(E:E)*2,IF(MOD(ROW(K614),2)=1,INDEX(E:E,(ROW(K614)+1)/2),INDEX(G:G,ROW(K614)/2)),"")</f>
        <v>47.3</v>
      </c>
    </row>
    <row r="615" spans="1:11" x14ac:dyDescent="0.25">
      <c r="A615" s="25"/>
      <c r="B615" s="25"/>
      <c r="J615" s="17">
        <f t="array" ref="J615">IF(ROW(J615)&lt;=COUNTA(D:D)*2,IF(MOD(ROW(J615),2)=1,INDEX(D:D,(ROW(J615)+1)/2),INDEX(F:F,ROW(J615)/2)),"")</f>
        <v>-611.9</v>
      </c>
      <c r="K615" s="17">
        <f t="array" ref="K615">IF(ROW(K615)&lt;=COUNTA(E:E)*2,IF(MOD(ROW(K615),2)=1,INDEX(E:E,(ROW(K615)+1)/2),INDEX(G:G,ROW(K615)/2)),"")</f>
        <v>48.4</v>
      </c>
    </row>
    <row r="616" spans="1:11" x14ac:dyDescent="0.25">
      <c r="A616" s="25"/>
      <c r="B616" s="25"/>
      <c r="J616" s="17">
        <f t="array" ref="J616">IF(ROW(J616)&lt;=COUNTA(D:D)*2,IF(MOD(ROW(J616),2)=1,INDEX(D:D,(ROW(J616)+1)/2),INDEX(F:F,ROW(J616)/2)),"")</f>
        <v>-613.9</v>
      </c>
      <c r="K616" s="17">
        <f t="array" ref="K616">IF(ROW(K616)&lt;=COUNTA(E:E)*2,IF(MOD(ROW(K616),2)=1,INDEX(E:E,(ROW(K616)+1)/2),INDEX(G:G,ROW(K616)/2)),"")</f>
        <v>48.4</v>
      </c>
    </row>
    <row r="617" spans="1:11" x14ac:dyDescent="0.25">
      <c r="A617" s="25"/>
      <c r="B617" s="25"/>
      <c r="J617" s="17">
        <f t="array" ref="J617">IF(ROW(J617)&lt;=COUNTA(D:D)*2,IF(MOD(ROW(J617),2)=1,INDEX(D:D,(ROW(J617)+1)/2),INDEX(F:F,ROW(J617)/2)),"")</f>
        <v>-613.9</v>
      </c>
      <c r="K617" s="17">
        <f t="array" ref="K617">IF(ROW(K617)&lt;=COUNTA(E:E)*2,IF(MOD(ROW(K617),2)=1,INDEX(E:E,(ROW(K617)+1)/2),INDEX(G:G,ROW(K617)/2)),"")</f>
        <v>48.44</v>
      </c>
    </row>
    <row r="618" spans="1:11" x14ac:dyDescent="0.25">
      <c r="A618" s="25"/>
      <c r="B618" s="25"/>
      <c r="J618" s="17">
        <f t="array" ref="J618">IF(ROW(J618)&lt;=COUNTA(D:D)*2,IF(MOD(ROW(J618),2)=1,INDEX(D:D,(ROW(J618)+1)/2),INDEX(F:F,ROW(J618)/2)),"")</f>
        <v>-615.9</v>
      </c>
      <c r="K618" s="17">
        <f t="array" ref="K618">IF(ROW(K618)&lt;=COUNTA(E:E)*2,IF(MOD(ROW(K618),2)=1,INDEX(E:E,(ROW(K618)+1)/2),INDEX(G:G,ROW(K618)/2)),"")</f>
        <v>48.44</v>
      </c>
    </row>
    <row r="619" spans="1:11" x14ac:dyDescent="0.25">
      <c r="A619" s="25"/>
      <c r="B619" s="25"/>
      <c r="J619" s="17">
        <f t="array" ref="J619">IF(ROW(J619)&lt;=COUNTA(D:D)*2,IF(MOD(ROW(J619),2)=1,INDEX(D:D,(ROW(J619)+1)/2),INDEX(F:F,ROW(J619)/2)),"")</f>
        <v>-615.9</v>
      </c>
      <c r="K619" s="17">
        <f t="array" ref="K619">IF(ROW(K619)&lt;=COUNTA(E:E)*2,IF(MOD(ROW(K619),2)=1,INDEX(E:E,(ROW(K619)+1)/2),INDEX(G:G,ROW(K619)/2)),"")</f>
        <v>48.66</v>
      </c>
    </row>
    <row r="620" spans="1:11" x14ac:dyDescent="0.25">
      <c r="A620" s="25"/>
      <c r="B620" s="25"/>
      <c r="J620" s="17">
        <f t="array" ref="J620">IF(ROW(J620)&lt;=COUNTA(D:D)*2,IF(MOD(ROW(J620),2)=1,INDEX(D:D,(ROW(J620)+1)/2),INDEX(F:F,ROW(J620)/2)),"")</f>
        <v>-617.9</v>
      </c>
      <c r="K620" s="17">
        <f t="array" ref="K620">IF(ROW(K620)&lt;=COUNTA(E:E)*2,IF(MOD(ROW(K620),2)=1,INDEX(E:E,(ROW(K620)+1)/2),INDEX(G:G,ROW(K620)/2)),"")</f>
        <v>48.66</v>
      </c>
    </row>
    <row r="621" spans="1:11" x14ac:dyDescent="0.25">
      <c r="A621" s="25"/>
      <c r="B621" s="25"/>
      <c r="J621" s="17">
        <f t="array" ref="J621">IF(ROW(J621)&lt;=COUNTA(D:D)*2,IF(MOD(ROW(J621),2)=1,INDEX(D:D,(ROW(J621)+1)/2),INDEX(F:F,ROW(J621)/2)),"")</f>
        <v>-617.9</v>
      </c>
      <c r="K621" s="17">
        <f t="array" ref="K621">IF(ROW(K621)&lt;=COUNTA(E:E)*2,IF(MOD(ROW(K621),2)=1,INDEX(E:E,(ROW(K621)+1)/2),INDEX(G:G,ROW(K621)/2)),"")</f>
        <v>48.22</v>
      </c>
    </row>
    <row r="622" spans="1:11" x14ac:dyDescent="0.25">
      <c r="A622" s="25"/>
      <c r="B622" s="25"/>
      <c r="J622" s="17">
        <f t="array" ref="J622">IF(ROW(J622)&lt;=COUNTA(D:D)*2,IF(MOD(ROW(J622),2)=1,INDEX(D:D,(ROW(J622)+1)/2),INDEX(F:F,ROW(J622)/2)),"")</f>
        <v>-619.9</v>
      </c>
      <c r="K622" s="17">
        <f t="array" ref="K622">IF(ROW(K622)&lt;=COUNTA(E:E)*2,IF(MOD(ROW(K622),2)=1,INDEX(E:E,(ROW(K622)+1)/2),INDEX(G:G,ROW(K622)/2)),"")</f>
        <v>48.22</v>
      </c>
    </row>
    <row r="623" spans="1:11" x14ac:dyDescent="0.25">
      <c r="A623" s="25"/>
      <c r="B623" s="25"/>
      <c r="J623" s="17">
        <f t="array" ref="J623">IF(ROW(J623)&lt;=COUNTA(D:D)*2,IF(MOD(ROW(J623),2)=1,INDEX(D:D,(ROW(J623)+1)/2),INDEX(F:F,ROW(J623)/2)),"")</f>
        <v>-619.9</v>
      </c>
      <c r="K623" s="17">
        <f t="array" ref="K623">IF(ROW(K623)&lt;=COUNTA(E:E)*2,IF(MOD(ROW(K623),2)=1,INDEX(E:E,(ROW(K623)+1)/2),INDEX(G:G,ROW(K623)/2)),"")</f>
        <v>48</v>
      </c>
    </row>
    <row r="624" spans="1:11" x14ac:dyDescent="0.25">
      <c r="A624" s="25"/>
      <c r="B624" s="25"/>
      <c r="J624" s="17">
        <f t="array" ref="J624">IF(ROW(J624)&lt;=COUNTA(D:D)*2,IF(MOD(ROW(J624),2)=1,INDEX(D:D,(ROW(J624)+1)/2),INDEX(F:F,ROW(J624)/2)),"")</f>
        <v>-621.9</v>
      </c>
      <c r="K624" s="17">
        <f t="array" ref="K624">IF(ROW(K624)&lt;=COUNTA(E:E)*2,IF(MOD(ROW(K624),2)=1,INDEX(E:E,(ROW(K624)+1)/2),INDEX(G:G,ROW(K624)/2)),"")</f>
        <v>48</v>
      </c>
    </row>
    <row r="625" spans="1:11" x14ac:dyDescent="0.25">
      <c r="A625" s="25"/>
      <c r="B625" s="25"/>
      <c r="J625" s="17">
        <f t="array" ref="J625">IF(ROW(J625)&lt;=COUNTA(D:D)*2,IF(MOD(ROW(J625),2)=1,INDEX(D:D,(ROW(J625)+1)/2),INDEX(F:F,ROW(J625)/2)),"")</f>
        <v>-621.9</v>
      </c>
      <c r="K625" s="17">
        <f t="array" ref="K625">IF(ROW(K625)&lt;=COUNTA(E:E)*2,IF(MOD(ROW(K625),2)=1,INDEX(E:E,(ROW(K625)+1)/2),INDEX(G:G,ROW(K625)/2)),"")</f>
        <v>47.8</v>
      </c>
    </row>
    <row r="626" spans="1:11" x14ac:dyDescent="0.25">
      <c r="A626" s="25"/>
      <c r="B626" s="25"/>
      <c r="J626" s="17">
        <f t="array" ref="J626">IF(ROW(J626)&lt;=COUNTA(D:D)*2,IF(MOD(ROW(J626),2)=1,INDEX(D:D,(ROW(J626)+1)/2),INDEX(F:F,ROW(J626)/2)),"")</f>
        <v>-623.9</v>
      </c>
      <c r="K626" s="17">
        <f t="array" ref="K626">IF(ROW(K626)&lt;=COUNTA(E:E)*2,IF(MOD(ROW(K626),2)=1,INDEX(E:E,(ROW(K626)+1)/2),INDEX(G:G,ROW(K626)/2)),"")</f>
        <v>47.8</v>
      </c>
    </row>
    <row r="627" spans="1:11" x14ac:dyDescent="0.25">
      <c r="A627" s="25"/>
      <c r="B627" s="25"/>
      <c r="J627" s="17">
        <f t="array" ref="J627">IF(ROW(J627)&lt;=COUNTA(D:D)*2,IF(MOD(ROW(J627),2)=1,INDEX(D:D,(ROW(J627)+1)/2),INDEX(F:F,ROW(J627)/2)),"")</f>
        <v>-623.9</v>
      </c>
      <c r="K627" s="17">
        <f t="array" ref="K627">IF(ROW(K627)&lt;=COUNTA(E:E)*2,IF(MOD(ROW(K627),2)=1,INDEX(E:E,(ROW(K627)+1)/2),INDEX(G:G,ROW(K627)/2)),"")</f>
        <v>48.72</v>
      </c>
    </row>
    <row r="628" spans="1:11" x14ac:dyDescent="0.25">
      <c r="A628" s="25"/>
      <c r="B628" s="25"/>
      <c r="J628" s="17">
        <f t="array" ref="J628">IF(ROW(J628)&lt;=COUNTA(D:D)*2,IF(MOD(ROW(J628),2)=1,INDEX(D:D,(ROW(J628)+1)/2),INDEX(F:F,ROW(J628)/2)),"")</f>
        <v>-625.9</v>
      </c>
      <c r="K628" s="17">
        <f t="array" ref="K628">IF(ROW(K628)&lt;=COUNTA(E:E)*2,IF(MOD(ROW(K628),2)=1,INDEX(E:E,(ROW(K628)+1)/2),INDEX(G:G,ROW(K628)/2)),"")</f>
        <v>48.72</v>
      </c>
    </row>
    <row r="629" spans="1:11" x14ac:dyDescent="0.25">
      <c r="A629" s="25"/>
      <c r="B629" s="25"/>
      <c r="J629" s="17">
        <f t="array" ref="J629">IF(ROW(J629)&lt;=COUNTA(D:D)*2,IF(MOD(ROW(J629),2)=1,INDEX(D:D,(ROW(J629)+1)/2),INDEX(F:F,ROW(J629)/2)),"")</f>
        <v>-625.9</v>
      </c>
      <c r="K629" s="17">
        <f t="array" ref="K629">IF(ROW(K629)&lt;=COUNTA(E:E)*2,IF(MOD(ROW(K629),2)=1,INDEX(E:E,(ROW(K629)+1)/2),INDEX(G:G,ROW(K629)/2)),"")</f>
        <v>47.76</v>
      </c>
    </row>
    <row r="630" spans="1:11" x14ac:dyDescent="0.25">
      <c r="A630" s="25"/>
      <c r="B630" s="25"/>
      <c r="J630" s="17">
        <f t="array" ref="J630">IF(ROW(J630)&lt;=COUNTA(D:D)*2,IF(MOD(ROW(J630),2)=1,INDEX(D:D,(ROW(J630)+1)/2),INDEX(F:F,ROW(J630)/2)),"")</f>
        <v>-627.9</v>
      </c>
      <c r="K630" s="17">
        <f t="array" ref="K630">IF(ROW(K630)&lt;=COUNTA(E:E)*2,IF(MOD(ROW(K630),2)=1,INDEX(E:E,(ROW(K630)+1)/2),INDEX(G:G,ROW(K630)/2)),"")</f>
        <v>47.76</v>
      </c>
    </row>
    <row r="631" spans="1:11" x14ac:dyDescent="0.25">
      <c r="A631" s="25"/>
      <c r="B631" s="25"/>
      <c r="J631" s="17">
        <f t="array" ref="J631">IF(ROW(J631)&lt;=COUNTA(D:D)*2,IF(MOD(ROW(J631),2)=1,INDEX(D:D,(ROW(J631)+1)/2),INDEX(F:F,ROW(J631)/2)),"")</f>
        <v>-627.9</v>
      </c>
      <c r="K631" s="17">
        <f t="array" ref="K631">IF(ROW(K631)&lt;=COUNTA(E:E)*2,IF(MOD(ROW(K631),2)=1,INDEX(E:E,(ROW(K631)+1)/2),INDEX(G:G,ROW(K631)/2)),"")</f>
        <v>47.36</v>
      </c>
    </row>
    <row r="632" spans="1:11" x14ac:dyDescent="0.25">
      <c r="A632" s="25"/>
      <c r="B632" s="25"/>
      <c r="J632" s="17">
        <f t="array" ref="J632">IF(ROW(J632)&lt;=COUNTA(D:D)*2,IF(MOD(ROW(J632),2)=1,INDEX(D:D,(ROW(J632)+1)/2),INDEX(F:F,ROW(J632)/2)),"")</f>
        <v>-629.9</v>
      </c>
      <c r="K632" s="17">
        <f t="array" ref="K632">IF(ROW(K632)&lt;=COUNTA(E:E)*2,IF(MOD(ROW(K632),2)=1,INDEX(E:E,(ROW(K632)+1)/2),INDEX(G:G,ROW(K632)/2)),"")</f>
        <v>47.36</v>
      </c>
    </row>
    <row r="633" spans="1:11" x14ac:dyDescent="0.25">
      <c r="A633" s="25"/>
      <c r="B633" s="25"/>
      <c r="J633" s="17">
        <f t="array" ref="J633">IF(ROW(J633)&lt;=COUNTA(D:D)*2,IF(MOD(ROW(J633),2)=1,INDEX(D:D,(ROW(J633)+1)/2),INDEX(F:F,ROW(J633)/2)),"")</f>
        <v>-629.9</v>
      </c>
      <c r="K633" s="17">
        <f t="array" ref="K633">IF(ROW(K633)&lt;=COUNTA(E:E)*2,IF(MOD(ROW(K633),2)=1,INDEX(E:E,(ROW(K633)+1)/2),INDEX(G:G,ROW(K633)/2)),"")</f>
        <v>48.02</v>
      </c>
    </row>
    <row r="634" spans="1:11" x14ac:dyDescent="0.25">
      <c r="A634" s="25"/>
      <c r="B634" s="25"/>
      <c r="J634" s="17">
        <f t="array" ref="J634">IF(ROW(J634)&lt;=COUNTA(D:D)*2,IF(MOD(ROW(J634),2)=1,INDEX(D:D,(ROW(J634)+1)/2),INDEX(F:F,ROW(J634)/2)),"")</f>
        <v>-631.9</v>
      </c>
      <c r="K634" s="17">
        <f t="array" ref="K634">IF(ROW(K634)&lt;=COUNTA(E:E)*2,IF(MOD(ROW(K634),2)=1,INDEX(E:E,(ROW(K634)+1)/2),INDEX(G:G,ROW(K634)/2)),"")</f>
        <v>48.02</v>
      </c>
    </row>
    <row r="635" spans="1:11" x14ac:dyDescent="0.25">
      <c r="A635" s="25"/>
      <c r="B635" s="25"/>
      <c r="J635" s="17">
        <f t="array" ref="J635">IF(ROW(J635)&lt;=COUNTA(D:D)*2,IF(MOD(ROW(J635),2)=1,INDEX(D:D,(ROW(J635)+1)/2),INDEX(F:F,ROW(J635)/2)),"")</f>
        <v>-631.9</v>
      </c>
      <c r="K635" s="17">
        <f t="array" ref="K635">IF(ROW(K635)&lt;=COUNTA(E:E)*2,IF(MOD(ROW(K635),2)=1,INDEX(E:E,(ROW(K635)+1)/2),INDEX(G:G,ROW(K635)/2)),"")</f>
        <v>48.2</v>
      </c>
    </row>
    <row r="636" spans="1:11" x14ac:dyDescent="0.25">
      <c r="A636" s="25"/>
      <c r="B636" s="25"/>
      <c r="J636" s="17">
        <f t="array" ref="J636">IF(ROW(J636)&lt;=COUNTA(D:D)*2,IF(MOD(ROW(J636),2)=1,INDEX(D:D,(ROW(J636)+1)/2),INDEX(F:F,ROW(J636)/2)),"")</f>
        <v>-633.9</v>
      </c>
      <c r="K636" s="17">
        <f t="array" ref="K636">IF(ROW(K636)&lt;=COUNTA(E:E)*2,IF(MOD(ROW(K636),2)=1,INDEX(E:E,(ROW(K636)+1)/2),INDEX(G:G,ROW(K636)/2)),"")</f>
        <v>48.2</v>
      </c>
    </row>
    <row r="637" spans="1:11" x14ac:dyDescent="0.25">
      <c r="A637" s="25"/>
      <c r="B637" s="25"/>
      <c r="J637" s="17">
        <f t="array" ref="J637">IF(ROW(J637)&lt;=COUNTA(D:D)*2,IF(MOD(ROW(J637),2)=1,INDEX(D:D,(ROW(J637)+1)/2),INDEX(F:F,ROW(J637)/2)),"")</f>
        <v>-633.9</v>
      </c>
      <c r="K637" s="17">
        <f t="array" ref="K637">IF(ROW(K637)&lt;=COUNTA(E:E)*2,IF(MOD(ROW(K637),2)=1,INDEX(E:E,(ROW(K637)+1)/2),INDEX(G:G,ROW(K637)/2)),"")</f>
        <v>46.84</v>
      </c>
    </row>
    <row r="638" spans="1:11" x14ac:dyDescent="0.25">
      <c r="A638" s="25"/>
      <c r="B638" s="25"/>
      <c r="J638" s="17">
        <f t="array" ref="J638">IF(ROW(J638)&lt;=COUNTA(D:D)*2,IF(MOD(ROW(J638),2)=1,INDEX(D:D,(ROW(J638)+1)/2),INDEX(F:F,ROW(J638)/2)),"")</f>
        <v>-635.9</v>
      </c>
      <c r="K638" s="17">
        <f t="array" ref="K638">IF(ROW(K638)&lt;=COUNTA(E:E)*2,IF(MOD(ROW(K638),2)=1,INDEX(E:E,(ROW(K638)+1)/2),INDEX(G:G,ROW(K638)/2)),"")</f>
        <v>46.84</v>
      </c>
    </row>
    <row r="639" spans="1:11" x14ac:dyDescent="0.25">
      <c r="A639" s="25"/>
      <c r="B639" s="25"/>
      <c r="J639" s="17">
        <f t="array" ref="J639">IF(ROW(J639)&lt;=COUNTA(D:D)*2,IF(MOD(ROW(J639),2)=1,INDEX(D:D,(ROW(J639)+1)/2),INDEX(F:F,ROW(J639)/2)),"")</f>
        <v>-635.9</v>
      </c>
      <c r="K639" s="17">
        <f t="array" ref="K639">IF(ROW(K639)&lt;=COUNTA(E:E)*2,IF(MOD(ROW(K639),2)=1,INDEX(E:E,(ROW(K639)+1)/2),INDEX(G:G,ROW(K639)/2)),"")</f>
        <v>47.56</v>
      </c>
    </row>
    <row r="640" spans="1:11" x14ac:dyDescent="0.25">
      <c r="A640" s="25"/>
      <c r="B640" s="25"/>
      <c r="J640" s="17">
        <f t="array" ref="J640">IF(ROW(J640)&lt;=COUNTA(D:D)*2,IF(MOD(ROW(J640),2)=1,INDEX(D:D,(ROW(J640)+1)/2),INDEX(F:F,ROW(J640)/2)),"")</f>
        <v>-637.9</v>
      </c>
      <c r="K640" s="17">
        <f t="array" ref="K640">IF(ROW(K640)&lt;=COUNTA(E:E)*2,IF(MOD(ROW(K640),2)=1,INDEX(E:E,(ROW(K640)+1)/2),INDEX(G:G,ROW(K640)/2)),"")</f>
        <v>47.56</v>
      </c>
    </row>
    <row r="641" spans="1:11" x14ac:dyDescent="0.25">
      <c r="A641" s="25"/>
      <c r="B641" s="25"/>
      <c r="J641" s="17">
        <f t="array" ref="J641">IF(ROW(J641)&lt;=COUNTA(D:D)*2,IF(MOD(ROW(J641),2)=1,INDEX(D:D,(ROW(J641)+1)/2),INDEX(F:F,ROW(J641)/2)),"")</f>
        <v>-637.9</v>
      </c>
      <c r="K641" s="17">
        <f t="array" ref="K641">IF(ROW(K641)&lt;=COUNTA(E:E)*2,IF(MOD(ROW(K641),2)=1,INDEX(E:E,(ROW(K641)+1)/2),INDEX(G:G,ROW(K641)/2)),"")</f>
        <v>47.62</v>
      </c>
    </row>
    <row r="642" spans="1:11" x14ac:dyDescent="0.25">
      <c r="A642" s="25"/>
      <c r="B642" s="25"/>
      <c r="J642" s="17">
        <f t="array" ref="J642">IF(ROW(J642)&lt;=COUNTA(D:D)*2,IF(MOD(ROW(J642),2)=1,INDEX(D:D,(ROW(J642)+1)/2),INDEX(F:F,ROW(J642)/2)),"")</f>
        <v>-639.9</v>
      </c>
      <c r="K642" s="17">
        <f t="array" ref="K642">IF(ROW(K642)&lt;=COUNTA(E:E)*2,IF(MOD(ROW(K642),2)=1,INDEX(E:E,(ROW(K642)+1)/2),INDEX(G:G,ROW(K642)/2)),"")</f>
        <v>47.62</v>
      </c>
    </row>
    <row r="643" spans="1:11" x14ac:dyDescent="0.25">
      <c r="A643" s="25"/>
      <c r="B643" s="25"/>
      <c r="J643" s="17">
        <f t="array" ref="J643">IF(ROW(J643)&lt;=COUNTA(D:D)*2,IF(MOD(ROW(J643),2)=1,INDEX(D:D,(ROW(J643)+1)/2),INDEX(F:F,ROW(J643)/2)),"")</f>
        <v>-639.9</v>
      </c>
      <c r="K643" s="17">
        <f t="array" ref="K643">IF(ROW(K643)&lt;=COUNTA(E:E)*2,IF(MOD(ROW(K643),2)=1,INDEX(E:E,(ROW(K643)+1)/2),INDEX(G:G,ROW(K643)/2)),"")</f>
        <v>47.46</v>
      </c>
    </row>
    <row r="644" spans="1:11" x14ac:dyDescent="0.25">
      <c r="A644" s="25"/>
      <c r="B644" s="25"/>
      <c r="J644" s="17">
        <f t="array" ref="J644">IF(ROW(J644)&lt;=COUNTA(D:D)*2,IF(MOD(ROW(J644),2)=1,INDEX(D:D,(ROW(J644)+1)/2),INDEX(F:F,ROW(J644)/2)),"")</f>
        <v>-641.9</v>
      </c>
      <c r="K644" s="17">
        <f t="array" ref="K644">IF(ROW(K644)&lt;=COUNTA(E:E)*2,IF(MOD(ROW(K644),2)=1,INDEX(E:E,(ROW(K644)+1)/2),INDEX(G:G,ROW(K644)/2)),"")</f>
        <v>47.46</v>
      </c>
    </row>
    <row r="645" spans="1:11" x14ac:dyDescent="0.25">
      <c r="A645" s="25"/>
      <c r="B645" s="25"/>
      <c r="J645" s="17">
        <f t="array" ref="J645">IF(ROW(J645)&lt;=COUNTA(D:D)*2,IF(MOD(ROW(J645),2)=1,INDEX(D:D,(ROW(J645)+1)/2),INDEX(F:F,ROW(J645)/2)),"")</f>
        <v>-641.9</v>
      </c>
      <c r="K645" s="17">
        <f t="array" ref="K645">IF(ROW(K645)&lt;=COUNTA(E:E)*2,IF(MOD(ROW(K645),2)=1,INDEX(E:E,(ROW(K645)+1)/2),INDEX(G:G,ROW(K645)/2)),"")</f>
        <v>48.52</v>
      </c>
    </row>
    <row r="646" spans="1:11" x14ac:dyDescent="0.25">
      <c r="A646" s="25"/>
      <c r="B646" s="25"/>
      <c r="J646" s="17">
        <f t="array" ref="J646">IF(ROW(J646)&lt;=COUNTA(D:D)*2,IF(MOD(ROW(J646),2)=1,INDEX(D:D,(ROW(J646)+1)/2),INDEX(F:F,ROW(J646)/2)),"")</f>
        <v>-643.9</v>
      </c>
      <c r="K646" s="17">
        <f t="array" ref="K646">IF(ROW(K646)&lt;=COUNTA(E:E)*2,IF(MOD(ROW(K646),2)=1,INDEX(E:E,(ROW(K646)+1)/2),INDEX(G:G,ROW(K646)/2)),"")</f>
        <v>48.52</v>
      </c>
    </row>
    <row r="647" spans="1:11" x14ac:dyDescent="0.25">
      <c r="A647" s="25"/>
      <c r="B647" s="25"/>
      <c r="J647" s="17">
        <f t="array" ref="J647">IF(ROW(J647)&lt;=COUNTA(D:D)*2,IF(MOD(ROW(J647),2)=1,INDEX(D:D,(ROW(J647)+1)/2),INDEX(F:F,ROW(J647)/2)),"")</f>
        <v>-643.9</v>
      </c>
      <c r="K647" s="17">
        <f t="array" ref="K647">IF(ROW(K647)&lt;=COUNTA(E:E)*2,IF(MOD(ROW(K647),2)=1,INDEX(E:E,(ROW(K647)+1)/2),INDEX(G:G,ROW(K647)/2)),"")</f>
        <v>47.66</v>
      </c>
    </row>
    <row r="648" spans="1:11" x14ac:dyDescent="0.25">
      <c r="A648" s="25"/>
      <c r="B648" s="25"/>
      <c r="J648" s="17">
        <f t="array" ref="J648">IF(ROW(J648)&lt;=COUNTA(D:D)*2,IF(MOD(ROW(J648),2)=1,INDEX(D:D,(ROW(J648)+1)/2),INDEX(F:F,ROW(J648)/2)),"")</f>
        <v>-645.9</v>
      </c>
      <c r="K648" s="17">
        <f t="array" ref="K648">IF(ROW(K648)&lt;=COUNTA(E:E)*2,IF(MOD(ROW(K648),2)=1,INDEX(E:E,(ROW(K648)+1)/2),INDEX(G:G,ROW(K648)/2)),"")</f>
        <v>47.66</v>
      </c>
    </row>
    <row r="649" spans="1:11" x14ac:dyDescent="0.25">
      <c r="A649" s="25"/>
      <c r="B649" s="25"/>
      <c r="J649" s="17">
        <f t="array" ref="J649">IF(ROW(J649)&lt;=COUNTA(D:D)*2,IF(MOD(ROW(J649),2)=1,INDEX(D:D,(ROW(J649)+1)/2),INDEX(F:F,ROW(J649)/2)),"")</f>
        <v>-645.9</v>
      </c>
      <c r="K649" s="17">
        <f t="array" ref="K649">IF(ROW(K649)&lt;=COUNTA(E:E)*2,IF(MOD(ROW(K649),2)=1,INDEX(E:E,(ROW(K649)+1)/2),INDEX(G:G,ROW(K649)/2)),"")</f>
        <v>46.98</v>
      </c>
    </row>
    <row r="650" spans="1:11" x14ac:dyDescent="0.25">
      <c r="A650" s="25"/>
      <c r="B650" s="25"/>
      <c r="J650" s="17">
        <f t="array" ref="J650">IF(ROW(J650)&lt;=COUNTA(D:D)*2,IF(MOD(ROW(J650),2)=1,INDEX(D:D,(ROW(J650)+1)/2),INDEX(F:F,ROW(J650)/2)),"")</f>
        <v>-647.9</v>
      </c>
      <c r="K650" s="17">
        <f t="array" ref="K650">IF(ROW(K650)&lt;=COUNTA(E:E)*2,IF(MOD(ROW(K650),2)=1,INDEX(E:E,(ROW(K650)+1)/2),INDEX(G:G,ROW(K650)/2)),"")</f>
        <v>46.98</v>
      </c>
    </row>
    <row r="651" spans="1:11" x14ac:dyDescent="0.25">
      <c r="A651" s="25"/>
      <c r="B651" s="25"/>
      <c r="J651" s="17">
        <f t="array" ref="J651">IF(ROW(J651)&lt;=COUNTA(D:D)*2,IF(MOD(ROW(J651),2)=1,INDEX(D:D,(ROW(J651)+1)/2),INDEX(F:F,ROW(J651)/2)),"")</f>
        <v>-647.9</v>
      </c>
      <c r="K651" s="17">
        <f t="array" ref="K651">IF(ROW(K651)&lt;=COUNTA(E:E)*2,IF(MOD(ROW(K651),2)=1,INDEX(E:E,(ROW(K651)+1)/2),INDEX(G:G,ROW(K651)/2)),"")</f>
        <v>45.8</v>
      </c>
    </row>
    <row r="652" spans="1:11" x14ac:dyDescent="0.25">
      <c r="A652" s="25"/>
      <c r="B652" s="25"/>
      <c r="J652" s="17">
        <f t="array" ref="J652">IF(ROW(J652)&lt;=COUNTA(D:D)*2,IF(MOD(ROW(J652),2)=1,INDEX(D:D,(ROW(J652)+1)/2),INDEX(F:F,ROW(J652)/2)),"")</f>
        <v>-649.9</v>
      </c>
      <c r="K652" s="17">
        <f t="array" ref="K652">IF(ROW(K652)&lt;=COUNTA(E:E)*2,IF(MOD(ROW(K652),2)=1,INDEX(E:E,(ROW(K652)+1)/2),INDEX(G:G,ROW(K652)/2)),"")</f>
        <v>45.8</v>
      </c>
    </row>
    <row r="653" spans="1:11" x14ac:dyDescent="0.25">
      <c r="A653" s="25"/>
      <c r="B653" s="25"/>
      <c r="J653" s="17">
        <f t="array" ref="J653">IF(ROW(J653)&lt;=COUNTA(D:D)*2,IF(MOD(ROW(J653),2)=1,INDEX(D:D,(ROW(J653)+1)/2),INDEX(F:F,ROW(J653)/2)),"")</f>
        <v>-649.9</v>
      </c>
      <c r="K653" s="17">
        <f t="array" ref="K653">IF(ROW(K653)&lt;=COUNTA(E:E)*2,IF(MOD(ROW(K653),2)=1,INDEX(E:E,(ROW(K653)+1)/2),INDEX(G:G,ROW(K653)/2)),"")</f>
        <v>46.36</v>
      </c>
    </row>
    <row r="654" spans="1:11" x14ac:dyDescent="0.25">
      <c r="A654" s="25"/>
      <c r="B654" s="25"/>
      <c r="J654" s="17">
        <f t="array" ref="J654">IF(ROW(J654)&lt;=COUNTA(D:D)*2,IF(MOD(ROW(J654),2)=1,INDEX(D:D,(ROW(J654)+1)/2),INDEX(F:F,ROW(J654)/2)),"")</f>
        <v>-651.9</v>
      </c>
      <c r="K654" s="17">
        <f t="array" ref="K654">IF(ROW(K654)&lt;=COUNTA(E:E)*2,IF(MOD(ROW(K654),2)=1,INDEX(E:E,(ROW(K654)+1)/2),INDEX(G:G,ROW(K654)/2)),"")</f>
        <v>46.36</v>
      </c>
    </row>
    <row r="655" spans="1:11" x14ac:dyDescent="0.25">
      <c r="A655" s="25"/>
      <c r="B655" s="25"/>
      <c r="J655" s="17">
        <f t="array" ref="J655">IF(ROW(J655)&lt;=COUNTA(D:D)*2,IF(MOD(ROW(J655),2)=1,INDEX(D:D,(ROW(J655)+1)/2),INDEX(F:F,ROW(J655)/2)),"")</f>
        <v>-651.9</v>
      </c>
      <c r="K655" s="17">
        <f t="array" ref="K655">IF(ROW(K655)&lt;=COUNTA(E:E)*2,IF(MOD(ROW(K655),2)=1,INDEX(E:E,(ROW(K655)+1)/2),INDEX(G:G,ROW(K655)/2)),"")</f>
        <v>45.72</v>
      </c>
    </row>
    <row r="656" spans="1:11" x14ac:dyDescent="0.25">
      <c r="A656" s="25"/>
      <c r="B656" s="25"/>
      <c r="J656" s="17">
        <f t="array" ref="J656">IF(ROW(J656)&lt;=COUNTA(D:D)*2,IF(MOD(ROW(J656),2)=1,INDEX(D:D,(ROW(J656)+1)/2),INDEX(F:F,ROW(J656)/2)),"")</f>
        <v>-653.9</v>
      </c>
      <c r="K656" s="17">
        <f t="array" ref="K656">IF(ROW(K656)&lt;=COUNTA(E:E)*2,IF(MOD(ROW(K656),2)=1,INDEX(E:E,(ROW(K656)+1)/2),INDEX(G:G,ROW(K656)/2)),"")</f>
        <v>45.72</v>
      </c>
    </row>
    <row r="657" spans="1:11" x14ac:dyDescent="0.25">
      <c r="A657" s="25"/>
      <c r="B657" s="25"/>
      <c r="J657" s="17">
        <f t="array" ref="J657">IF(ROW(J657)&lt;=COUNTA(D:D)*2,IF(MOD(ROW(J657),2)=1,INDEX(D:D,(ROW(J657)+1)/2),INDEX(F:F,ROW(J657)/2)),"")</f>
        <v>-653.9</v>
      </c>
      <c r="K657" s="17">
        <f t="array" ref="K657">IF(ROW(K657)&lt;=COUNTA(E:E)*2,IF(MOD(ROW(K657),2)=1,INDEX(E:E,(ROW(K657)+1)/2),INDEX(G:G,ROW(K657)/2)),"")</f>
        <v>45.46</v>
      </c>
    </row>
    <row r="658" spans="1:11" x14ac:dyDescent="0.25">
      <c r="A658" s="25"/>
      <c r="B658" s="25"/>
      <c r="J658" s="17">
        <f t="array" ref="J658">IF(ROW(J658)&lt;=COUNTA(D:D)*2,IF(MOD(ROW(J658),2)=1,INDEX(D:D,(ROW(J658)+1)/2),INDEX(F:F,ROW(J658)/2)),"")</f>
        <v>-655.9</v>
      </c>
      <c r="K658" s="17">
        <f t="array" ref="K658">IF(ROW(K658)&lt;=COUNTA(E:E)*2,IF(MOD(ROW(K658),2)=1,INDEX(E:E,(ROW(K658)+1)/2),INDEX(G:G,ROW(K658)/2)),"")</f>
        <v>45.46</v>
      </c>
    </row>
    <row r="659" spans="1:11" x14ac:dyDescent="0.25">
      <c r="A659" s="25"/>
      <c r="B659" s="25"/>
      <c r="J659" s="17">
        <f t="array" ref="J659">IF(ROW(J659)&lt;=COUNTA(D:D)*2,IF(MOD(ROW(J659),2)=1,INDEX(D:D,(ROW(J659)+1)/2),INDEX(F:F,ROW(J659)/2)),"")</f>
        <v>-655.9</v>
      </c>
      <c r="K659" s="17">
        <f t="array" ref="K659">IF(ROW(K659)&lt;=COUNTA(E:E)*2,IF(MOD(ROW(K659),2)=1,INDEX(E:E,(ROW(K659)+1)/2),INDEX(G:G,ROW(K659)/2)),"")</f>
        <v>46.7</v>
      </c>
    </row>
    <row r="660" spans="1:11" x14ac:dyDescent="0.25">
      <c r="A660" s="25"/>
      <c r="B660" s="25"/>
      <c r="J660" s="17">
        <f t="array" ref="J660">IF(ROW(J660)&lt;=COUNTA(D:D)*2,IF(MOD(ROW(J660),2)=1,INDEX(D:D,(ROW(J660)+1)/2),INDEX(F:F,ROW(J660)/2)),"")</f>
        <v>-657.9</v>
      </c>
      <c r="K660" s="17">
        <f t="array" ref="K660">IF(ROW(K660)&lt;=COUNTA(E:E)*2,IF(MOD(ROW(K660),2)=1,INDEX(E:E,(ROW(K660)+1)/2),INDEX(G:G,ROW(K660)/2)),"")</f>
        <v>46.7</v>
      </c>
    </row>
    <row r="661" spans="1:11" x14ac:dyDescent="0.25">
      <c r="A661" s="25"/>
      <c r="B661" s="25"/>
      <c r="J661" s="17">
        <f t="array" ref="J661">IF(ROW(J661)&lt;=COUNTA(D:D)*2,IF(MOD(ROW(J661),2)=1,INDEX(D:D,(ROW(J661)+1)/2),INDEX(F:F,ROW(J661)/2)),"")</f>
        <v>-657.9</v>
      </c>
      <c r="K661" s="17">
        <f t="array" ref="K661">IF(ROW(K661)&lt;=COUNTA(E:E)*2,IF(MOD(ROW(K661),2)=1,INDEX(E:E,(ROW(K661)+1)/2),INDEX(G:G,ROW(K661)/2)),"")</f>
        <v>46.62</v>
      </c>
    </row>
    <row r="662" spans="1:11" x14ac:dyDescent="0.25">
      <c r="A662" s="25"/>
      <c r="B662" s="25"/>
      <c r="J662" s="17">
        <f t="array" ref="J662">IF(ROW(J662)&lt;=COUNTA(D:D)*2,IF(MOD(ROW(J662),2)=1,INDEX(D:D,(ROW(J662)+1)/2),INDEX(F:F,ROW(J662)/2)),"")</f>
        <v>-659.9</v>
      </c>
      <c r="K662" s="17">
        <f t="array" ref="K662">IF(ROW(K662)&lt;=COUNTA(E:E)*2,IF(MOD(ROW(K662),2)=1,INDEX(E:E,(ROW(K662)+1)/2),INDEX(G:G,ROW(K662)/2)),"")</f>
        <v>46.62</v>
      </c>
    </row>
    <row r="663" spans="1:11" x14ac:dyDescent="0.25">
      <c r="A663" s="25"/>
      <c r="B663" s="25"/>
      <c r="J663" s="17">
        <f t="array" ref="J663">IF(ROW(J663)&lt;=COUNTA(D:D)*2,IF(MOD(ROW(J663),2)=1,INDEX(D:D,(ROW(J663)+1)/2),INDEX(F:F,ROW(J663)/2)),"")</f>
        <v>-659.9</v>
      </c>
      <c r="K663" s="17">
        <f t="array" ref="K663">IF(ROW(K663)&lt;=COUNTA(E:E)*2,IF(MOD(ROW(K663),2)=1,INDEX(E:E,(ROW(K663)+1)/2),INDEX(G:G,ROW(K663)/2)),"")</f>
        <v>47.64</v>
      </c>
    </row>
    <row r="664" spans="1:11" x14ac:dyDescent="0.25">
      <c r="A664" s="25"/>
      <c r="B664" s="25"/>
      <c r="J664" s="17">
        <f t="array" ref="J664">IF(ROW(J664)&lt;=COUNTA(D:D)*2,IF(MOD(ROW(J664),2)=1,INDEX(D:D,(ROW(J664)+1)/2),INDEX(F:F,ROW(J664)/2)),"")</f>
        <v>-661.9</v>
      </c>
      <c r="K664" s="17">
        <f t="array" ref="K664">IF(ROW(K664)&lt;=COUNTA(E:E)*2,IF(MOD(ROW(K664),2)=1,INDEX(E:E,(ROW(K664)+1)/2),INDEX(G:G,ROW(K664)/2)),"")</f>
        <v>47.64</v>
      </c>
    </row>
    <row r="665" spans="1:11" x14ac:dyDescent="0.25">
      <c r="A665" s="25"/>
      <c r="B665" s="25"/>
      <c r="J665" s="17">
        <f t="array" ref="J665">IF(ROW(J665)&lt;=COUNTA(D:D)*2,IF(MOD(ROW(J665),2)=1,INDEX(D:D,(ROW(J665)+1)/2),INDEX(F:F,ROW(J665)/2)),"")</f>
        <v>-661.9</v>
      </c>
      <c r="K665" s="17">
        <f t="array" ref="K665">IF(ROW(K665)&lt;=COUNTA(E:E)*2,IF(MOD(ROW(K665),2)=1,INDEX(E:E,(ROW(K665)+1)/2),INDEX(G:G,ROW(K665)/2)),"")</f>
        <v>47.42</v>
      </c>
    </row>
    <row r="666" spans="1:11" x14ac:dyDescent="0.25">
      <c r="A666" s="25"/>
      <c r="B666" s="25"/>
      <c r="J666" s="17">
        <f t="array" ref="J666">IF(ROW(J666)&lt;=COUNTA(D:D)*2,IF(MOD(ROW(J666),2)=1,INDEX(D:D,(ROW(J666)+1)/2),INDEX(F:F,ROW(J666)/2)),"")</f>
        <v>-663.9</v>
      </c>
      <c r="K666" s="17">
        <f t="array" ref="K666">IF(ROW(K666)&lt;=COUNTA(E:E)*2,IF(MOD(ROW(K666),2)=1,INDEX(E:E,(ROW(K666)+1)/2),INDEX(G:G,ROW(K666)/2)),"")</f>
        <v>47.42</v>
      </c>
    </row>
    <row r="667" spans="1:11" x14ac:dyDescent="0.25">
      <c r="A667" s="25"/>
      <c r="B667" s="25"/>
      <c r="J667" s="17">
        <f t="array" ref="J667">IF(ROW(J667)&lt;=COUNTA(D:D)*2,IF(MOD(ROW(J667),2)=1,INDEX(D:D,(ROW(J667)+1)/2),INDEX(F:F,ROW(J667)/2)),"")</f>
        <v>-663.9</v>
      </c>
      <c r="K667" s="17">
        <f t="array" ref="K667">IF(ROW(K667)&lt;=COUNTA(E:E)*2,IF(MOD(ROW(K667),2)=1,INDEX(E:E,(ROW(K667)+1)/2),INDEX(G:G,ROW(K667)/2)),"")</f>
        <v>47.4</v>
      </c>
    </row>
    <row r="668" spans="1:11" x14ac:dyDescent="0.25">
      <c r="A668" s="25"/>
      <c r="B668" s="25"/>
      <c r="J668" s="17">
        <f t="array" ref="J668">IF(ROW(J668)&lt;=COUNTA(D:D)*2,IF(MOD(ROW(J668),2)=1,INDEX(D:D,(ROW(J668)+1)/2),INDEX(F:F,ROW(J668)/2)),"")</f>
        <v>-665.9</v>
      </c>
      <c r="K668" s="17">
        <f t="array" ref="K668">IF(ROW(K668)&lt;=COUNTA(E:E)*2,IF(MOD(ROW(K668),2)=1,INDEX(E:E,(ROW(K668)+1)/2),INDEX(G:G,ROW(K668)/2)),"")</f>
        <v>47.4</v>
      </c>
    </row>
    <row r="669" spans="1:11" x14ac:dyDescent="0.25">
      <c r="A669" s="25"/>
      <c r="B669" s="25"/>
      <c r="J669" s="17">
        <f t="array" ref="J669">IF(ROW(J669)&lt;=COUNTA(D:D)*2,IF(MOD(ROW(J669),2)=1,INDEX(D:D,(ROW(J669)+1)/2),INDEX(F:F,ROW(J669)/2)),"")</f>
        <v>-665.9</v>
      </c>
      <c r="K669" s="17">
        <f t="array" ref="K669">IF(ROW(K669)&lt;=COUNTA(E:E)*2,IF(MOD(ROW(K669),2)=1,INDEX(E:E,(ROW(K669)+1)/2),INDEX(G:G,ROW(K669)/2)),"")</f>
        <v>47</v>
      </c>
    </row>
    <row r="670" spans="1:11" x14ac:dyDescent="0.25">
      <c r="A670" s="25"/>
      <c r="B670" s="25"/>
      <c r="J670" s="17">
        <f t="array" ref="J670">IF(ROW(J670)&lt;=COUNTA(D:D)*2,IF(MOD(ROW(J670),2)=1,INDEX(D:D,(ROW(J670)+1)/2),INDEX(F:F,ROW(J670)/2)),"")</f>
        <v>-667.9</v>
      </c>
      <c r="K670" s="17">
        <f t="array" ref="K670">IF(ROW(K670)&lt;=COUNTA(E:E)*2,IF(MOD(ROW(K670),2)=1,INDEX(E:E,(ROW(K670)+1)/2),INDEX(G:G,ROW(K670)/2)),"")</f>
        <v>47</v>
      </c>
    </row>
    <row r="671" spans="1:11" x14ac:dyDescent="0.25">
      <c r="A671" s="25"/>
      <c r="B671" s="25"/>
      <c r="J671" s="17">
        <f t="array" ref="J671">IF(ROW(J671)&lt;=COUNTA(D:D)*2,IF(MOD(ROW(J671),2)=1,INDEX(D:D,(ROW(J671)+1)/2),INDEX(F:F,ROW(J671)/2)),"")</f>
        <v>-667.9</v>
      </c>
      <c r="K671" s="17">
        <f t="array" ref="K671">IF(ROW(K671)&lt;=COUNTA(E:E)*2,IF(MOD(ROW(K671),2)=1,INDEX(E:E,(ROW(K671)+1)/2),INDEX(G:G,ROW(K671)/2)),"")</f>
        <v>45.92</v>
      </c>
    </row>
    <row r="672" spans="1:11" x14ac:dyDescent="0.25">
      <c r="A672" s="25"/>
      <c r="B672" s="25"/>
      <c r="J672" s="17">
        <f t="array" ref="J672">IF(ROW(J672)&lt;=COUNTA(D:D)*2,IF(MOD(ROW(J672),2)=1,INDEX(D:D,(ROW(J672)+1)/2),INDEX(F:F,ROW(J672)/2)),"")</f>
        <v>-669.9</v>
      </c>
      <c r="K672" s="17">
        <f t="array" ref="K672">IF(ROW(K672)&lt;=COUNTA(E:E)*2,IF(MOD(ROW(K672),2)=1,INDEX(E:E,(ROW(K672)+1)/2),INDEX(G:G,ROW(K672)/2)),"")</f>
        <v>45.92</v>
      </c>
    </row>
    <row r="673" spans="1:11" x14ac:dyDescent="0.25">
      <c r="A673" s="25"/>
      <c r="B673" s="25"/>
      <c r="J673" s="17">
        <f t="array" ref="J673">IF(ROW(J673)&lt;=COUNTA(D:D)*2,IF(MOD(ROW(J673),2)=1,INDEX(D:D,(ROW(J673)+1)/2),INDEX(F:F,ROW(J673)/2)),"")</f>
        <v>-669.9</v>
      </c>
      <c r="K673" s="17">
        <f t="array" ref="K673">IF(ROW(K673)&lt;=COUNTA(E:E)*2,IF(MOD(ROW(K673),2)=1,INDEX(E:E,(ROW(K673)+1)/2),INDEX(G:G,ROW(K673)/2)),"")</f>
        <v>46.58</v>
      </c>
    </row>
    <row r="674" spans="1:11" x14ac:dyDescent="0.25">
      <c r="A674" s="25"/>
      <c r="B674" s="25"/>
      <c r="J674" s="17">
        <f t="array" ref="J674">IF(ROW(J674)&lt;=COUNTA(D:D)*2,IF(MOD(ROW(J674),2)=1,INDEX(D:D,(ROW(J674)+1)/2),INDEX(F:F,ROW(J674)/2)),"")</f>
        <v>-671.9</v>
      </c>
      <c r="K674" s="17">
        <f t="array" ref="K674">IF(ROW(K674)&lt;=COUNTA(E:E)*2,IF(MOD(ROW(K674),2)=1,INDEX(E:E,(ROW(K674)+1)/2),INDEX(G:G,ROW(K674)/2)),"")</f>
        <v>46.58</v>
      </c>
    </row>
    <row r="675" spans="1:11" x14ac:dyDescent="0.25">
      <c r="A675" s="25"/>
      <c r="B675" s="25"/>
      <c r="J675" s="17">
        <f t="array" ref="J675">IF(ROW(J675)&lt;=COUNTA(D:D)*2,IF(MOD(ROW(J675),2)=1,INDEX(D:D,(ROW(J675)+1)/2),INDEX(F:F,ROW(J675)/2)),"")</f>
        <v>-671.9</v>
      </c>
      <c r="K675" s="17">
        <f t="array" ref="K675">IF(ROW(K675)&lt;=COUNTA(E:E)*2,IF(MOD(ROW(K675),2)=1,INDEX(E:E,(ROW(K675)+1)/2),INDEX(G:G,ROW(K675)/2)),"")</f>
        <v>45.52</v>
      </c>
    </row>
    <row r="676" spans="1:11" x14ac:dyDescent="0.25">
      <c r="A676" s="25"/>
      <c r="B676" s="25"/>
      <c r="J676" s="17">
        <f t="array" ref="J676">IF(ROW(J676)&lt;=COUNTA(D:D)*2,IF(MOD(ROW(J676),2)=1,INDEX(D:D,(ROW(J676)+1)/2),INDEX(F:F,ROW(J676)/2)),"")</f>
        <v>-673.9</v>
      </c>
      <c r="K676" s="17">
        <f t="array" ref="K676">IF(ROW(K676)&lt;=COUNTA(E:E)*2,IF(MOD(ROW(K676),2)=1,INDEX(E:E,(ROW(K676)+1)/2),INDEX(G:G,ROW(K676)/2)),"")</f>
        <v>45.52</v>
      </c>
    </row>
    <row r="677" spans="1:11" x14ac:dyDescent="0.25">
      <c r="A677" s="25"/>
      <c r="B677" s="25"/>
      <c r="J677" s="17">
        <f t="array" ref="J677">IF(ROW(J677)&lt;=COUNTA(D:D)*2,IF(MOD(ROW(J677),2)=1,INDEX(D:D,(ROW(J677)+1)/2),INDEX(F:F,ROW(J677)/2)),"")</f>
        <v>-673.9</v>
      </c>
      <c r="K677" s="17">
        <f t="array" ref="K677">IF(ROW(K677)&lt;=COUNTA(E:E)*2,IF(MOD(ROW(K677),2)=1,INDEX(E:E,(ROW(K677)+1)/2),INDEX(G:G,ROW(K677)/2)),"")</f>
        <v>47.52</v>
      </c>
    </row>
    <row r="678" spans="1:11" x14ac:dyDescent="0.25">
      <c r="A678" s="25"/>
      <c r="B678" s="25"/>
      <c r="J678" s="17">
        <f t="array" ref="J678">IF(ROW(J678)&lt;=COUNTA(D:D)*2,IF(MOD(ROW(J678),2)=1,INDEX(D:D,(ROW(J678)+1)/2),INDEX(F:F,ROW(J678)/2)),"")</f>
        <v>-675.9</v>
      </c>
      <c r="K678" s="17">
        <f t="array" ref="K678">IF(ROW(K678)&lt;=COUNTA(E:E)*2,IF(MOD(ROW(K678),2)=1,INDEX(E:E,(ROW(K678)+1)/2),INDEX(G:G,ROW(K678)/2)),"")</f>
        <v>47.52</v>
      </c>
    </row>
    <row r="679" spans="1:11" x14ac:dyDescent="0.25">
      <c r="A679" s="25"/>
      <c r="B679" s="25"/>
      <c r="J679" s="17">
        <f t="array" ref="J679">IF(ROW(J679)&lt;=COUNTA(D:D)*2,IF(MOD(ROW(J679),2)=1,INDEX(D:D,(ROW(J679)+1)/2),INDEX(F:F,ROW(J679)/2)),"")</f>
        <v>-675.9</v>
      </c>
      <c r="K679" s="17">
        <f t="array" ref="K679">IF(ROW(K679)&lt;=COUNTA(E:E)*2,IF(MOD(ROW(K679),2)=1,INDEX(E:E,(ROW(K679)+1)/2),INDEX(G:G,ROW(K679)/2)),"")</f>
        <v>47.14</v>
      </c>
    </row>
    <row r="680" spans="1:11" x14ac:dyDescent="0.25">
      <c r="A680" s="25"/>
      <c r="B680" s="25"/>
      <c r="J680" s="17">
        <f t="array" ref="J680">IF(ROW(J680)&lt;=COUNTA(D:D)*2,IF(MOD(ROW(J680),2)=1,INDEX(D:D,(ROW(J680)+1)/2),INDEX(F:F,ROW(J680)/2)),"")</f>
        <v>-677.9</v>
      </c>
      <c r="K680" s="17">
        <f t="array" ref="K680">IF(ROW(K680)&lt;=COUNTA(E:E)*2,IF(MOD(ROW(K680),2)=1,INDEX(E:E,(ROW(K680)+1)/2),INDEX(G:G,ROW(K680)/2)),"")</f>
        <v>47.14</v>
      </c>
    </row>
    <row r="681" spans="1:11" x14ac:dyDescent="0.25">
      <c r="A681" s="25"/>
      <c r="B681" s="25"/>
      <c r="J681" s="17">
        <f t="array" ref="J681">IF(ROW(J681)&lt;=COUNTA(D:D)*2,IF(MOD(ROW(J681),2)=1,INDEX(D:D,(ROW(J681)+1)/2),INDEX(F:F,ROW(J681)/2)),"")</f>
        <v>-677.9</v>
      </c>
      <c r="K681" s="17">
        <f t="array" ref="K681">IF(ROW(K681)&lt;=COUNTA(E:E)*2,IF(MOD(ROW(K681),2)=1,INDEX(E:E,(ROW(K681)+1)/2),INDEX(G:G,ROW(K681)/2)),"")</f>
        <v>45</v>
      </c>
    </row>
    <row r="682" spans="1:11" x14ac:dyDescent="0.25">
      <c r="A682" s="25"/>
      <c r="B682" s="25"/>
      <c r="J682" s="17">
        <f t="array" ref="J682">IF(ROW(J682)&lt;=COUNTA(D:D)*2,IF(MOD(ROW(J682),2)=1,INDEX(D:D,(ROW(J682)+1)/2),INDEX(F:F,ROW(J682)/2)),"")</f>
        <v>0</v>
      </c>
      <c r="K682" s="17">
        <f t="array" ref="K682">IF(ROW(K682)&lt;=COUNTA(E:E)*2,IF(MOD(ROW(K682),2)=1,INDEX(E:E,(ROW(K682)+1)/2),INDEX(G:G,ROW(K682)/2)),"")</f>
        <v>45</v>
      </c>
    </row>
    <row r="683" spans="1:11" x14ac:dyDescent="0.25">
      <c r="A683" s="25"/>
      <c r="B683" s="25"/>
      <c r="J683" s="17">
        <f t="array" ref="J683">IF(ROW(J683)&lt;=COUNTA(D:D)*2,IF(MOD(ROW(J683),2)=1,INDEX(D:D,(ROW(J683)+1)/2),INDEX(F:F,ROW(J683)/2)),"")</f>
        <v>0</v>
      </c>
      <c r="K683" s="17">
        <f t="array" ref="K683">IF(ROW(K683)&lt;=COUNTA(E:E)*2,IF(MOD(ROW(K683),2)=1,INDEX(E:E,(ROW(K683)+1)/2),INDEX(G:G,ROW(K683)/2)),"")</f>
        <v>45</v>
      </c>
    </row>
    <row r="684" spans="1:11" x14ac:dyDescent="0.25">
      <c r="A684" s="25"/>
      <c r="B684" s="25"/>
      <c r="J684" s="17">
        <f t="array" ref="J684">IF(ROW(J684)&lt;=COUNTA(D:D)*2,IF(MOD(ROW(J684),2)=1,INDEX(D:D,(ROW(J684)+1)/2),INDEX(F:F,ROW(J684)/2)),"")</f>
        <v>0</v>
      </c>
      <c r="K684" s="17">
        <f t="array" ref="K684">IF(ROW(K684)&lt;=COUNTA(E:E)*2,IF(MOD(ROW(K684),2)=1,INDEX(E:E,(ROW(K684)+1)/2),INDEX(G:G,ROW(K684)/2)),"")</f>
        <v>45</v>
      </c>
    </row>
    <row r="685" spans="1:11" x14ac:dyDescent="0.25">
      <c r="A685" s="25"/>
      <c r="B685" s="25"/>
      <c r="J685" s="17">
        <f t="array" ref="J685">IF(ROW(J685)&lt;=COUNTA(D:D)*2,IF(MOD(ROW(J685),2)=1,INDEX(D:D,(ROW(J685)+1)/2),INDEX(F:F,ROW(J685)/2)),"")</f>
        <v>0</v>
      </c>
      <c r="K685" s="17">
        <f t="array" ref="K685">IF(ROW(K685)&lt;=COUNTA(E:E)*2,IF(MOD(ROW(K685),2)=1,INDEX(E:E,(ROW(K685)+1)/2),INDEX(G:G,ROW(K685)/2)),"")</f>
        <v>45</v>
      </c>
    </row>
    <row r="686" spans="1:11" x14ac:dyDescent="0.25">
      <c r="A686" s="25"/>
      <c r="B686" s="25"/>
      <c r="J686" s="17">
        <f t="array" ref="J686">IF(ROW(J686)&lt;=COUNTA(D:D)*2,IF(MOD(ROW(J686),2)=1,INDEX(D:D,(ROW(J686)+1)/2),INDEX(F:F,ROW(J686)/2)),"")</f>
        <v>0</v>
      </c>
      <c r="K686" s="17">
        <f t="array" ref="K686">IF(ROW(K686)&lt;=COUNTA(E:E)*2,IF(MOD(ROW(K686),2)=1,INDEX(E:E,(ROW(K686)+1)/2),INDEX(G:G,ROW(K686)/2)),"")</f>
        <v>45</v>
      </c>
    </row>
    <row r="687" spans="1:11" x14ac:dyDescent="0.25">
      <c r="A687" s="25"/>
      <c r="B687" s="25"/>
      <c r="J687" s="17">
        <f t="array" ref="J687">IF(ROW(J687)&lt;=COUNTA(D:D)*2,IF(MOD(ROW(J687),2)=1,INDEX(D:D,(ROW(J687)+1)/2),INDEX(F:F,ROW(J687)/2)),"")</f>
        <v>0</v>
      </c>
      <c r="K687" s="17">
        <f t="array" ref="K687">IF(ROW(K687)&lt;=COUNTA(E:E)*2,IF(MOD(ROW(K687),2)=1,INDEX(E:E,(ROW(K687)+1)/2),INDEX(G:G,ROW(K687)/2)),"")</f>
        <v>45</v>
      </c>
    </row>
    <row r="688" spans="1:11" x14ac:dyDescent="0.25">
      <c r="A688" s="25"/>
      <c r="B688" s="25"/>
      <c r="J688" s="17">
        <f t="array" ref="J688">IF(ROW(J688)&lt;=COUNTA(D:D)*2,IF(MOD(ROW(J688),2)=1,INDEX(D:D,(ROW(J688)+1)/2),INDEX(F:F,ROW(J688)/2)),"")</f>
        <v>0</v>
      </c>
      <c r="K688" s="17">
        <f t="array" ref="K688">IF(ROW(K688)&lt;=COUNTA(E:E)*2,IF(MOD(ROW(K688),2)=1,INDEX(E:E,(ROW(K688)+1)/2),INDEX(G:G,ROW(K688)/2)),"")</f>
        <v>45</v>
      </c>
    </row>
    <row r="689" spans="1:11" x14ac:dyDescent="0.25">
      <c r="A689" s="25"/>
      <c r="B689" s="25"/>
      <c r="J689" s="17">
        <f t="array" ref="J689">IF(ROW(J689)&lt;=COUNTA(D:D)*2,IF(MOD(ROW(J689),2)=1,INDEX(D:D,(ROW(J689)+1)/2),INDEX(F:F,ROW(J689)/2)),"")</f>
        <v>0</v>
      </c>
      <c r="K689" s="17">
        <f t="array" ref="K689">IF(ROW(K689)&lt;=COUNTA(E:E)*2,IF(MOD(ROW(K689),2)=1,INDEX(E:E,(ROW(K689)+1)/2),INDEX(G:G,ROW(K689)/2)),"")</f>
        <v>45</v>
      </c>
    </row>
    <row r="690" spans="1:11" x14ac:dyDescent="0.25">
      <c r="A690" s="25"/>
      <c r="B690" s="25"/>
      <c r="J690" s="17">
        <f t="array" ref="J690">IF(ROW(J690)&lt;=COUNTA(D:D)*2,IF(MOD(ROW(J690),2)=1,INDEX(D:D,(ROW(J690)+1)/2),INDEX(F:F,ROW(J690)/2)),"")</f>
        <v>0</v>
      </c>
      <c r="K690" s="17">
        <f t="array" ref="K690">IF(ROW(K690)&lt;=COUNTA(E:E)*2,IF(MOD(ROW(K690),2)=1,INDEX(E:E,(ROW(K690)+1)/2),INDEX(G:G,ROW(K690)/2)),"")</f>
        <v>45</v>
      </c>
    </row>
    <row r="691" spans="1:11" x14ac:dyDescent="0.25">
      <c r="A691" s="25"/>
      <c r="B691" s="25"/>
      <c r="J691" s="17">
        <f t="array" ref="J691">IF(ROW(J691)&lt;=COUNTA(D:D)*2,IF(MOD(ROW(J691),2)=1,INDEX(D:D,(ROW(J691)+1)/2),INDEX(F:F,ROW(J691)/2)),"")</f>
        <v>0</v>
      </c>
      <c r="K691" s="17">
        <f t="array" ref="K691">IF(ROW(K691)&lt;=COUNTA(E:E)*2,IF(MOD(ROW(K691),2)=1,INDEX(E:E,(ROW(K691)+1)/2),INDEX(G:G,ROW(K691)/2)),"")</f>
        <v>45</v>
      </c>
    </row>
    <row r="692" spans="1:11" x14ac:dyDescent="0.25">
      <c r="A692" s="25"/>
      <c r="B692" s="25"/>
      <c r="J692" s="17">
        <f t="array" ref="J692">IF(ROW(J692)&lt;=COUNTA(D:D)*2,IF(MOD(ROW(J692),2)=1,INDEX(D:D,(ROW(J692)+1)/2),INDEX(F:F,ROW(J692)/2)),"")</f>
        <v>0</v>
      </c>
      <c r="K692" s="17">
        <f t="array" ref="K692">IF(ROW(K692)&lt;=COUNTA(E:E)*2,IF(MOD(ROW(K692),2)=1,INDEX(E:E,(ROW(K692)+1)/2),INDEX(G:G,ROW(K692)/2)),"")</f>
        <v>45</v>
      </c>
    </row>
    <row r="693" spans="1:11" x14ac:dyDescent="0.25">
      <c r="A693" s="25"/>
      <c r="B693" s="25"/>
      <c r="J693" s="17">
        <f t="array" ref="J693">IF(ROW(J693)&lt;=COUNTA(D:D)*2,IF(MOD(ROW(J693),2)=1,INDEX(D:D,(ROW(J693)+1)/2),INDEX(F:F,ROW(J693)/2)),"")</f>
        <v>0</v>
      </c>
      <c r="K693" s="17">
        <f t="array" ref="K693">IF(ROW(K693)&lt;=COUNTA(E:E)*2,IF(MOD(ROW(K693),2)=1,INDEX(E:E,(ROW(K693)+1)/2),INDEX(G:G,ROW(K693)/2)),"")</f>
        <v>45</v>
      </c>
    </row>
    <row r="694" spans="1:11" x14ac:dyDescent="0.25">
      <c r="A694" s="25"/>
      <c r="B694" s="25"/>
      <c r="J694" s="17">
        <f t="array" ref="J694">IF(ROW(J694)&lt;=COUNTA(D:D)*2,IF(MOD(ROW(J694),2)=1,INDEX(D:D,(ROW(J694)+1)/2),INDEX(F:F,ROW(J694)/2)),"")</f>
        <v>0</v>
      </c>
      <c r="K694" s="17">
        <f t="array" ref="K694">IF(ROW(K694)&lt;=COUNTA(E:E)*2,IF(MOD(ROW(K694),2)=1,INDEX(E:E,(ROW(K694)+1)/2),INDEX(G:G,ROW(K694)/2)),"")</f>
        <v>45</v>
      </c>
    </row>
    <row r="695" spans="1:11" x14ac:dyDescent="0.25">
      <c r="A695" s="25"/>
      <c r="B695" s="25"/>
      <c r="J695" s="17">
        <f t="array" ref="J695">IF(ROW(J695)&lt;=COUNTA(D:D)*2,IF(MOD(ROW(J695),2)=1,INDEX(D:D,(ROW(J695)+1)/2),INDEX(F:F,ROW(J695)/2)),"")</f>
        <v>0</v>
      </c>
      <c r="K695" s="17">
        <f t="array" ref="K695">IF(ROW(K695)&lt;=COUNTA(E:E)*2,IF(MOD(ROW(K695),2)=1,INDEX(E:E,(ROW(K695)+1)/2),INDEX(G:G,ROW(K695)/2)),"")</f>
        <v>45</v>
      </c>
    </row>
    <row r="696" spans="1:11" x14ac:dyDescent="0.25">
      <c r="A696" s="25"/>
      <c r="B696" s="25"/>
      <c r="J696" s="17">
        <f t="array" ref="J696">IF(ROW(J696)&lt;=COUNTA(D:D)*2,IF(MOD(ROW(J696),2)=1,INDEX(D:D,(ROW(J696)+1)/2),INDEX(F:F,ROW(J696)/2)),"")</f>
        <v>0</v>
      </c>
      <c r="K696" s="17">
        <f t="array" ref="K696">IF(ROW(K696)&lt;=COUNTA(E:E)*2,IF(MOD(ROW(K696),2)=1,INDEX(E:E,(ROW(K696)+1)/2),INDEX(G:G,ROW(K696)/2)),"")</f>
        <v>45</v>
      </c>
    </row>
    <row r="697" spans="1:11" x14ac:dyDescent="0.25">
      <c r="A697" s="25"/>
      <c r="B697" s="25"/>
      <c r="J697" s="17">
        <f t="array" ref="J697">IF(ROW(J697)&lt;=COUNTA(D:D)*2,IF(MOD(ROW(J697),2)=1,INDEX(D:D,(ROW(J697)+1)/2),INDEX(F:F,ROW(J697)/2)),"")</f>
        <v>0</v>
      </c>
      <c r="K697" s="17">
        <f t="array" ref="K697">IF(ROW(K697)&lt;=COUNTA(E:E)*2,IF(MOD(ROW(K697),2)=1,INDEX(E:E,(ROW(K697)+1)/2),INDEX(G:G,ROW(K697)/2)),"")</f>
        <v>45</v>
      </c>
    </row>
    <row r="698" spans="1:11" x14ac:dyDescent="0.25">
      <c r="A698" s="25"/>
      <c r="B698" s="25"/>
      <c r="J698" s="17">
        <f t="array" ref="J698">IF(ROW(J698)&lt;=COUNTA(D:D)*2,IF(MOD(ROW(J698),2)=1,INDEX(D:D,(ROW(J698)+1)/2),INDEX(F:F,ROW(J698)/2)),"")</f>
        <v>0</v>
      </c>
      <c r="K698" s="17">
        <f t="array" ref="K698">IF(ROW(K698)&lt;=COUNTA(E:E)*2,IF(MOD(ROW(K698),2)=1,INDEX(E:E,(ROW(K698)+1)/2),INDEX(G:G,ROW(K698)/2)),"")</f>
        <v>45</v>
      </c>
    </row>
    <row r="699" spans="1:11" x14ac:dyDescent="0.25">
      <c r="A699" s="25"/>
      <c r="B699" s="25"/>
      <c r="J699" s="17">
        <f t="array" ref="J699">IF(ROW(J699)&lt;=COUNTA(D:D)*2,IF(MOD(ROW(J699),2)=1,INDEX(D:D,(ROW(J699)+1)/2),INDEX(F:F,ROW(J699)/2)),"")</f>
        <v>0</v>
      </c>
      <c r="K699" s="17">
        <f t="array" ref="K699">IF(ROW(K699)&lt;=COUNTA(E:E)*2,IF(MOD(ROW(K699),2)=1,INDEX(E:E,(ROW(K699)+1)/2),INDEX(G:G,ROW(K699)/2)),"")</f>
        <v>45</v>
      </c>
    </row>
    <row r="700" spans="1:11" x14ac:dyDescent="0.25">
      <c r="A700" s="25"/>
      <c r="B700" s="25"/>
      <c r="J700" s="17">
        <f t="array" ref="J700">IF(ROW(J700)&lt;=COUNTA(D:D)*2,IF(MOD(ROW(J700),2)=1,INDEX(D:D,(ROW(J700)+1)/2),INDEX(F:F,ROW(J700)/2)),"")</f>
        <v>0</v>
      </c>
      <c r="K700" s="17">
        <f t="array" ref="K700">IF(ROW(K700)&lt;=COUNTA(E:E)*2,IF(MOD(ROW(K700),2)=1,INDEX(E:E,(ROW(K700)+1)/2),INDEX(G:G,ROW(K700)/2)),"")</f>
        <v>45</v>
      </c>
    </row>
    <row r="701" spans="1:11" x14ac:dyDescent="0.25">
      <c r="A701" s="25"/>
      <c r="B701" s="25"/>
      <c r="J701" s="17">
        <f t="array" ref="J701">IF(ROW(J701)&lt;=COUNTA(D:D)*2,IF(MOD(ROW(J701),2)=1,INDEX(D:D,(ROW(J701)+1)/2),INDEX(F:F,ROW(J701)/2)),"")</f>
        <v>0</v>
      </c>
      <c r="K701" s="17">
        <f t="array" ref="K701">IF(ROW(K701)&lt;=COUNTA(E:E)*2,IF(MOD(ROW(K701),2)=1,INDEX(E:E,(ROW(K701)+1)/2),INDEX(G:G,ROW(K701)/2)),"")</f>
        <v>45</v>
      </c>
    </row>
    <row r="702" spans="1:11" x14ac:dyDescent="0.25">
      <c r="A702" s="25"/>
      <c r="B702" s="25"/>
      <c r="J702" s="17">
        <f t="array" ref="J702">IF(ROW(J702)&lt;=COUNTA(D:D)*2,IF(MOD(ROW(J702),2)=1,INDEX(D:D,(ROW(J702)+1)/2),INDEX(F:F,ROW(J702)/2)),"")</f>
        <v>0</v>
      </c>
      <c r="K702" s="17">
        <f t="array" ref="K702">IF(ROW(K702)&lt;=COUNTA(E:E)*2,IF(MOD(ROW(K702),2)=1,INDEX(E:E,(ROW(K702)+1)/2),INDEX(G:G,ROW(K702)/2)),"")</f>
        <v>45</v>
      </c>
    </row>
    <row r="703" spans="1:11" x14ac:dyDescent="0.25">
      <c r="A703" s="25"/>
      <c r="B703" s="25"/>
      <c r="J703" s="17">
        <f t="array" ref="J703">IF(ROW(J703)&lt;=COUNTA(D:D)*2,IF(MOD(ROW(J703),2)=1,INDEX(D:D,(ROW(J703)+1)/2),INDEX(F:F,ROW(J703)/2)),"")</f>
        <v>0</v>
      </c>
      <c r="K703" s="17">
        <f t="array" ref="K703">IF(ROW(K703)&lt;=COUNTA(E:E)*2,IF(MOD(ROW(K703),2)=1,INDEX(E:E,(ROW(K703)+1)/2),INDEX(G:G,ROW(K703)/2)),"")</f>
        <v>45</v>
      </c>
    </row>
    <row r="704" spans="1:11" x14ac:dyDescent="0.25">
      <c r="A704" s="25"/>
      <c r="B704" s="25"/>
      <c r="J704" s="17">
        <f t="array" ref="J704">IF(ROW(J704)&lt;=COUNTA(D:D)*2,IF(MOD(ROW(J704),2)=1,INDEX(D:D,(ROW(J704)+1)/2),INDEX(F:F,ROW(J704)/2)),"")</f>
        <v>0</v>
      </c>
      <c r="K704" s="17">
        <f t="array" ref="K704">IF(ROW(K704)&lt;=COUNTA(E:E)*2,IF(MOD(ROW(K704),2)=1,INDEX(E:E,(ROW(K704)+1)/2),INDEX(G:G,ROW(K704)/2)),"")</f>
        <v>45</v>
      </c>
    </row>
    <row r="705" spans="1:11" x14ac:dyDescent="0.25">
      <c r="A705" s="25"/>
      <c r="B705" s="25"/>
      <c r="J705" s="17">
        <f t="array" ref="J705">IF(ROW(J705)&lt;=COUNTA(D:D)*2,IF(MOD(ROW(J705),2)=1,INDEX(D:D,(ROW(J705)+1)/2),INDEX(F:F,ROW(J705)/2)),"")</f>
        <v>0</v>
      </c>
      <c r="K705" s="17">
        <f t="array" ref="K705">IF(ROW(K705)&lt;=COUNTA(E:E)*2,IF(MOD(ROW(K705),2)=1,INDEX(E:E,(ROW(K705)+1)/2),INDEX(G:G,ROW(K705)/2)),"")</f>
        <v>45</v>
      </c>
    </row>
    <row r="706" spans="1:11" x14ac:dyDescent="0.25">
      <c r="A706" s="25"/>
      <c r="B706" s="25"/>
      <c r="J706" s="17">
        <f t="array" ref="J706">IF(ROW(J706)&lt;=COUNTA(D:D)*2,IF(MOD(ROW(J706),2)=1,INDEX(D:D,(ROW(J706)+1)/2),INDEX(F:F,ROW(J706)/2)),"")</f>
        <v>0</v>
      </c>
      <c r="K706" s="17">
        <f t="array" ref="K706">IF(ROW(K706)&lt;=COUNTA(E:E)*2,IF(MOD(ROW(K706),2)=1,INDEX(E:E,(ROW(K706)+1)/2),INDEX(G:G,ROW(K706)/2)),"")</f>
        <v>45</v>
      </c>
    </row>
    <row r="707" spans="1:11" x14ac:dyDescent="0.25">
      <c r="A707" s="25"/>
      <c r="B707" s="25"/>
      <c r="J707" s="17">
        <f t="array" ref="J707">IF(ROW(J707)&lt;=COUNTA(D:D)*2,IF(MOD(ROW(J707),2)=1,INDEX(D:D,(ROW(J707)+1)/2),INDEX(F:F,ROW(J707)/2)),"")</f>
        <v>0</v>
      </c>
      <c r="K707" s="17">
        <f t="array" ref="K707">IF(ROW(K707)&lt;=COUNTA(E:E)*2,IF(MOD(ROW(K707),2)=1,INDEX(E:E,(ROW(K707)+1)/2),INDEX(G:G,ROW(K707)/2)),"")</f>
        <v>45</v>
      </c>
    </row>
    <row r="708" spans="1:11" x14ac:dyDescent="0.25">
      <c r="A708" s="25"/>
      <c r="B708" s="25"/>
      <c r="J708" s="17">
        <f t="array" ref="J708">IF(ROW(J708)&lt;=COUNTA(D:D)*2,IF(MOD(ROW(J708),2)=1,INDEX(D:D,(ROW(J708)+1)/2),INDEX(F:F,ROW(J708)/2)),"")</f>
        <v>0</v>
      </c>
      <c r="K708" s="17">
        <f t="array" ref="K708">IF(ROW(K708)&lt;=COUNTA(E:E)*2,IF(MOD(ROW(K708),2)=1,INDEX(E:E,(ROW(K708)+1)/2),INDEX(G:G,ROW(K708)/2)),"")</f>
        <v>45</v>
      </c>
    </row>
    <row r="709" spans="1:11" x14ac:dyDescent="0.25">
      <c r="A709" s="25"/>
      <c r="B709" s="25"/>
      <c r="J709" s="17">
        <f t="array" ref="J709">IF(ROW(J709)&lt;=COUNTA(D:D)*2,IF(MOD(ROW(J709),2)=1,INDEX(D:D,(ROW(J709)+1)/2),INDEX(F:F,ROW(J709)/2)),"")</f>
        <v>0</v>
      </c>
      <c r="K709" s="17">
        <f t="array" ref="K709">IF(ROW(K709)&lt;=COUNTA(E:E)*2,IF(MOD(ROW(K709),2)=1,INDEX(E:E,(ROW(K709)+1)/2),INDEX(G:G,ROW(K709)/2)),"")</f>
        <v>45</v>
      </c>
    </row>
    <row r="710" spans="1:11" x14ac:dyDescent="0.25">
      <c r="A710" s="25"/>
      <c r="B710" s="25"/>
      <c r="J710" s="17">
        <f t="array" ref="J710">IF(ROW(J710)&lt;=COUNTA(D:D)*2,IF(MOD(ROW(J710),2)=1,INDEX(D:D,(ROW(J710)+1)/2),INDEX(F:F,ROW(J710)/2)),"")</f>
        <v>0</v>
      </c>
      <c r="K710" s="17">
        <f t="array" ref="K710">IF(ROW(K710)&lt;=COUNTA(E:E)*2,IF(MOD(ROW(K710),2)=1,INDEX(E:E,(ROW(K710)+1)/2),INDEX(G:G,ROW(K710)/2)),"")</f>
        <v>45</v>
      </c>
    </row>
    <row r="711" spans="1:11" x14ac:dyDescent="0.25">
      <c r="A711" s="25"/>
      <c r="B711" s="25"/>
      <c r="J711" s="17">
        <f t="array" ref="J711">IF(ROW(J711)&lt;=COUNTA(D:D)*2,IF(MOD(ROW(J711),2)=1,INDEX(D:D,(ROW(J711)+1)/2),INDEX(F:F,ROW(J711)/2)),"")</f>
        <v>0</v>
      </c>
      <c r="K711" s="17">
        <f t="array" ref="K711">IF(ROW(K711)&lt;=COUNTA(E:E)*2,IF(MOD(ROW(K711),2)=1,INDEX(E:E,(ROW(K711)+1)/2),INDEX(G:G,ROW(K711)/2)),"")</f>
        <v>45</v>
      </c>
    </row>
    <row r="712" spans="1:11" x14ac:dyDescent="0.25">
      <c r="A712" s="25"/>
      <c r="B712" s="25"/>
      <c r="J712" s="17">
        <f t="array" ref="J712">IF(ROW(J712)&lt;=COUNTA(D:D)*2,IF(MOD(ROW(J712),2)=1,INDEX(D:D,(ROW(J712)+1)/2),INDEX(F:F,ROW(J712)/2)),"")</f>
        <v>0</v>
      </c>
      <c r="K712" s="17">
        <f t="array" ref="K712">IF(ROW(K712)&lt;=COUNTA(E:E)*2,IF(MOD(ROW(K712),2)=1,INDEX(E:E,(ROW(K712)+1)/2),INDEX(G:G,ROW(K712)/2)),"")</f>
        <v>45</v>
      </c>
    </row>
    <row r="713" spans="1:11" x14ac:dyDescent="0.25">
      <c r="A713" s="25"/>
      <c r="B713" s="25"/>
      <c r="J713" s="17">
        <f t="array" ref="J713">IF(ROW(J713)&lt;=COUNTA(D:D)*2,IF(MOD(ROW(J713),2)=1,INDEX(D:D,(ROW(J713)+1)/2),INDEX(F:F,ROW(J713)/2)),"")</f>
        <v>0</v>
      </c>
      <c r="K713" s="17">
        <f t="array" ref="K713">IF(ROW(K713)&lt;=COUNTA(E:E)*2,IF(MOD(ROW(K713),2)=1,INDEX(E:E,(ROW(K713)+1)/2),INDEX(G:G,ROW(K713)/2)),"")</f>
        <v>45</v>
      </c>
    </row>
    <row r="714" spans="1:11" x14ac:dyDescent="0.25">
      <c r="A714" s="25"/>
      <c r="B714" s="25"/>
      <c r="J714" s="17">
        <f t="array" ref="J714">IF(ROW(J714)&lt;=COUNTA(D:D)*2,IF(MOD(ROW(J714),2)=1,INDEX(D:D,(ROW(J714)+1)/2),INDEX(F:F,ROW(J714)/2)),"")</f>
        <v>0</v>
      </c>
      <c r="K714" s="17">
        <f t="array" ref="K714">IF(ROW(K714)&lt;=COUNTA(E:E)*2,IF(MOD(ROW(K714),2)=1,INDEX(E:E,(ROW(K714)+1)/2),INDEX(G:G,ROW(K714)/2)),"")</f>
        <v>45</v>
      </c>
    </row>
    <row r="715" spans="1:11" x14ac:dyDescent="0.25">
      <c r="A715" s="25"/>
      <c r="B715" s="25"/>
      <c r="J715" s="17">
        <f t="array" ref="J715">IF(ROW(J715)&lt;=COUNTA(D:D)*2,IF(MOD(ROW(J715),2)=1,INDEX(D:D,(ROW(J715)+1)/2),INDEX(F:F,ROW(J715)/2)),"")</f>
        <v>0</v>
      </c>
      <c r="K715" s="17">
        <f t="array" ref="K715">IF(ROW(K715)&lt;=COUNTA(E:E)*2,IF(MOD(ROW(K715),2)=1,INDEX(E:E,(ROW(K715)+1)/2),INDEX(G:G,ROW(K715)/2)),"")</f>
        <v>45</v>
      </c>
    </row>
    <row r="716" spans="1:11" x14ac:dyDescent="0.25">
      <c r="A716" s="25"/>
      <c r="B716" s="25"/>
      <c r="J716" s="17">
        <f t="array" ref="J716">IF(ROW(J716)&lt;=COUNTA(D:D)*2,IF(MOD(ROW(J716),2)=1,INDEX(D:D,(ROW(J716)+1)/2),INDEX(F:F,ROW(J716)/2)),"")</f>
        <v>0</v>
      </c>
      <c r="K716" s="17">
        <f t="array" ref="K716">IF(ROW(K716)&lt;=COUNTA(E:E)*2,IF(MOD(ROW(K716),2)=1,INDEX(E:E,(ROW(K716)+1)/2),INDEX(G:G,ROW(K716)/2)),"")</f>
        <v>45</v>
      </c>
    </row>
    <row r="717" spans="1:11" x14ac:dyDescent="0.25">
      <c r="A717" s="25"/>
      <c r="B717" s="25"/>
      <c r="J717" s="17">
        <f t="array" ref="J717">IF(ROW(J717)&lt;=COUNTA(D:D)*2,IF(MOD(ROW(J717),2)=1,INDEX(D:D,(ROW(J717)+1)/2),INDEX(F:F,ROW(J717)/2)),"")</f>
        <v>0</v>
      </c>
      <c r="K717" s="17">
        <f t="array" ref="K717">IF(ROW(K717)&lt;=COUNTA(E:E)*2,IF(MOD(ROW(K717),2)=1,INDEX(E:E,(ROW(K717)+1)/2),INDEX(G:G,ROW(K717)/2)),"")</f>
        <v>45</v>
      </c>
    </row>
    <row r="718" spans="1:11" x14ac:dyDescent="0.25">
      <c r="A718" s="25"/>
      <c r="B718" s="25"/>
      <c r="J718" s="17">
        <f t="array" ref="J718">IF(ROW(J718)&lt;=COUNTA(D:D)*2,IF(MOD(ROW(J718),2)=1,INDEX(D:D,(ROW(J718)+1)/2),INDEX(F:F,ROW(J718)/2)),"")</f>
        <v>0</v>
      </c>
      <c r="K718" s="17">
        <f t="array" ref="K718">IF(ROW(K718)&lt;=COUNTA(E:E)*2,IF(MOD(ROW(K718),2)=1,INDEX(E:E,(ROW(K718)+1)/2),INDEX(G:G,ROW(K718)/2)),"")</f>
        <v>45</v>
      </c>
    </row>
    <row r="719" spans="1:11" x14ac:dyDescent="0.25">
      <c r="A719" s="25"/>
      <c r="B719" s="25"/>
      <c r="J719" s="17">
        <f t="array" ref="J719">IF(ROW(J719)&lt;=COUNTA(D:D)*2,IF(MOD(ROW(J719),2)=1,INDEX(D:D,(ROW(J719)+1)/2),INDEX(F:F,ROW(J719)/2)),"")</f>
        <v>0</v>
      </c>
      <c r="K719" s="17">
        <f t="array" ref="K719">IF(ROW(K719)&lt;=COUNTA(E:E)*2,IF(MOD(ROW(K719),2)=1,INDEX(E:E,(ROW(K719)+1)/2),INDEX(G:G,ROW(K719)/2)),"")</f>
        <v>45</v>
      </c>
    </row>
    <row r="720" spans="1:11" x14ac:dyDescent="0.25">
      <c r="A720" s="25"/>
      <c r="B720" s="25"/>
      <c r="J720" s="17">
        <f t="array" ref="J720">IF(ROW(J720)&lt;=COUNTA(D:D)*2,IF(MOD(ROW(J720),2)=1,INDEX(D:D,(ROW(J720)+1)/2),INDEX(F:F,ROW(J720)/2)),"")</f>
        <v>0</v>
      </c>
      <c r="K720" s="17">
        <f t="array" ref="K720">IF(ROW(K720)&lt;=COUNTA(E:E)*2,IF(MOD(ROW(K720),2)=1,INDEX(E:E,(ROW(K720)+1)/2),INDEX(G:G,ROW(K720)/2)),"")</f>
        <v>45</v>
      </c>
    </row>
    <row r="721" spans="1:11" x14ac:dyDescent="0.25">
      <c r="A721" s="25"/>
      <c r="B721" s="25"/>
      <c r="J721" s="17">
        <f t="array" ref="J721">IF(ROW(J721)&lt;=COUNTA(D:D)*2,IF(MOD(ROW(J721),2)=1,INDEX(D:D,(ROW(J721)+1)/2),INDEX(F:F,ROW(J721)/2)),"")</f>
        <v>0</v>
      </c>
      <c r="K721" s="17">
        <f t="array" ref="K721">IF(ROW(K721)&lt;=COUNTA(E:E)*2,IF(MOD(ROW(K721),2)=1,INDEX(E:E,(ROW(K721)+1)/2),INDEX(G:G,ROW(K721)/2)),"")</f>
        <v>45</v>
      </c>
    </row>
    <row r="722" spans="1:11" x14ac:dyDescent="0.25">
      <c r="A722" s="25"/>
      <c r="B722" s="25"/>
      <c r="J722" s="17">
        <f t="array" ref="J722">IF(ROW(J722)&lt;=COUNTA(D:D)*2,IF(MOD(ROW(J722),2)=1,INDEX(D:D,(ROW(J722)+1)/2),INDEX(F:F,ROW(J722)/2)),"")</f>
        <v>0</v>
      </c>
      <c r="K722" s="17">
        <f t="array" ref="K722">IF(ROW(K722)&lt;=COUNTA(E:E)*2,IF(MOD(ROW(K722),2)=1,INDEX(E:E,(ROW(K722)+1)/2),INDEX(G:G,ROW(K722)/2)),"")</f>
        <v>45</v>
      </c>
    </row>
    <row r="723" spans="1:11" x14ac:dyDescent="0.25">
      <c r="A723" s="25"/>
      <c r="B723" s="25"/>
      <c r="J723" s="17">
        <f t="array" ref="J723">IF(ROW(J723)&lt;=COUNTA(D:D)*2,IF(MOD(ROW(J723),2)=1,INDEX(D:D,(ROW(J723)+1)/2),INDEX(F:F,ROW(J723)/2)),"")</f>
        <v>0</v>
      </c>
      <c r="K723" s="17">
        <f t="array" ref="K723">IF(ROW(K723)&lt;=COUNTA(E:E)*2,IF(MOD(ROW(K723),2)=1,INDEX(E:E,(ROW(K723)+1)/2),INDEX(G:G,ROW(K723)/2)),"")</f>
        <v>45</v>
      </c>
    </row>
    <row r="724" spans="1:11" x14ac:dyDescent="0.25">
      <c r="A724" s="25"/>
      <c r="B724" s="25"/>
      <c r="J724" s="17">
        <f t="array" ref="J724">IF(ROW(J724)&lt;=COUNTA(D:D)*2,IF(MOD(ROW(J724),2)=1,INDEX(D:D,(ROW(J724)+1)/2),INDEX(F:F,ROW(J724)/2)),"")</f>
        <v>0</v>
      </c>
      <c r="K724" s="17">
        <f t="array" ref="K724">IF(ROW(K724)&lt;=COUNTA(E:E)*2,IF(MOD(ROW(K724),2)=1,INDEX(E:E,(ROW(K724)+1)/2),INDEX(G:G,ROW(K724)/2)),"")</f>
        <v>45</v>
      </c>
    </row>
    <row r="725" spans="1:11" x14ac:dyDescent="0.25">
      <c r="A725" s="25"/>
      <c r="B725" s="25"/>
      <c r="J725" s="17">
        <f t="array" ref="J725">IF(ROW(J725)&lt;=COUNTA(D:D)*2,IF(MOD(ROW(J725),2)=1,INDEX(D:D,(ROW(J725)+1)/2),INDEX(F:F,ROW(J725)/2)),"")</f>
        <v>0</v>
      </c>
      <c r="K725" s="17">
        <f t="array" ref="K725">IF(ROW(K725)&lt;=COUNTA(E:E)*2,IF(MOD(ROW(K725),2)=1,INDEX(E:E,(ROW(K725)+1)/2),INDEX(G:G,ROW(K725)/2)),"")</f>
        <v>45</v>
      </c>
    </row>
    <row r="726" spans="1:11" x14ac:dyDescent="0.25">
      <c r="A726" s="25"/>
      <c r="B726" s="25"/>
      <c r="J726" s="17">
        <f t="array" ref="J726">IF(ROW(J726)&lt;=COUNTA(D:D)*2,IF(MOD(ROW(J726),2)=1,INDEX(D:D,(ROW(J726)+1)/2),INDEX(F:F,ROW(J726)/2)),"")</f>
        <v>0</v>
      </c>
      <c r="K726" s="17">
        <f t="array" ref="K726">IF(ROW(K726)&lt;=COUNTA(E:E)*2,IF(MOD(ROW(K726),2)=1,INDEX(E:E,(ROW(K726)+1)/2),INDEX(G:G,ROW(K726)/2)),"")</f>
        <v>45</v>
      </c>
    </row>
    <row r="727" spans="1:11" x14ac:dyDescent="0.25">
      <c r="A727" s="25"/>
      <c r="B727" s="25"/>
      <c r="J727" s="17">
        <f t="array" ref="J727">IF(ROW(J727)&lt;=COUNTA(D:D)*2,IF(MOD(ROW(J727),2)=1,INDEX(D:D,(ROW(J727)+1)/2),INDEX(F:F,ROW(J727)/2)),"")</f>
        <v>0</v>
      </c>
      <c r="K727" s="17">
        <f t="array" ref="K727">IF(ROW(K727)&lt;=COUNTA(E:E)*2,IF(MOD(ROW(K727),2)=1,INDEX(E:E,(ROW(K727)+1)/2),INDEX(G:G,ROW(K727)/2)),"")</f>
        <v>45</v>
      </c>
    </row>
    <row r="728" spans="1:11" x14ac:dyDescent="0.25">
      <c r="A728" s="25"/>
      <c r="B728" s="25"/>
      <c r="J728" s="17">
        <f t="array" ref="J728">IF(ROW(J728)&lt;=COUNTA(D:D)*2,IF(MOD(ROW(J728),2)=1,INDEX(D:D,(ROW(J728)+1)/2),INDEX(F:F,ROW(J728)/2)),"")</f>
        <v>0</v>
      </c>
      <c r="K728" s="17">
        <f t="array" ref="K728">IF(ROW(K728)&lt;=COUNTA(E:E)*2,IF(MOD(ROW(K728),2)=1,INDEX(E:E,(ROW(K728)+1)/2),INDEX(G:G,ROW(K728)/2)),"")</f>
        <v>45</v>
      </c>
    </row>
    <row r="729" spans="1:11" x14ac:dyDescent="0.25">
      <c r="A729" s="25"/>
      <c r="B729" s="25"/>
      <c r="J729" s="17">
        <f t="array" ref="J729">IF(ROW(J729)&lt;=COUNTA(D:D)*2,IF(MOD(ROW(J729),2)=1,INDEX(D:D,(ROW(J729)+1)/2),INDEX(F:F,ROW(J729)/2)),"")</f>
        <v>0</v>
      </c>
      <c r="K729" s="17">
        <f t="array" ref="K729">IF(ROW(K729)&lt;=COUNTA(E:E)*2,IF(MOD(ROW(K729),2)=1,INDEX(E:E,(ROW(K729)+1)/2),INDEX(G:G,ROW(K729)/2)),"")</f>
        <v>45</v>
      </c>
    </row>
    <row r="730" spans="1:11" x14ac:dyDescent="0.25">
      <c r="A730" s="25"/>
      <c r="B730" s="25"/>
      <c r="J730" s="17">
        <f t="array" ref="J730">IF(ROW(J730)&lt;=COUNTA(D:D)*2,IF(MOD(ROW(J730),2)=1,INDEX(D:D,(ROW(J730)+1)/2),INDEX(F:F,ROW(J730)/2)),"")</f>
        <v>0</v>
      </c>
      <c r="K730" s="17">
        <f t="array" ref="K730">IF(ROW(K730)&lt;=COUNTA(E:E)*2,IF(MOD(ROW(K730),2)=1,INDEX(E:E,(ROW(K730)+1)/2),INDEX(G:G,ROW(K730)/2)),"")</f>
        <v>45</v>
      </c>
    </row>
    <row r="731" spans="1:11" x14ac:dyDescent="0.25">
      <c r="A731" s="25"/>
      <c r="B731" s="25"/>
      <c r="J731" s="17">
        <f t="array" ref="J731">IF(ROW(J731)&lt;=COUNTA(D:D)*2,IF(MOD(ROW(J731),2)=1,INDEX(D:D,(ROW(J731)+1)/2),INDEX(F:F,ROW(J731)/2)),"")</f>
        <v>0</v>
      </c>
      <c r="K731" s="17">
        <f t="array" ref="K731">IF(ROW(K731)&lt;=COUNTA(E:E)*2,IF(MOD(ROW(K731),2)=1,INDEX(E:E,(ROW(K731)+1)/2),INDEX(G:G,ROW(K731)/2)),"")</f>
        <v>45</v>
      </c>
    </row>
    <row r="732" spans="1:11" x14ac:dyDescent="0.25">
      <c r="A732" s="25"/>
      <c r="B732" s="25"/>
      <c r="J732" s="17">
        <f t="array" ref="J732">IF(ROW(J732)&lt;=COUNTA(D:D)*2,IF(MOD(ROW(J732),2)=1,INDEX(D:D,(ROW(J732)+1)/2),INDEX(F:F,ROW(J732)/2)),"")</f>
        <v>0</v>
      </c>
      <c r="K732" s="17">
        <f t="array" ref="K732">IF(ROW(K732)&lt;=COUNTA(E:E)*2,IF(MOD(ROW(K732),2)=1,INDEX(E:E,(ROW(K732)+1)/2),INDEX(G:G,ROW(K732)/2)),"")</f>
        <v>45</v>
      </c>
    </row>
    <row r="733" spans="1:11" x14ac:dyDescent="0.25">
      <c r="A733" s="25"/>
      <c r="B733" s="25"/>
      <c r="J733" s="17">
        <f t="array" ref="J733">IF(ROW(J733)&lt;=COUNTA(D:D)*2,IF(MOD(ROW(J733),2)=1,INDEX(D:D,(ROW(J733)+1)/2),INDEX(F:F,ROW(J733)/2)),"")</f>
        <v>0</v>
      </c>
      <c r="K733" s="17">
        <f t="array" ref="K733">IF(ROW(K733)&lt;=COUNTA(E:E)*2,IF(MOD(ROW(K733),2)=1,INDEX(E:E,(ROW(K733)+1)/2),INDEX(G:G,ROW(K733)/2)),"")</f>
        <v>45</v>
      </c>
    </row>
    <row r="734" spans="1:11" x14ac:dyDescent="0.25">
      <c r="A734" s="25"/>
      <c r="B734" s="25"/>
      <c r="J734" s="17">
        <f t="array" ref="J734">IF(ROW(J734)&lt;=COUNTA(D:D)*2,IF(MOD(ROW(J734),2)=1,INDEX(D:D,(ROW(J734)+1)/2),INDEX(F:F,ROW(J734)/2)),"")</f>
        <v>0</v>
      </c>
      <c r="K734" s="17">
        <f t="array" ref="K734">IF(ROW(K734)&lt;=COUNTA(E:E)*2,IF(MOD(ROW(K734),2)=1,INDEX(E:E,(ROW(K734)+1)/2),INDEX(G:G,ROW(K734)/2)),"")</f>
        <v>45</v>
      </c>
    </row>
    <row r="735" spans="1:11" x14ac:dyDescent="0.25">
      <c r="A735" s="25"/>
      <c r="B735" s="25"/>
      <c r="J735" s="17">
        <f t="array" ref="J735">IF(ROW(J735)&lt;=COUNTA(D:D)*2,IF(MOD(ROW(J735),2)=1,INDEX(D:D,(ROW(J735)+1)/2),INDEX(F:F,ROW(J735)/2)),"")</f>
        <v>0</v>
      </c>
      <c r="K735" s="17">
        <f t="array" ref="K735">IF(ROW(K735)&lt;=COUNTA(E:E)*2,IF(MOD(ROW(K735),2)=1,INDEX(E:E,(ROW(K735)+1)/2),INDEX(G:G,ROW(K735)/2)),"")</f>
        <v>45</v>
      </c>
    </row>
    <row r="736" spans="1:11" x14ac:dyDescent="0.25">
      <c r="A736" s="25"/>
      <c r="B736" s="25"/>
      <c r="J736" s="17">
        <f t="array" ref="J736">IF(ROW(J736)&lt;=COUNTA(D:D)*2,IF(MOD(ROW(J736),2)=1,INDEX(D:D,(ROW(J736)+1)/2),INDEX(F:F,ROW(J736)/2)),"")</f>
        <v>0</v>
      </c>
      <c r="K736" s="17">
        <f t="array" ref="K736">IF(ROW(K736)&lt;=COUNTA(E:E)*2,IF(MOD(ROW(K736),2)=1,INDEX(E:E,(ROW(K736)+1)/2),INDEX(G:G,ROW(K736)/2)),"")</f>
        <v>45</v>
      </c>
    </row>
    <row r="737" spans="1:11" x14ac:dyDescent="0.25">
      <c r="A737" s="25"/>
      <c r="B737" s="25"/>
      <c r="J737" s="17">
        <f t="array" ref="J737">IF(ROW(J737)&lt;=COUNTA(D:D)*2,IF(MOD(ROW(J737),2)=1,INDEX(D:D,(ROW(J737)+1)/2),INDEX(F:F,ROW(J737)/2)),"")</f>
        <v>0</v>
      </c>
      <c r="K737" s="17">
        <f t="array" ref="K737">IF(ROW(K737)&lt;=COUNTA(E:E)*2,IF(MOD(ROW(K737),2)=1,INDEX(E:E,(ROW(K737)+1)/2),INDEX(G:G,ROW(K737)/2)),"")</f>
        <v>45</v>
      </c>
    </row>
    <row r="738" spans="1:11" x14ac:dyDescent="0.25">
      <c r="A738" s="25"/>
      <c r="B738" s="25"/>
      <c r="J738" s="17">
        <f t="array" ref="J738">IF(ROW(J738)&lt;=COUNTA(D:D)*2,IF(MOD(ROW(J738),2)=1,INDEX(D:D,(ROW(J738)+1)/2),INDEX(F:F,ROW(J738)/2)),"")</f>
        <v>0</v>
      </c>
      <c r="K738" s="17">
        <f t="array" ref="K738">IF(ROW(K738)&lt;=COUNTA(E:E)*2,IF(MOD(ROW(K738),2)=1,INDEX(E:E,(ROW(K738)+1)/2),INDEX(G:G,ROW(K738)/2)),"")</f>
        <v>45</v>
      </c>
    </row>
    <row r="739" spans="1:11" x14ac:dyDescent="0.25">
      <c r="A739" s="25"/>
      <c r="B739" s="25"/>
      <c r="J739" s="17">
        <f t="array" ref="J739">IF(ROW(J739)&lt;=COUNTA(D:D)*2,IF(MOD(ROW(J739),2)=1,INDEX(D:D,(ROW(J739)+1)/2),INDEX(F:F,ROW(J739)/2)),"")</f>
        <v>0</v>
      </c>
      <c r="K739" s="17">
        <f t="array" ref="K739">IF(ROW(K739)&lt;=COUNTA(E:E)*2,IF(MOD(ROW(K739),2)=1,INDEX(E:E,(ROW(K739)+1)/2),INDEX(G:G,ROW(K739)/2)),"")</f>
        <v>45</v>
      </c>
    </row>
    <row r="740" spans="1:11" x14ac:dyDescent="0.25">
      <c r="A740" s="25"/>
      <c r="B740" s="25"/>
      <c r="J740" s="17">
        <f t="array" ref="J740">IF(ROW(J740)&lt;=COUNTA(D:D)*2,IF(MOD(ROW(J740),2)=1,INDEX(D:D,(ROW(J740)+1)/2),INDEX(F:F,ROW(J740)/2)),"")</f>
        <v>0</v>
      </c>
      <c r="K740" s="17">
        <f t="array" ref="K740">IF(ROW(K740)&lt;=COUNTA(E:E)*2,IF(MOD(ROW(K740),2)=1,INDEX(E:E,(ROW(K740)+1)/2),INDEX(G:G,ROW(K740)/2)),"")</f>
        <v>45</v>
      </c>
    </row>
    <row r="741" spans="1:11" x14ac:dyDescent="0.25">
      <c r="A741" s="25"/>
      <c r="B741" s="25"/>
      <c r="J741" s="17">
        <f t="array" ref="J741">IF(ROW(J741)&lt;=COUNTA(D:D)*2,IF(MOD(ROW(J741),2)=1,INDEX(D:D,(ROW(J741)+1)/2),INDEX(F:F,ROW(J741)/2)),"")</f>
        <v>0</v>
      </c>
      <c r="K741" s="17">
        <f t="array" ref="K741">IF(ROW(K741)&lt;=COUNTA(E:E)*2,IF(MOD(ROW(K741),2)=1,INDEX(E:E,(ROW(K741)+1)/2),INDEX(G:G,ROW(K741)/2)),"")</f>
        <v>45</v>
      </c>
    </row>
    <row r="742" spans="1:11" x14ac:dyDescent="0.25">
      <c r="A742" s="25"/>
      <c r="B742" s="25"/>
      <c r="J742" s="17">
        <f t="array" ref="J742">IF(ROW(J742)&lt;=COUNTA(D:D)*2,IF(MOD(ROW(J742),2)=1,INDEX(D:D,(ROW(J742)+1)/2),INDEX(F:F,ROW(J742)/2)),"")</f>
        <v>0</v>
      </c>
      <c r="K742" s="17">
        <f t="array" ref="K742">IF(ROW(K742)&lt;=COUNTA(E:E)*2,IF(MOD(ROW(K742),2)=1,INDEX(E:E,(ROW(K742)+1)/2),INDEX(G:G,ROW(K742)/2)),"")</f>
        <v>45</v>
      </c>
    </row>
    <row r="743" spans="1:11" x14ac:dyDescent="0.25">
      <c r="A743" s="25"/>
      <c r="B743" s="25"/>
      <c r="J743" s="17">
        <f t="array" ref="J743">IF(ROW(J743)&lt;=COUNTA(D:D)*2,IF(MOD(ROW(J743),2)=1,INDEX(D:D,(ROW(J743)+1)/2),INDEX(F:F,ROW(J743)/2)),"")</f>
        <v>0</v>
      </c>
      <c r="K743" s="17">
        <f t="array" ref="K743">IF(ROW(K743)&lt;=COUNTA(E:E)*2,IF(MOD(ROW(K743),2)=1,INDEX(E:E,(ROW(K743)+1)/2),INDEX(G:G,ROW(K743)/2)),"")</f>
        <v>45</v>
      </c>
    </row>
    <row r="744" spans="1:11" x14ac:dyDescent="0.25">
      <c r="A744" s="25"/>
      <c r="B744" s="25"/>
      <c r="J744" s="17">
        <f t="array" ref="J744">IF(ROW(J744)&lt;=COUNTA(D:D)*2,IF(MOD(ROW(J744),2)=1,INDEX(D:D,(ROW(J744)+1)/2),INDEX(F:F,ROW(J744)/2)),"")</f>
        <v>0</v>
      </c>
      <c r="K744" s="17">
        <f t="array" ref="K744">IF(ROW(K744)&lt;=COUNTA(E:E)*2,IF(MOD(ROW(K744),2)=1,INDEX(E:E,(ROW(K744)+1)/2),INDEX(G:G,ROW(K744)/2)),"")</f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6"/>
  <sheetViews>
    <sheetView workbookViewId="0" zoomScale="85" zoomScaleNormal="85">
      <selection activeCell="K681" sqref="K681"/>
    </sheetView>
  </sheetViews>
  <sheetFormatPr defaultRowHeight="15.6" outlineLevelRow="0" outlineLevelCol="0" x14ac:dyDescent="0" defaultColWidth="8.8" customHeight="1"/>
  <cols>
    <col min="1" max="4" width="8.8" style="25" customWidth="1"/>
    <col min="5" max="5" width="8.7" style="13" customWidth="1"/>
    <col min="6" max="6" width="8.8" style="25" customWidth="1"/>
    <col min="7" max="7" width="8.8" style="13" customWidth="1"/>
    <col min="8" max="9" width="8.8" style="25" customWidth="1"/>
    <col min="10" max="10" width="8.8" style="17" customWidth="1"/>
    <col min="11" max="11" width="12.8" style="17" customWidth="1"/>
    <col min="12" max="16384" width="8.8" style="25" customWidth="1"/>
  </cols>
  <sheetData>
    <row r="1" spans="1:11" x14ac:dyDescent="0.25">
      <c r="A1" s="26"/>
      <c r="B1" s="26"/>
      <c r="C1" s="26"/>
      <c r="D1" s="26" t="s">
        <v>16</v>
      </c>
      <c r="E1" s="27" t="s">
        <v>17</v>
      </c>
      <c r="F1" s="26" t="s">
        <v>18</v>
      </c>
      <c r="G1" s="27" t="s">
        <v>19</v>
      </c>
      <c r="H1" s="26"/>
      <c r="I1" s="26"/>
      <c r="J1" s="28" t="str">
        <f t="array" ref="J1">IF(ROW(J1)&lt;=COUNTA(D:D)*2,IF(MOD(ROW(J1),2)=1,INDEX(D:D,(ROW(J1)+1)/2),INDEX(F:F,ROW(J1)/2)),"")</f>
        <v>x1</v>
      </c>
      <c r="K1" s="28" t="str">
        <f t="array" ref="K1">IF(ROW(K1)&lt;=COUNTA(E:E)*2,IF(MOD(ROW(K1),2)=1,INDEX(E:E,(ROW(K1)+1)/2),INDEX(G:G,ROW(K1)/2)),"")</f>
        <v>y1</v>
      </c>
    </row>
    <row r="2" spans="1:11" x14ac:dyDescent="0.25">
      <c r="A2" s="26"/>
      <c r="B2" s="26"/>
      <c r="C2" s="26"/>
      <c r="D2" s="26">
        <f>0</f>
        <v>0</v>
      </c>
      <c r="E2" s="27">
        <f>41+(B2/100)*4</f>
        <v>44.7894736842105</v>
      </c>
      <c r="F2" s="26">
        <f>0-A2</f>
        <v>-1.9</v>
      </c>
      <c r="G2" s="27">
        <f>41+(B2/100)*4</f>
        <v>44.7894736842105</v>
      </c>
      <c r="H2" s="26"/>
      <c r="I2" s="26"/>
      <c r="J2" s="28" t="str">
        <f t="array" ref="J2">IF(ROW(J2)&lt;=COUNTA(D:D)*2,IF(MOD(ROW(J2),2)=1,INDEX(D:D,(ROW(J2)+1)/2),INDEX(F:F,ROW(J2)/2)),"")</f>
        <v>x2</v>
      </c>
      <c r="K2" s="28" t="str">
        <f t="array" ref="K2">IF(ROW(K2)&lt;=COUNTA(E:E)*2,IF(MOD(ROW(K2),2)=1,INDEX(E:E,(ROW(K2)+1)/2),INDEX(G:G,ROW(K2)/2)),"")</f>
        <v>y2</v>
      </c>
    </row>
    <row r="3" spans="1:11" x14ac:dyDescent="0.25">
      <c r="A3" s="26"/>
      <c r="B3" s="26"/>
      <c r="C3" s="26"/>
      <c r="D3" s="26">
        <f>0-A2</f>
        <v>-1.9</v>
      </c>
      <c r="E3" s="27">
        <f t="shared" ref="E3:E38" si="0">41+(B3/100)*4</f>
        <v>44.98</v>
      </c>
      <c r="F3" s="26">
        <f t="shared" ref="F3:F38" si="1">0-A3</f>
        <v>-3.9</v>
      </c>
      <c r="G3" s="27">
        <f t="shared" ref="G3:G38" si="2">41+(B3/100)*4</f>
        <v>44.98</v>
      </c>
      <c r="H3" s="26"/>
      <c r="I3" s="26"/>
      <c r="J3" s="28">
        <f t="array" ref="J3">IF(ROW(J3)&lt;=COUNTA(D:D)*2,IF(MOD(ROW(J3),2)=1,INDEX(D:D,(ROW(J3)+1)/2),INDEX(F:F,ROW(J3)/2)),"")</f>
        <v>0</v>
      </c>
      <c r="K3" s="28">
        <f t="array" ref="K3">IF(ROW(K3)&lt;=COUNTA(E:E)*2,IF(MOD(ROW(K3),2)=1,INDEX(E:E,(ROW(K3)+1)/2),INDEX(G:G,ROW(K3)/2)),"")</f>
        <v>44.7894736842105</v>
      </c>
    </row>
    <row r="4" spans="1:11" x14ac:dyDescent="0.25">
      <c r="A4" s="26"/>
      <c r="B4" s="26"/>
      <c r="C4" s="26"/>
      <c r="D4" s="26">
        <f t="shared" ref="D4:D38" si="3">0-A3</f>
        <v>-3.9</v>
      </c>
      <c r="E4" s="27">
        <f t="shared" si="0"/>
        <v>44.88</v>
      </c>
      <c r="F4" s="26">
        <f t="shared" si="1"/>
        <v>-5.9</v>
      </c>
      <c r="G4" s="27">
        <f t="shared" si="2"/>
        <v>44.88</v>
      </c>
      <c r="H4" s="26"/>
      <c r="I4" s="26"/>
      <c r="J4" s="28">
        <f t="array" ref="J4">IF(ROW(J4)&lt;=COUNTA(D:D)*2,IF(MOD(ROW(J4),2)=1,INDEX(D:D,(ROW(J4)+1)/2),INDEX(F:F,ROW(J4)/2)),"")</f>
        <v>-1.9</v>
      </c>
      <c r="K4" s="28">
        <f t="array" ref="K4">IF(ROW(K4)&lt;=COUNTA(E:E)*2,IF(MOD(ROW(K4),2)=1,INDEX(E:E,(ROW(K4)+1)/2),INDEX(G:G,ROW(K4)/2)),"")</f>
        <v>44.7894736842105</v>
      </c>
    </row>
    <row r="5" spans="1:11" x14ac:dyDescent="0.25">
      <c r="A5" s="26"/>
      <c r="B5" s="26"/>
      <c r="C5" s="26"/>
      <c r="D5" s="26">
        <f t="shared" si="3"/>
        <v>-5.9</v>
      </c>
      <c r="E5" s="27">
        <f t="shared" si="0"/>
        <v>44.92</v>
      </c>
      <c r="F5" s="26">
        <f t="shared" si="1"/>
        <v>-7.9</v>
      </c>
      <c r="G5" s="27">
        <f t="shared" si="2"/>
        <v>44.92</v>
      </c>
      <c r="H5" s="26"/>
      <c r="I5" s="26"/>
      <c r="J5" s="28">
        <f t="array" ref="J5">IF(ROW(J5)&lt;=COUNTA(D:D)*2,IF(MOD(ROW(J5),2)=1,INDEX(D:D,(ROW(J5)+1)/2),INDEX(F:F,ROW(J5)/2)),"")</f>
        <v>-1.9</v>
      </c>
      <c r="K5" s="28">
        <f t="array" ref="K5">IF(ROW(K5)&lt;=COUNTA(E:E)*2,IF(MOD(ROW(K5),2)=1,INDEX(E:E,(ROW(K5)+1)/2),INDEX(G:G,ROW(K5)/2)),"")</f>
        <v>44.98</v>
      </c>
    </row>
    <row r="6" spans="1:11" x14ac:dyDescent="0.25">
      <c r="A6" s="26"/>
      <c r="B6" s="26"/>
      <c r="C6" s="26"/>
      <c r="D6" s="26">
        <f t="shared" si="3"/>
        <v>-7.9</v>
      </c>
      <c r="E6" s="27">
        <f t="shared" si="0"/>
        <v>44.96</v>
      </c>
      <c r="F6" s="26">
        <f t="shared" si="1"/>
        <v>-9.9</v>
      </c>
      <c r="G6" s="27">
        <f t="shared" si="2"/>
        <v>44.96</v>
      </c>
      <c r="H6" s="26"/>
      <c r="I6" s="26"/>
      <c r="J6" s="28">
        <f t="array" ref="J6">IF(ROW(J6)&lt;=COUNTA(D:D)*2,IF(MOD(ROW(J6),2)=1,INDEX(D:D,(ROW(J6)+1)/2),INDEX(F:F,ROW(J6)/2)),"")</f>
        <v>-3.9</v>
      </c>
      <c r="K6" s="28">
        <f t="array" ref="K6">IF(ROW(K6)&lt;=COUNTA(E:E)*2,IF(MOD(ROW(K6),2)=1,INDEX(E:E,(ROW(K6)+1)/2),INDEX(G:G,ROW(K6)/2)),"")</f>
        <v>44.98</v>
      </c>
    </row>
    <row r="7" spans="1:11" x14ac:dyDescent="0.25">
      <c r="A7" s="26"/>
      <c r="B7" s="26"/>
      <c r="C7" s="26"/>
      <c r="D7" s="26">
        <f t="shared" si="3"/>
        <v>-9.9</v>
      </c>
      <c r="E7" s="27">
        <f t="shared" si="0"/>
        <v>44.94</v>
      </c>
      <c r="F7" s="26">
        <f t="shared" si="1"/>
        <v>-11.9</v>
      </c>
      <c r="G7" s="27">
        <f t="shared" si="2"/>
        <v>44.94</v>
      </c>
      <c r="H7" s="26"/>
      <c r="I7" s="26"/>
      <c r="J7" s="28">
        <f t="array" ref="J7">IF(ROW(J7)&lt;=COUNTA(D:D)*2,IF(MOD(ROW(J7),2)=1,INDEX(D:D,(ROW(J7)+1)/2),INDEX(F:F,ROW(J7)/2)),"")</f>
        <v>-3.9</v>
      </c>
      <c r="K7" s="28">
        <f t="array" ref="K7">IF(ROW(K7)&lt;=COUNTA(E:E)*2,IF(MOD(ROW(K7),2)=1,INDEX(E:E,(ROW(K7)+1)/2),INDEX(G:G,ROW(K7)/2)),"")</f>
        <v>44.88</v>
      </c>
    </row>
    <row r="8" spans="1:11" x14ac:dyDescent="0.25">
      <c r="A8" s="26"/>
      <c r="B8" s="26"/>
      <c r="C8" s="26"/>
      <c r="D8" s="26">
        <f t="shared" si="3"/>
        <v>-11.9</v>
      </c>
      <c r="E8" s="27">
        <f t="shared" si="0"/>
        <v>44.98</v>
      </c>
      <c r="F8" s="26">
        <f t="shared" si="1"/>
        <v>-13.9</v>
      </c>
      <c r="G8" s="27">
        <f t="shared" si="2"/>
        <v>44.98</v>
      </c>
      <c r="H8" s="26"/>
      <c r="I8" s="26"/>
      <c r="J8" s="28">
        <f t="array" ref="J8">IF(ROW(J8)&lt;=COUNTA(D:D)*2,IF(MOD(ROW(J8),2)=1,INDEX(D:D,(ROW(J8)+1)/2),INDEX(F:F,ROW(J8)/2)),"")</f>
        <v>-5.9</v>
      </c>
      <c r="K8" s="28">
        <f t="array" ref="K8">IF(ROW(K8)&lt;=COUNTA(E:E)*2,IF(MOD(ROW(K8),2)=1,INDEX(E:E,(ROW(K8)+1)/2),INDEX(G:G,ROW(K8)/2)),"")</f>
        <v>44.88</v>
      </c>
    </row>
    <row r="9" spans="1:11" x14ac:dyDescent="0.25">
      <c r="A9" s="26"/>
      <c r="B9" s="26"/>
      <c r="C9" s="26"/>
      <c r="D9" s="26">
        <f t="shared" si="3"/>
        <v>-13.9</v>
      </c>
      <c r="E9" s="27">
        <f t="shared" si="0"/>
        <v>44.9</v>
      </c>
      <c r="F9" s="26">
        <f t="shared" si="1"/>
        <v>-15.9</v>
      </c>
      <c r="G9" s="27">
        <f t="shared" si="2"/>
        <v>44.9</v>
      </c>
      <c r="H9" s="26"/>
      <c r="I9" s="26"/>
      <c r="J9" s="28">
        <f t="array" ref="J9">IF(ROW(J9)&lt;=COUNTA(D:D)*2,IF(MOD(ROW(J9),2)=1,INDEX(D:D,(ROW(J9)+1)/2),INDEX(F:F,ROW(J9)/2)),"")</f>
        <v>-5.9</v>
      </c>
      <c r="K9" s="28">
        <f t="array" ref="K9">IF(ROW(K9)&lt;=COUNTA(E:E)*2,IF(MOD(ROW(K9),2)=1,INDEX(E:E,(ROW(K9)+1)/2),INDEX(G:G,ROW(K9)/2)),"")</f>
        <v>44.92</v>
      </c>
    </row>
    <row r="10" spans="1:11" x14ac:dyDescent="0.25">
      <c r="A10" s="26"/>
      <c r="B10" s="26"/>
      <c r="C10" s="26"/>
      <c r="D10" s="26">
        <f t="shared" si="3"/>
        <v>-15.9</v>
      </c>
      <c r="E10" s="27">
        <f t="shared" si="0"/>
        <v>44.86</v>
      </c>
      <c r="F10" s="26">
        <f t="shared" si="1"/>
        <v>-17.9</v>
      </c>
      <c r="G10" s="27">
        <f t="shared" si="2"/>
        <v>44.86</v>
      </c>
      <c r="H10" s="26"/>
      <c r="I10" s="26"/>
      <c r="J10" s="28">
        <f t="array" ref="J10">IF(ROW(J10)&lt;=COUNTA(D:D)*2,IF(MOD(ROW(J10),2)=1,INDEX(D:D,(ROW(J10)+1)/2),INDEX(F:F,ROW(J10)/2)),"")</f>
        <v>-7.9</v>
      </c>
      <c r="K10" s="28">
        <f t="array" ref="K10">IF(ROW(K10)&lt;=COUNTA(E:E)*2,IF(MOD(ROW(K10),2)=1,INDEX(E:E,(ROW(K10)+1)/2),INDEX(G:G,ROW(K10)/2)),"")</f>
        <v>44.92</v>
      </c>
    </row>
    <row r="11" spans="1:11" x14ac:dyDescent="0.25">
      <c r="A11" s="26"/>
      <c r="B11" s="26"/>
      <c r="C11" s="26"/>
      <c r="D11" s="26">
        <f t="shared" si="3"/>
        <v>-17.9</v>
      </c>
      <c r="E11" s="27">
        <f t="shared" si="0"/>
        <v>44.88</v>
      </c>
      <c r="F11" s="26">
        <f t="shared" si="1"/>
        <v>-19.9</v>
      </c>
      <c r="G11" s="27">
        <f t="shared" si="2"/>
        <v>44.88</v>
      </c>
      <c r="H11" s="26"/>
      <c r="I11" s="26"/>
      <c r="J11" s="28">
        <f t="array" ref="J11">IF(ROW(J11)&lt;=COUNTA(D:D)*2,IF(MOD(ROW(J11),2)=1,INDEX(D:D,(ROW(J11)+1)/2),INDEX(F:F,ROW(J11)/2)),"")</f>
        <v>-7.9</v>
      </c>
      <c r="K11" s="28">
        <f t="array" ref="K11">IF(ROW(K11)&lt;=COUNTA(E:E)*2,IF(MOD(ROW(K11),2)=1,INDEX(E:E,(ROW(K11)+1)/2),INDEX(G:G,ROW(K11)/2)),"")</f>
        <v>44.96</v>
      </c>
    </row>
    <row r="12" spans="1:11" x14ac:dyDescent="0.25">
      <c r="A12" s="26"/>
      <c r="B12" s="26"/>
      <c r="C12" s="26"/>
      <c r="D12" s="26">
        <f t="shared" si="3"/>
        <v>-19.9</v>
      </c>
      <c r="E12" s="27">
        <f t="shared" si="0"/>
        <v>44.86</v>
      </c>
      <c r="F12" s="26">
        <f t="shared" si="1"/>
        <v>-21.9</v>
      </c>
      <c r="G12" s="27">
        <f t="shared" si="2"/>
        <v>44.86</v>
      </c>
      <c r="H12" s="26"/>
      <c r="I12" s="26"/>
      <c r="J12" s="28">
        <f t="array" ref="J12">IF(ROW(J12)&lt;=COUNTA(D:D)*2,IF(MOD(ROW(J12),2)=1,INDEX(D:D,(ROW(J12)+1)/2),INDEX(F:F,ROW(J12)/2)),"")</f>
        <v>-9.9</v>
      </c>
      <c r="K12" s="28">
        <f t="array" ref="K12">IF(ROW(K12)&lt;=COUNTA(E:E)*2,IF(MOD(ROW(K12),2)=1,INDEX(E:E,(ROW(K12)+1)/2),INDEX(G:G,ROW(K12)/2)),"")</f>
        <v>44.96</v>
      </c>
    </row>
    <row r="13" spans="1:11" x14ac:dyDescent="0.25">
      <c r="A13" s="26"/>
      <c r="B13" s="26"/>
      <c r="C13" s="26"/>
      <c r="D13" s="26">
        <f t="shared" si="3"/>
        <v>-21.9</v>
      </c>
      <c r="E13" s="27">
        <f t="shared" si="0"/>
        <v>44.92</v>
      </c>
      <c r="F13" s="26">
        <f t="shared" si="1"/>
        <v>-23.9</v>
      </c>
      <c r="G13" s="27">
        <f t="shared" si="2"/>
        <v>44.92</v>
      </c>
      <c r="H13" s="26"/>
      <c r="I13" s="26"/>
      <c r="J13" s="28">
        <f t="array" ref="J13">IF(ROW(J13)&lt;=COUNTA(D:D)*2,IF(MOD(ROW(J13),2)=1,INDEX(D:D,(ROW(J13)+1)/2),INDEX(F:F,ROW(J13)/2)),"")</f>
        <v>-9.9</v>
      </c>
      <c r="K13" s="28">
        <f t="array" ref="K13">IF(ROW(K13)&lt;=COUNTA(E:E)*2,IF(MOD(ROW(K13),2)=1,INDEX(E:E,(ROW(K13)+1)/2),INDEX(G:G,ROW(K13)/2)),"")</f>
        <v>44.94</v>
      </c>
    </row>
    <row r="14" spans="1:11" x14ac:dyDescent="0.25">
      <c r="A14" s="26"/>
      <c r="B14" s="26"/>
      <c r="C14" s="26"/>
      <c r="D14" s="26">
        <f t="shared" si="3"/>
        <v>-23.9</v>
      </c>
      <c r="E14" s="27">
        <f t="shared" si="0"/>
        <v>44.98</v>
      </c>
      <c r="F14" s="26">
        <f t="shared" si="1"/>
        <v>-25.9</v>
      </c>
      <c r="G14" s="27">
        <f t="shared" si="2"/>
        <v>44.98</v>
      </c>
      <c r="H14" s="26"/>
      <c r="I14" s="26"/>
      <c r="J14" s="28">
        <f t="array" ref="J14">IF(ROW(J14)&lt;=COUNTA(D:D)*2,IF(MOD(ROW(J14),2)=1,INDEX(D:D,(ROW(J14)+1)/2),INDEX(F:F,ROW(J14)/2)),"")</f>
        <v>-11.9</v>
      </c>
      <c r="K14" s="28">
        <f t="array" ref="K14">IF(ROW(K14)&lt;=COUNTA(E:E)*2,IF(MOD(ROW(K14),2)=1,INDEX(E:E,(ROW(K14)+1)/2),INDEX(G:G,ROW(K14)/2)),"")</f>
        <v>44.94</v>
      </c>
    </row>
    <row r="15" spans="1:11" x14ac:dyDescent="0.25">
      <c r="A15" s="26"/>
      <c r="B15" s="26"/>
      <c r="C15" s="26"/>
      <c r="D15" s="26">
        <f t="shared" si="3"/>
        <v>-25.9</v>
      </c>
      <c r="E15" s="27">
        <f t="shared" si="0"/>
        <v>44.88</v>
      </c>
      <c r="F15" s="26">
        <f t="shared" si="1"/>
        <v>-27.9</v>
      </c>
      <c r="G15" s="27">
        <f t="shared" si="2"/>
        <v>44.88</v>
      </c>
      <c r="H15" s="26"/>
      <c r="I15" s="26"/>
      <c r="J15" s="28">
        <f t="array" ref="J15">IF(ROW(J15)&lt;=COUNTA(D:D)*2,IF(MOD(ROW(J15),2)=1,INDEX(D:D,(ROW(J15)+1)/2),INDEX(F:F,ROW(J15)/2)),"")</f>
        <v>-11.9</v>
      </c>
      <c r="K15" s="28">
        <f t="array" ref="K15">IF(ROW(K15)&lt;=COUNTA(E:E)*2,IF(MOD(ROW(K15),2)=1,INDEX(E:E,(ROW(K15)+1)/2),INDEX(G:G,ROW(K15)/2)),"")</f>
        <v>44.98</v>
      </c>
    </row>
    <row r="16" spans="1:11" x14ac:dyDescent="0.25">
      <c r="A16" s="26"/>
      <c r="B16" s="26"/>
      <c r="C16" s="26"/>
      <c r="D16" s="26">
        <f t="shared" si="3"/>
        <v>-27.9</v>
      </c>
      <c r="E16" s="27">
        <f t="shared" si="0"/>
        <v>44.94</v>
      </c>
      <c r="F16" s="26">
        <f t="shared" si="1"/>
        <v>-29.9</v>
      </c>
      <c r="G16" s="27">
        <f t="shared" si="2"/>
        <v>44.94</v>
      </c>
      <c r="H16" s="26"/>
      <c r="I16" s="26"/>
      <c r="J16" s="28">
        <f t="array" ref="J16">IF(ROW(J16)&lt;=COUNTA(D:D)*2,IF(MOD(ROW(J16),2)=1,INDEX(D:D,(ROW(J16)+1)/2),INDEX(F:F,ROW(J16)/2)),"")</f>
        <v>-13.9</v>
      </c>
      <c r="K16" s="28">
        <f t="array" ref="K16">IF(ROW(K16)&lt;=COUNTA(E:E)*2,IF(MOD(ROW(K16),2)=1,INDEX(E:E,(ROW(K16)+1)/2),INDEX(G:G,ROW(K16)/2)),"")</f>
        <v>44.98</v>
      </c>
    </row>
    <row r="17" spans="1:11" x14ac:dyDescent="0.25">
      <c r="A17" s="26"/>
      <c r="B17" s="26"/>
      <c r="C17" s="26"/>
      <c r="D17" s="26">
        <f t="shared" si="3"/>
        <v>-29.9</v>
      </c>
      <c r="E17" s="27">
        <f t="shared" si="0"/>
        <v>44.98</v>
      </c>
      <c r="F17" s="26">
        <f t="shared" si="1"/>
        <v>-31.9</v>
      </c>
      <c r="G17" s="27">
        <f t="shared" si="2"/>
        <v>44.98</v>
      </c>
      <c r="H17" s="26"/>
      <c r="I17" s="26"/>
      <c r="J17" s="28">
        <f t="array" ref="J17">IF(ROW(J17)&lt;=COUNTA(D:D)*2,IF(MOD(ROW(J17),2)=1,INDEX(D:D,(ROW(J17)+1)/2),INDEX(F:F,ROW(J17)/2)),"")</f>
        <v>-13.9</v>
      </c>
      <c r="K17" s="28">
        <f t="array" ref="K17">IF(ROW(K17)&lt;=COUNTA(E:E)*2,IF(MOD(ROW(K17),2)=1,INDEX(E:E,(ROW(K17)+1)/2),INDEX(G:G,ROW(K17)/2)),"")</f>
        <v>44.9</v>
      </c>
    </row>
    <row r="18" spans="1:11" x14ac:dyDescent="0.25">
      <c r="A18" s="26"/>
      <c r="B18" s="26"/>
      <c r="C18" s="26"/>
      <c r="D18" s="26">
        <f t="shared" si="3"/>
        <v>-31.9</v>
      </c>
      <c r="E18" s="27">
        <f t="shared" si="0"/>
        <v>44.98</v>
      </c>
      <c r="F18" s="26">
        <f t="shared" si="1"/>
        <v>-33.9</v>
      </c>
      <c r="G18" s="27">
        <f t="shared" si="2"/>
        <v>44.98</v>
      </c>
      <c r="H18" s="26"/>
      <c r="I18" s="26"/>
      <c r="J18" s="28">
        <f t="array" ref="J18">IF(ROW(J18)&lt;=COUNTA(D:D)*2,IF(MOD(ROW(J18),2)=1,INDEX(D:D,(ROW(J18)+1)/2),INDEX(F:F,ROW(J18)/2)),"")</f>
        <v>-15.9</v>
      </c>
      <c r="K18" s="28">
        <f t="array" ref="K18">IF(ROW(K18)&lt;=COUNTA(E:E)*2,IF(MOD(ROW(K18),2)=1,INDEX(E:E,(ROW(K18)+1)/2),INDEX(G:G,ROW(K18)/2)),"")</f>
        <v>44.9</v>
      </c>
    </row>
    <row r="19" spans="1:11" x14ac:dyDescent="0.25">
      <c r="A19" s="26"/>
      <c r="B19" s="26"/>
      <c r="C19" s="26"/>
      <c r="D19" s="26">
        <f t="shared" si="3"/>
        <v>-33.9</v>
      </c>
      <c r="E19" s="27">
        <f t="shared" si="0"/>
        <v>44.98</v>
      </c>
      <c r="F19" s="26">
        <f t="shared" si="1"/>
        <v>-35.9</v>
      </c>
      <c r="G19" s="27">
        <f t="shared" si="2"/>
        <v>44.98</v>
      </c>
      <c r="H19" s="26"/>
      <c r="I19" s="26"/>
      <c r="J19" s="28">
        <f t="array" ref="J19">IF(ROW(J19)&lt;=COUNTA(D:D)*2,IF(MOD(ROW(J19),2)=1,INDEX(D:D,(ROW(J19)+1)/2),INDEX(F:F,ROW(J19)/2)),"")</f>
        <v>-15.9</v>
      </c>
      <c r="K19" s="28">
        <f t="array" ref="K19">IF(ROW(K19)&lt;=COUNTA(E:E)*2,IF(MOD(ROW(K19),2)=1,INDEX(E:E,(ROW(K19)+1)/2),INDEX(G:G,ROW(K19)/2)),"")</f>
        <v>44.86</v>
      </c>
    </row>
    <row r="20" spans="1:11" x14ac:dyDescent="0.25">
      <c r="A20" s="26"/>
      <c r="B20" s="26"/>
      <c r="C20" s="26"/>
      <c r="D20" s="26">
        <f t="shared" si="3"/>
        <v>-35.9</v>
      </c>
      <c r="E20" s="27">
        <f t="shared" si="0"/>
        <v>44.96</v>
      </c>
      <c r="F20" s="26">
        <f t="shared" si="1"/>
        <v>-37.9</v>
      </c>
      <c r="G20" s="27">
        <f t="shared" si="2"/>
        <v>44.96</v>
      </c>
      <c r="H20" s="26"/>
      <c r="I20" s="26"/>
      <c r="J20" s="28">
        <f t="array" ref="J20">IF(ROW(J20)&lt;=COUNTA(D:D)*2,IF(MOD(ROW(J20),2)=1,INDEX(D:D,(ROW(J20)+1)/2),INDEX(F:F,ROW(J20)/2)),"")</f>
        <v>-17.9</v>
      </c>
      <c r="K20" s="28">
        <f t="array" ref="K20">IF(ROW(K20)&lt;=COUNTA(E:E)*2,IF(MOD(ROW(K20),2)=1,INDEX(E:E,(ROW(K20)+1)/2),INDEX(G:G,ROW(K20)/2)),"")</f>
        <v>44.86</v>
      </c>
    </row>
    <row r="21" spans="1:11" x14ac:dyDescent="0.25">
      <c r="A21" s="26"/>
      <c r="B21" s="26"/>
      <c r="C21" s="26"/>
      <c r="D21" s="26">
        <f t="shared" si="3"/>
        <v>-37.9</v>
      </c>
      <c r="E21" s="27">
        <f t="shared" si="0"/>
        <v>44.96</v>
      </c>
      <c r="F21" s="26">
        <f t="shared" si="1"/>
        <v>-39.9</v>
      </c>
      <c r="G21" s="27">
        <f t="shared" si="2"/>
        <v>44.96</v>
      </c>
      <c r="H21" s="26"/>
      <c r="I21" s="26"/>
      <c r="J21" s="28">
        <f t="array" ref="J21">IF(ROW(J21)&lt;=COUNTA(D:D)*2,IF(MOD(ROW(J21),2)=1,INDEX(D:D,(ROW(J21)+1)/2),INDEX(F:F,ROW(J21)/2)),"")</f>
        <v>-17.9</v>
      </c>
      <c r="K21" s="28">
        <f t="array" ref="K21">IF(ROW(K21)&lt;=COUNTA(E:E)*2,IF(MOD(ROW(K21),2)=1,INDEX(E:E,(ROW(K21)+1)/2),INDEX(G:G,ROW(K21)/2)),"")</f>
        <v>44.88</v>
      </c>
    </row>
    <row r="22" spans="1:11" x14ac:dyDescent="0.25">
      <c r="A22" s="26"/>
      <c r="B22" s="26"/>
      <c r="C22" s="26"/>
      <c r="D22" s="26">
        <f t="shared" si="3"/>
        <v>-39.9</v>
      </c>
      <c r="E22" s="27">
        <f t="shared" si="0"/>
        <v>44.92</v>
      </c>
      <c r="F22" s="26">
        <f t="shared" si="1"/>
        <v>-41.9</v>
      </c>
      <c r="G22" s="27">
        <f t="shared" si="2"/>
        <v>44.92</v>
      </c>
      <c r="H22" s="26"/>
      <c r="I22" s="26"/>
      <c r="J22" s="28">
        <f t="array" ref="J22">IF(ROW(J22)&lt;=COUNTA(D:D)*2,IF(MOD(ROW(J22),2)=1,INDEX(D:D,(ROW(J22)+1)/2),INDEX(F:F,ROW(J22)/2)),"")</f>
        <v>-19.9</v>
      </c>
      <c r="K22" s="28">
        <f t="array" ref="K22">IF(ROW(K22)&lt;=COUNTA(E:E)*2,IF(MOD(ROW(K22),2)=1,INDEX(E:E,(ROW(K22)+1)/2),INDEX(G:G,ROW(K22)/2)),"")</f>
        <v>44.88</v>
      </c>
    </row>
    <row r="23" spans="1:11" x14ac:dyDescent="0.25">
      <c r="A23" s="26"/>
      <c r="B23" s="26"/>
      <c r="C23" s="26"/>
      <c r="D23" s="26">
        <f t="shared" si="3"/>
        <v>-41.9</v>
      </c>
      <c r="E23" s="27">
        <f t="shared" si="0"/>
        <v>44.98</v>
      </c>
      <c r="F23" s="26">
        <f t="shared" si="1"/>
        <v>-43.9</v>
      </c>
      <c r="G23" s="27">
        <f t="shared" si="2"/>
        <v>44.98</v>
      </c>
      <c r="H23" s="26"/>
      <c r="I23" s="26"/>
      <c r="J23" s="28">
        <f t="array" ref="J23">IF(ROW(J23)&lt;=COUNTA(D:D)*2,IF(MOD(ROW(J23),2)=1,INDEX(D:D,(ROW(J23)+1)/2),INDEX(F:F,ROW(J23)/2)),"")</f>
        <v>-19.9</v>
      </c>
      <c r="K23" s="28">
        <f t="array" ref="K23">IF(ROW(K23)&lt;=COUNTA(E:E)*2,IF(MOD(ROW(K23),2)=1,INDEX(E:E,(ROW(K23)+1)/2),INDEX(G:G,ROW(K23)/2)),"")</f>
        <v>44.86</v>
      </c>
    </row>
    <row r="24" spans="1:11" x14ac:dyDescent="0.25">
      <c r="A24" s="26"/>
      <c r="B24" s="26"/>
      <c r="C24" s="26"/>
      <c r="D24" s="26">
        <f t="shared" si="3"/>
        <v>-43.9</v>
      </c>
      <c r="E24" s="27">
        <f t="shared" si="0"/>
        <v>44.98</v>
      </c>
      <c r="F24" s="26">
        <f t="shared" si="1"/>
        <v>-45.9</v>
      </c>
      <c r="G24" s="27">
        <f t="shared" si="2"/>
        <v>44.98</v>
      </c>
      <c r="H24" s="26"/>
      <c r="I24" s="26"/>
      <c r="J24" s="28">
        <f t="array" ref="J24">IF(ROW(J24)&lt;=COUNTA(D:D)*2,IF(MOD(ROW(J24),2)=1,INDEX(D:D,(ROW(J24)+1)/2),INDEX(F:F,ROW(J24)/2)),"")</f>
        <v>-21.9</v>
      </c>
      <c r="K24" s="28">
        <f t="array" ref="K24">IF(ROW(K24)&lt;=COUNTA(E:E)*2,IF(MOD(ROW(K24),2)=1,INDEX(E:E,(ROW(K24)+1)/2),INDEX(G:G,ROW(K24)/2)),"")</f>
        <v>44.86</v>
      </c>
    </row>
    <row r="25" spans="1:11" x14ac:dyDescent="0.25">
      <c r="A25" s="26"/>
      <c r="B25" s="26"/>
      <c r="C25" s="26"/>
      <c r="D25" s="26">
        <f t="shared" si="3"/>
        <v>-45.9</v>
      </c>
      <c r="E25" s="27">
        <f t="shared" si="0"/>
        <v>44.98</v>
      </c>
      <c r="F25" s="26">
        <f t="shared" si="1"/>
        <v>-47.9</v>
      </c>
      <c r="G25" s="27">
        <f t="shared" si="2"/>
        <v>44.98</v>
      </c>
      <c r="H25" s="26"/>
      <c r="I25" s="26"/>
      <c r="J25" s="28">
        <f t="array" ref="J25">IF(ROW(J25)&lt;=COUNTA(D:D)*2,IF(MOD(ROW(J25),2)=1,INDEX(D:D,(ROW(J25)+1)/2),INDEX(F:F,ROW(J25)/2)),"")</f>
        <v>-21.9</v>
      </c>
      <c r="K25" s="28">
        <f t="array" ref="K25">IF(ROW(K25)&lt;=COUNTA(E:E)*2,IF(MOD(ROW(K25),2)=1,INDEX(E:E,(ROW(K25)+1)/2),INDEX(G:G,ROW(K25)/2)),"")</f>
        <v>44.92</v>
      </c>
    </row>
    <row r="26" spans="1:11" x14ac:dyDescent="0.25">
      <c r="A26" s="26"/>
      <c r="B26" s="26"/>
      <c r="C26" s="26"/>
      <c r="D26" s="26">
        <f t="shared" si="3"/>
        <v>-47.9</v>
      </c>
      <c r="E26" s="27">
        <f t="shared" si="0"/>
        <v>44.98</v>
      </c>
      <c r="F26" s="26">
        <f t="shared" si="1"/>
        <v>-49.9</v>
      </c>
      <c r="G26" s="27">
        <f t="shared" si="2"/>
        <v>44.98</v>
      </c>
      <c r="H26" s="26"/>
      <c r="I26" s="26"/>
      <c r="J26" s="28">
        <f t="array" ref="J26">IF(ROW(J26)&lt;=COUNTA(D:D)*2,IF(MOD(ROW(J26),2)=1,INDEX(D:D,(ROW(J26)+1)/2),INDEX(F:F,ROW(J26)/2)),"")</f>
        <v>-23.9</v>
      </c>
      <c r="K26" s="28">
        <f t="array" ref="K26">IF(ROW(K26)&lt;=COUNTA(E:E)*2,IF(MOD(ROW(K26),2)=1,INDEX(E:E,(ROW(K26)+1)/2),INDEX(G:G,ROW(K26)/2)),"")</f>
        <v>44.92</v>
      </c>
    </row>
    <row r="27" spans="1:11" x14ac:dyDescent="0.25">
      <c r="A27" s="26"/>
      <c r="B27" s="26"/>
      <c r="C27" s="26"/>
      <c r="D27" s="26">
        <f t="shared" si="3"/>
        <v>-49.9</v>
      </c>
      <c r="E27" s="27">
        <f t="shared" si="0"/>
        <v>44.98</v>
      </c>
      <c r="F27" s="26">
        <f t="shared" si="1"/>
        <v>-51.9</v>
      </c>
      <c r="G27" s="27">
        <f t="shared" si="2"/>
        <v>44.98</v>
      </c>
      <c r="H27" s="26"/>
      <c r="I27" s="26"/>
      <c r="J27" s="28">
        <f t="array" ref="J27">IF(ROW(J27)&lt;=COUNTA(D:D)*2,IF(MOD(ROW(J27),2)=1,INDEX(D:D,(ROW(J27)+1)/2),INDEX(F:F,ROW(J27)/2)),"")</f>
        <v>-23.9</v>
      </c>
      <c r="K27" s="28">
        <f t="array" ref="K27">IF(ROW(K27)&lt;=COUNTA(E:E)*2,IF(MOD(ROW(K27),2)=1,INDEX(E:E,(ROW(K27)+1)/2),INDEX(G:G,ROW(K27)/2)),"")</f>
        <v>44.98</v>
      </c>
    </row>
    <row r="28" spans="1:11" x14ac:dyDescent="0.25">
      <c r="A28" s="26"/>
      <c r="B28" s="26"/>
      <c r="C28" s="26"/>
      <c r="D28" s="26">
        <f t="shared" si="3"/>
        <v>-51.9</v>
      </c>
      <c r="E28" s="27">
        <f t="shared" si="0"/>
        <v>44.98</v>
      </c>
      <c r="F28" s="26">
        <f t="shared" si="1"/>
        <v>-53.9</v>
      </c>
      <c r="G28" s="27">
        <f t="shared" si="2"/>
        <v>44.98</v>
      </c>
      <c r="H28" s="26"/>
      <c r="I28" s="26"/>
      <c r="J28" s="28">
        <f t="array" ref="J28">IF(ROW(J28)&lt;=COUNTA(D:D)*2,IF(MOD(ROW(J28),2)=1,INDEX(D:D,(ROW(J28)+1)/2),INDEX(F:F,ROW(J28)/2)),"")</f>
        <v>-25.9</v>
      </c>
      <c r="K28" s="28">
        <f t="array" ref="K28">IF(ROW(K28)&lt;=COUNTA(E:E)*2,IF(MOD(ROW(K28),2)=1,INDEX(E:E,(ROW(K28)+1)/2),INDEX(G:G,ROW(K28)/2)),"")</f>
        <v>44.98</v>
      </c>
    </row>
    <row r="29" spans="1:11" x14ac:dyDescent="0.25">
      <c r="A29" s="26"/>
      <c r="B29" s="26"/>
      <c r="C29" s="26"/>
      <c r="D29" s="26">
        <f t="shared" si="3"/>
        <v>-53.9</v>
      </c>
      <c r="E29" s="27">
        <f t="shared" si="0"/>
        <v>44.98</v>
      </c>
      <c r="F29" s="26">
        <f t="shared" si="1"/>
        <v>-55.9</v>
      </c>
      <c r="G29" s="27">
        <f t="shared" si="2"/>
        <v>44.98</v>
      </c>
      <c r="H29" s="26"/>
      <c r="I29" s="26"/>
      <c r="J29" s="28">
        <f t="array" ref="J29">IF(ROW(J29)&lt;=COUNTA(D:D)*2,IF(MOD(ROW(J29),2)=1,INDEX(D:D,(ROW(J29)+1)/2),INDEX(F:F,ROW(J29)/2)),"")</f>
        <v>-25.9</v>
      </c>
      <c r="K29" s="28">
        <f t="array" ref="K29">IF(ROW(K29)&lt;=COUNTA(E:E)*2,IF(MOD(ROW(K29),2)=1,INDEX(E:E,(ROW(K29)+1)/2),INDEX(G:G,ROW(K29)/2)),"")</f>
        <v>44.88</v>
      </c>
    </row>
    <row r="30" spans="1:11" x14ac:dyDescent="0.25">
      <c r="A30" s="26"/>
      <c r="B30" s="26"/>
      <c r="C30" s="26"/>
      <c r="D30" s="26">
        <f t="shared" si="3"/>
        <v>-55.9</v>
      </c>
      <c r="E30" s="27">
        <f t="shared" si="0"/>
        <v>44.98</v>
      </c>
      <c r="F30" s="26">
        <f t="shared" si="1"/>
        <v>-57.9</v>
      </c>
      <c r="G30" s="27">
        <f t="shared" si="2"/>
        <v>44.98</v>
      </c>
      <c r="H30" s="26"/>
      <c r="I30" s="26"/>
      <c r="J30" s="28">
        <f t="array" ref="J30">IF(ROW(J30)&lt;=COUNTA(D:D)*2,IF(MOD(ROW(J30),2)=1,INDEX(D:D,(ROW(J30)+1)/2),INDEX(F:F,ROW(J30)/2)),"")</f>
        <v>-27.9</v>
      </c>
      <c r="K30" s="28">
        <f t="array" ref="K30">IF(ROW(K30)&lt;=COUNTA(E:E)*2,IF(MOD(ROW(K30),2)=1,INDEX(E:E,(ROW(K30)+1)/2),INDEX(G:G,ROW(K30)/2)),"")</f>
        <v>44.88</v>
      </c>
    </row>
    <row r="31" spans="1:11" x14ac:dyDescent="0.25">
      <c r="A31" s="26"/>
      <c r="B31" s="26"/>
      <c r="C31" s="26"/>
      <c r="D31" s="26">
        <f t="shared" si="3"/>
        <v>-57.9</v>
      </c>
      <c r="E31" s="27">
        <f t="shared" si="0"/>
        <v>44.98</v>
      </c>
      <c r="F31" s="26">
        <f t="shared" si="1"/>
        <v>-59.9</v>
      </c>
      <c r="G31" s="27">
        <f t="shared" si="2"/>
        <v>44.98</v>
      </c>
      <c r="H31" s="26"/>
      <c r="I31" s="26"/>
      <c r="J31" s="28">
        <f t="array" ref="J31">IF(ROW(J31)&lt;=COUNTA(D:D)*2,IF(MOD(ROW(J31),2)=1,INDEX(D:D,(ROW(J31)+1)/2),INDEX(F:F,ROW(J31)/2)),"")</f>
        <v>-27.9</v>
      </c>
      <c r="K31" s="28">
        <f t="array" ref="K31">IF(ROW(K31)&lt;=COUNTA(E:E)*2,IF(MOD(ROW(K31),2)=1,INDEX(E:E,(ROW(K31)+1)/2),INDEX(G:G,ROW(K31)/2)),"")</f>
        <v>44.94</v>
      </c>
    </row>
    <row r="32" spans="1:11" x14ac:dyDescent="0.25">
      <c r="A32" s="26"/>
      <c r="B32" s="26"/>
      <c r="C32" s="26"/>
      <c r="D32" s="26">
        <f t="shared" si="3"/>
        <v>-59.9</v>
      </c>
      <c r="E32" s="27">
        <f t="shared" si="0"/>
        <v>44.98</v>
      </c>
      <c r="F32" s="26">
        <f t="shared" si="1"/>
        <v>-61.9</v>
      </c>
      <c r="G32" s="27">
        <f t="shared" si="2"/>
        <v>44.98</v>
      </c>
      <c r="H32" s="26"/>
      <c r="I32" s="26"/>
      <c r="J32" s="28">
        <f t="array" ref="J32">IF(ROW(J32)&lt;=COUNTA(D:D)*2,IF(MOD(ROW(J32),2)=1,INDEX(D:D,(ROW(J32)+1)/2),INDEX(F:F,ROW(J32)/2)),"")</f>
        <v>-29.9</v>
      </c>
      <c r="K32" s="28">
        <f t="array" ref="K32">IF(ROW(K32)&lt;=COUNTA(E:E)*2,IF(MOD(ROW(K32),2)=1,INDEX(E:E,(ROW(K32)+1)/2),INDEX(G:G,ROW(K32)/2)),"")</f>
        <v>44.94</v>
      </c>
    </row>
    <row r="33" spans="1:11" x14ac:dyDescent="0.25">
      <c r="A33" s="26"/>
      <c r="B33" s="26"/>
      <c r="C33" s="26"/>
      <c r="D33" s="26">
        <f t="shared" si="3"/>
        <v>-61.9</v>
      </c>
      <c r="E33" s="27">
        <f t="shared" si="0"/>
        <v>44.98</v>
      </c>
      <c r="F33" s="26">
        <f t="shared" si="1"/>
        <v>-63.9</v>
      </c>
      <c r="G33" s="27">
        <f t="shared" si="2"/>
        <v>44.98</v>
      </c>
      <c r="H33" s="26"/>
      <c r="I33" s="26"/>
      <c r="J33" s="28">
        <f t="array" ref="J33">IF(ROW(J33)&lt;=COUNTA(D:D)*2,IF(MOD(ROW(J33),2)=1,INDEX(D:D,(ROW(J33)+1)/2),INDEX(F:F,ROW(J33)/2)),"")</f>
        <v>-29.9</v>
      </c>
      <c r="K33" s="28">
        <f t="array" ref="K33">IF(ROW(K33)&lt;=COUNTA(E:E)*2,IF(MOD(ROW(K33),2)=1,INDEX(E:E,(ROW(K33)+1)/2),INDEX(G:G,ROW(K33)/2)),"")</f>
        <v>44.98</v>
      </c>
    </row>
    <row r="34" spans="1:11" x14ac:dyDescent="0.25">
      <c r="A34" s="26"/>
      <c r="B34" s="26"/>
      <c r="C34" s="26"/>
      <c r="D34" s="26">
        <f t="shared" si="3"/>
        <v>-63.9</v>
      </c>
      <c r="E34" s="27">
        <f t="shared" si="0"/>
        <v>44.98</v>
      </c>
      <c r="F34" s="26">
        <f t="shared" si="1"/>
        <v>-65.9</v>
      </c>
      <c r="G34" s="27">
        <f t="shared" si="2"/>
        <v>44.98</v>
      </c>
      <c r="H34" s="26"/>
      <c r="I34" s="26"/>
      <c r="J34" s="28">
        <f t="array" ref="J34">IF(ROW(J34)&lt;=COUNTA(D:D)*2,IF(MOD(ROW(J34),2)=1,INDEX(D:D,(ROW(J34)+1)/2),INDEX(F:F,ROW(J34)/2)),"")</f>
        <v>-31.9</v>
      </c>
      <c r="K34" s="28">
        <f t="array" ref="K34">IF(ROW(K34)&lt;=COUNTA(E:E)*2,IF(MOD(ROW(K34),2)=1,INDEX(E:E,(ROW(K34)+1)/2),INDEX(G:G,ROW(K34)/2)),"")</f>
        <v>44.98</v>
      </c>
    </row>
    <row r="35" spans="1:11" x14ac:dyDescent="0.25">
      <c r="A35" s="26"/>
      <c r="B35" s="26"/>
      <c r="C35" s="26"/>
      <c r="D35" s="26">
        <f t="shared" si="3"/>
        <v>-65.9</v>
      </c>
      <c r="E35" s="27">
        <f t="shared" si="0"/>
        <v>44.98</v>
      </c>
      <c r="F35" s="26">
        <f t="shared" si="1"/>
        <v>-67.9</v>
      </c>
      <c r="G35" s="27">
        <f t="shared" si="2"/>
        <v>44.98</v>
      </c>
      <c r="H35" s="26"/>
      <c r="I35" s="26"/>
      <c r="J35" s="28">
        <f t="array" ref="J35">IF(ROW(J35)&lt;=COUNTA(D:D)*2,IF(MOD(ROW(J35),2)=1,INDEX(D:D,(ROW(J35)+1)/2),INDEX(F:F,ROW(J35)/2)),"")</f>
        <v>-31.9</v>
      </c>
      <c r="K35" s="28">
        <f t="array" ref="K35">IF(ROW(K35)&lt;=COUNTA(E:E)*2,IF(MOD(ROW(K35),2)=1,INDEX(E:E,(ROW(K35)+1)/2),INDEX(G:G,ROW(K35)/2)),"")</f>
        <v>44.98</v>
      </c>
    </row>
    <row r="36" spans="1:11" x14ac:dyDescent="0.25">
      <c r="A36" s="26"/>
      <c r="B36" s="26"/>
      <c r="C36" s="26"/>
      <c r="D36" s="26">
        <f t="shared" si="3"/>
        <v>-67.9</v>
      </c>
      <c r="E36" s="27">
        <f t="shared" si="0"/>
        <v>44.98</v>
      </c>
      <c r="F36" s="26">
        <f t="shared" si="1"/>
        <v>-69.9</v>
      </c>
      <c r="G36" s="27">
        <f t="shared" si="2"/>
        <v>44.98</v>
      </c>
      <c r="H36" s="26"/>
      <c r="I36" s="26"/>
      <c r="J36" s="28">
        <f t="array" ref="J36">IF(ROW(J36)&lt;=COUNTA(D:D)*2,IF(MOD(ROW(J36),2)=1,INDEX(D:D,(ROW(J36)+1)/2),INDEX(F:F,ROW(J36)/2)),"")</f>
        <v>-33.9</v>
      </c>
      <c r="K36" s="28">
        <f t="array" ref="K36">IF(ROW(K36)&lt;=COUNTA(E:E)*2,IF(MOD(ROW(K36),2)=1,INDEX(E:E,(ROW(K36)+1)/2),INDEX(G:G,ROW(K36)/2)),"")</f>
        <v>44.98</v>
      </c>
    </row>
    <row r="37" spans="1:11" x14ac:dyDescent="0.25">
      <c r="A37" s="26"/>
      <c r="B37" s="26"/>
      <c r="C37" s="26"/>
      <c r="D37" s="26">
        <f t="shared" si="3"/>
        <v>-69.9</v>
      </c>
      <c r="E37" s="27">
        <f t="shared" si="0"/>
        <v>44.98</v>
      </c>
      <c r="F37" s="26">
        <f t="shared" si="1"/>
        <v>-71.9</v>
      </c>
      <c r="G37" s="27">
        <f t="shared" si="2"/>
        <v>44.98</v>
      </c>
      <c r="H37" s="26"/>
      <c r="I37" s="26"/>
      <c r="J37" s="28">
        <f t="array" ref="J37">IF(ROW(J37)&lt;=COUNTA(D:D)*2,IF(MOD(ROW(J37),2)=1,INDEX(D:D,(ROW(J37)+1)/2),INDEX(F:F,ROW(J37)/2)),"")</f>
        <v>-33.9</v>
      </c>
      <c r="K37" s="28">
        <f t="array" ref="K37">IF(ROW(K37)&lt;=COUNTA(E:E)*2,IF(MOD(ROW(K37),2)=1,INDEX(E:E,(ROW(K37)+1)/2),INDEX(G:G,ROW(K37)/2)),"")</f>
        <v>44.98</v>
      </c>
    </row>
    <row r="38" spans="1:11" x14ac:dyDescent="0.25">
      <c r="A38" s="26"/>
      <c r="B38" s="26"/>
      <c r="C38" s="26"/>
      <c r="D38" s="26">
        <f t="shared" si="3"/>
        <v>-71.9</v>
      </c>
      <c r="E38" s="27">
        <f t="shared" si="0"/>
        <v>44.98</v>
      </c>
      <c r="F38" s="26">
        <f t="shared" si="1"/>
        <v>-73.9</v>
      </c>
      <c r="G38" s="27">
        <f t="shared" si="2"/>
        <v>44.98</v>
      </c>
      <c r="H38" s="26"/>
      <c r="I38" s="26"/>
      <c r="J38" s="28">
        <f t="array" ref="J38">IF(ROW(J38)&lt;=COUNTA(D:D)*2,IF(MOD(ROW(J38),2)=1,INDEX(D:D,(ROW(J38)+1)/2),INDEX(F:F,ROW(J38)/2)),"")</f>
        <v>-35.9</v>
      </c>
      <c r="K38" s="28">
        <f t="array" ref="K38">IF(ROW(K38)&lt;=COUNTA(E:E)*2,IF(MOD(ROW(K38),2)=1,INDEX(E:E,(ROW(K38)+1)/2),INDEX(G:G,ROW(K38)/2)),"")</f>
        <v>44.98</v>
      </c>
    </row>
    <row r="39" spans="1:11" x14ac:dyDescent="0.25">
      <c r="A39" s="26"/>
      <c r="B39" s="26"/>
      <c r="C39" s="26"/>
      <c r="D39" s="26">
        <f t="shared" ref="D39:D40" si="4">0-A38</f>
        <v>-73.9</v>
      </c>
      <c r="E39" s="27">
        <f t="shared" ref="E39:E40" si="5">41+(B39/100)*4</f>
        <v>44.98</v>
      </c>
      <c r="F39" s="26">
        <f t="shared" ref="F39:F40" si="6">0-A39</f>
        <v>-75.9</v>
      </c>
      <c r="G39" s="27">
        <f t="shared" ref="G39:G40" si="7">41+(B39/100)*4</f>
        <v>44.98</v>
      </c>
      <c r="H39" s="26"/>
      <c r="I39" s="26"/>
      <c r="J39" s="28">
        <f t="array" ref="J39">IF(ROW(J39)&lt;=COUNTA(D:D)*2,IF(MOD(ROW(J39),2)=1,INDEX(D:D,(ROW(J39)+1)/2),INDEX(F:F,ROW(J39)/2)),"")</f>
        <v>-35.9</v>
      </c>
      <c r="K39" s="28">
        <f t="array" ref="K39">IF(ROW(K39)&lt;=COUNTA(E:E)*2,IF(MOD(ROW(K39),2)=1,INDEX(E:E,(ROW(K39)+1)/2),INDEX(G:G,ROW(K39)/2)),"")</f>
        <v>44.96</v>
      </c>
    </row>
    <row r="40" spans="1:11" x14ac:dyDescent="0.25">
      <c r="A40" s="26"/>
      <c r="B40" s="26"/>
      <c r="C40" s="26"/>
      <c r="D40" s="26">
        <f t="shared" si="4"/>
        <v>-75.9</v>
      </c>
      <c r="E40" s="27">
        <f t="shared" si="5"/>
        <v>44.98</v>
      </c>
      <c r="F40" s="26">
        <f t="shared" si="6"/>
        <v>-77.9</v>
      </c>
      <c r="G40" s="27">
        <f t="shared" si="7"/>
        <v>44.98</v>
      </c>
      <c r="H40" s="26"/>
      <c r="I40" s="26"/>
      <c r="J40" s="28">
        <f t="array" ref="J40">IF(ROW(J40)&lt;=COUNTA(D:D)*2,IF(MOD(ROW(J40),2)=1,INDEX(D:D,(ROW(J40)+1)/2),INDEX(F:F,ROW(J40)/2)),"")</f>
        <v>-37.9</v>
      </c>
      <c r="K40" s="28">
        <f t="array" ref="K40">IF(ROW(K40)&lt;=COUNTA(E:E)*2,IF(MOD(ROW(K40),2)=1,INDEX(E:E,(ROW(K40)+1)/2),INDEX(G:G,ROW(K40)/2)),"")</f>
        <v>44.96</v>
      </c>
    </row>
    <row r="41" spans="1:11" x14ac:dyDescent="0.25">
      <c r="A41" s="26"/>
      <c r="B41" s="26"/>
      <c r="C41" s="26"/>
      <c r="D41" s="26">
        <f t="shared" ref="D41:D72" si="8">0-A40</f>
        <v>-77.9</v>
      </c>
      <c r="E41" s="27">
        <f t="shared" ref="E41:E72" si="9">41+(B41/100)*4</f>
        <v>44.8</v>
      </c>
      <c r="F41" s="26">
        <f t="shared" ref="F41:F72" si="10">0-A41</f>
        <v>-79.9</v>
      </c>
      <c r="G41" s="27">
        <f t="shared" ref="G41:G72" si="11">41+(B41/100)*4</f>
        <v>44.8</v>
      </c>
      <c r="H41" s="26"/>
      <c r="I41" s="26"/>
      <c r="J41" s="28">
        <f t="array" ref="J41">IF(ROW(J41)&lt;=COUNTA(D:D)*2,IF(MOD(ROW(J41),2)=1,INDEX(D:D,(ROW(J41)+1)/2),INDEX(F:F,ROW(J41)/2)),"")</f>
        <v>-37.9</v>
      </c>
      <c r="K41" s="28">
        <f t="array" ref="K41">IF(ROW(K41)&lt;=COUNTA(E:E)*2,IF(MOD(ROW(K41),2)=1,INDEX(E:E,(ROW(K41)+1)/2),INDEX(G:G,ROW(K41)/2)),"")</f>
        <v>44.96</v>
      </c>
    </row>
    <row r="42" spans="1:11" x14ac:dyDescent="0.25">
      <c r="A42" s="26"/>
      <c r="B42" s="26"/>
      <c r="C42" s="26"/>
      <c r="D42" s="26">
        <f t="shared" si="8"/>
        <v>-79.9</v>
      </c>
      <c r="E42" s="27">
        <f t="shared" si="9"/>
        <v>44.98</v>
      </c>
      <c r="F42" s="26">
        <f t="shared" si="10"/>
        <v>-81.9</v>
      </c>
      <c r="G42" s="27">
        <f t="shared" si="11"/>
        <v>44.98</v>
      </c>
      <c r="H42" s="26"/>
      <c r="I42" s="26"/>
      <c r="J42" s="28">
        <f t="array" ref="J42">IF(ROW(J42)&lt;=COUNTA(D:D)*2,IF(MOD(ROW(J42),2)=1,INDEX(D:D,(ROW(J42)+1)/2),INDEX(F:F,ROW(J42)/2)),"")</f>
        <v>-39.9</v>
      </c>
      <c r="K42" s="28">
        <f t="array" ref="K42">IF(ROW(K42)&lt;=COUNTA(E:E)*2,IF(MOD(ROW(K42),2)=1,INDEX(E:E,(ROW(K42)+1)/2),INDEX(G:G,ROW(K42)/2)),"")</f>
        <v>44.96</v>
      </c>
    </row>
    <row r="43" spans="1:11" x14ac:dyDescent="0.25">
      <c r="A43" s="26"/>
      <c r="B43" s="26"/>
      <c r="C43" s="26"/>
      <c r="D43" s="26">
        <f t="shared" si="8"/>
        <v>-81.9</v>
      </c>
      <c r="E43" s="27">
        <f t="shared" si="9"/>
        <v>44.94</v>
      </c>
      <c r="F43" s="26">
        <f t="shared" si="10"/>
        <v>-83.9</v>
      </c>
      <c r="G43" s="27">
        <f t="shared" si="11"/>
        <v>44.94</v>
      </c>
      <c r="H43" s="26"/>
      <c r="I43" s="26"/>
      <c r="J43" s="28">
        <f t="array" ref="J43">IF(ROW(J43)&lt;=COUNTA(D:D)*2,IF(MOD(ROW(J43),2)=1,INDEX(D:D,(ROW(J43)+1)/2),INDEX(F:F,ROW(J43)/2)),"")</f>
        <v>-39.9</v>
      </c>
      <c r="K43" s="28">
        <f t="array" ref="K43">IF(ROW(K43)&lt;=COUNTA(E:E)*2,IF(MOD(ROW(K43),2)=1,INDEX(E:E,(ROW(K43)+1)/2),INDEX(G:G,ROW(K43)/2)),"")</f>
        <v>44.92</v>
      </c>
    </row>
    <row r="44" spans="1:11" x14ac:dyDescent="0.25">
      <c r="A44" s="26"/>
      <c r="B44" s="26"/>
      <c r="C44" s="26"/>
      <c r="D44" s="26">
        <f t="shared" si="8"/>
        <v>-83.9</v>
      </c>
      <c r="E44" s="27">
        <f t="shared" si="9"/>
        <v>44.98</v>
      </c>
      <c r="F44" s="26">
        <f t="shared" si="10"/>
        <v>-85.9</v>
      </c>
      <c r="G44" s="27">
        <f t="shared" si="11"/>
        <v>44.98</v>
      </c>
      <c r="H44" s="26"/>
      <c r="I44" s="26"/>
      <c r="J44" s="28">
        <f t="array" ref="J44">IF(ROW(J44)&lt;=COUNTA(D:D)*2,IF(MOD(ROW(J44),2)=1,INDEX(D:D,(ROW(J44)+1)/2),INDEX(F:F,ROW(J44)/2)),"")</f>
        <v>-41.9</v>
      </c>
      <c r="K44" s="28">
        <f t="array" ref="K44">IF(ROW(K44)&lt;=COUNTA(E:E)*2,IF(MOD(ROW(K44),2)=1,INDEX(E:E,(ROW(K44)+1)/2),INDEX(G:G,ROW(K44)/2)),"")</f>
        <v>44.92</v>
      </c>
    </row>
    <row r="45" spans="1:11" x14ac:dyDescent="0.25">
      <c r="A45" s="26"/>
      <c r="B45" s="26"/>
      <c r="C45" s="26"/>
      <c r="D45" s="26">
        <f t="shared" si="8"/>
        <v>-85.9</v>
      </c>
      <c r="E45" s="27">
        <f t="shared" si="9"/>
        <v>44.98</v>
      </c>
      <c r="F45" s="26">
        <f t="shared" si="10"/>
        <v>-87.9</v>
      </c>
      <c r="G45" s="27">
        <f t="shared" si="11"/>
        <v>44.98</v>
      </c>
      <c r="H45" s="26"/>
      <c r="I45" s="26"/>
      <c r="J45" s="28">
        <f t="array" ref="J45">IF(ROW(J45)&lt;=COUNTA(D:D)*2,IF(MOD(ROW(J45),2)=1,INDEX(D:D,(ROW(J45)+1)/2),INDEX(F:F,ROW(J45)/2)),"")</f>
        <v>-41.9</v>
      </c>
      <c r="K45" s="28">
        <f t="array" ref="K45">IF(ROW(K45)&lt;=COUNTA(E:E)*2,IF(MOD(ROW(K45),2)=1,INDEX(E:E,(ROW(K45)+1)/2),INDEX(G:G,ROW(K45)/2)),"")</f>
        <v>44.98</v>
      </c>
    </row>
    <row r="46" spans="1:11" x14ac:dyDescent="0.25">
      <c r="A46" s="26"/>
      <c r="B46" s="26"/>
      <c r="C46" s="26"/>
      <c r="D46" s="26">
        <f t="shared" si="8"/>
        <v>-87.9</v>
      </c>
      <c r="E46" s="27">
        <f t="shared" si="9"/>
        <v>44.98</v>
      </c>
      <c r="F46" s="26">
        <f t="shared" si="10"/>
        <v>-89.9</v>
      </c>
      <c r="G46" s="27">
        <f t="shared" si="11"/>
        <v>44.98</v>
      </c>
      <c r="H46" s="26"/>
      <c r="I46" s="26"/>
      <c r="J46" s="28">
        <f t="array" ref="J46">IF(ROW(J46)&lt;=COUNTA(D:D)*2,IF(MOD(ROW(J46),2)=1,INDEX(D:D,(ROW(J46)+1)/2),INDEX(F:F,ROW(J46)/2)),"")</f>
        <v>-43.9</v>
      </c>
      <c r="K46" s="28">
        <f t="array" ref="K46">IF(ROW(K46)&lt;=COUNTA(E:E)*2,IF(MOD(ROW(K46),2)=1,INDEX(E:E,(ROW(K46)+1)/2),INDEX(G:G,ROW(K46)/2)),"")</f>
        <v>44.98</v>
      </c>
    </row>
    <row r="47" spans="1:11" x14ac:dyDescent="0.25">
      <c r="A47" s="26"/>
      <c r="B47" s="26"/>
      <c r="C47" s="26"/>
      <c r="D47" s="26">
        <f t="shared" si="8"/>
        <v>-89.9</v>
      </c>
      <c r="E47" s="27">
        <f t="shared" si="9"/>
        <v>44.98</v>
      </c>
      <c r="F47" s="26">
        <f t="shared" si="10"/>
        <v>-91.9</v>
      </c>
      <c r="G47" s="27">
        <f t="shared" si="11"/>
        <v>44.98</v>
      </c>
      <c r="H47" s="26"/>
      <c r="I47" s="26"/>
      <c r="J47" s="28">
        <f t="array" ref="J47">IF(ROW(J47)&lt;=COUNTA(D:D)*2,IF(MOD(ROW(J47),2)=1,INDEX(D:D,(ROW(J47)+1)/2),INDEX(F:F,ROW(J47)/2)),"")</f>
        <v>-43.9</v>
      </c>
      <c r="K47" s="28">
        <f t="array" ref="K47">IF(ROW(K47)&lt;=COUNTA(E:E)*2,IF(MOD(ROW(K47),2)=1,INDEX(E:E,(ROW(K47)+1)/2),INDEX(G:G,ROW(K47)/2)),"")</f>
        <v>44.98</v>
      </c>
    </row>
    <row r="48" spans="1:11" x14ac:dyDescent="0.25">
      <c r="A48" s="26"/>
      <c r="B48" s="26"/>
      <c r="C48" s="26"/>
      <c r="D48" s="26">
        <f t="shared" si="8"/>
        <v>-91.9</v>
      </c>
      <c r="E48" s="27">
        <f t="shared" si="9"/>
        <v>44.82</v>
      </c>
      <c r="F48" s="26">
        <f t="shared" si="10"/>
        <v>-93.9</v>
      </c>
      <c r="G48" s="27">
        <f t="shared" si="11"/>
        <v>44.82</v>
      </c>
      <c r="H48" s="26"/>
      <c r="I48" s="26"/>
      <c r="J48" s="28">
        <f t="array" ref="J48">IF(ROW(J48)&lt;=COUNTA(D:D)*2,IF(MOD(ROW(J48),2)=1,INDEX(D:D,(ROW(J48)+1)/2),INDEX(F:F,ROW(J48)/2)),"")</f>
        <v>-45.9</v>
      </c>
      <c r="K48" s="28">
        <f t="array" ref="K48">IF(ROW(K48)&lt;=COUNTA(E:E)*2,IF(MOD(ROW(K48),2)=1,INDEX(E:E,(ROW(K48)+1)/2),INDEX(G:G,ROW(K48)/2)),"")</f>
        <v>44.98</v>
      </c>
    </row>
    <row r="49" spans="1:11" x14ac:dyDescent="0.25">
      <c r="A49" s="26"/>
      <c r="B49" s="26"/>
      <c r="C49" s="26"/>
      <c r="D49" s="26">
        <f t="shared" si="8"/>
        <v>-93.9</v>
      </c>
      <c r="E49" s="27">
        <f t="shared" si="9"/>
        <v>44.98</v>
      </c>
      <c r="F49" s="26">
        <f t="shared" si="10"/>
        <v>-95.9</v>
      </c>
      <c r="G49" s="27">
        <f t="shared" si="11"/>
        <v>44.98</v>
      </c>
      <c r="H49" s="26"/>
      <c r="I49" s="26"/>
      <c r="J49" s="28">
        <f t="array" ref="J49">IF(ROW(J49)&lt;=COUNTA(D:D)*2,IF(MOD(ROW(J49),2)=1,INDEX(D:D,(ROW(J49)+1)/2),INDEX(F:F,ROW(J49)/2)),"")</f>
        <v>-45.9</v>
      </c>
      <c r="K49" s="28">
        <f t="array" ref="K49">IF(ROW(K49)&lt;=COUNTA(E:E)*2,IF(MOD(ROW(K49),2)=1,INDEX(E:E,(ROW(K49)+1)/2),INDEX(G:G,ROW(K49)/2)),"")</f>
        <v>44.98</v>
      </c>
    </row>
    <row r="50" spans="1:11" x14ac:dyDescent="0.25">
      <c r="A50" s="26"/>
      <c r="B50" s="26"/>
      <c r="C50" s="26"/>
      <c r="D50" s="26">
        <f t="shared" si="8"/>
        <v>-95.9</v>
      </c>
      <c r="E50" s="27">
        <f t="shared" si="9"/>
        <v>44.86</v>
      </c>
      <c r="F50" s="26">
        <f t="shared" si="10"/>
        <v>-97.9</v>
      </c>
      <c r="G50" s="27">
        <f t="shared" si="11"/>
        <v>44.86</v>
      </c>
      <c r="H50" s="26"/>
      <c r="I50" s="26"/>
      <c r="J50" s="28">
        <f t="array" ref="J50">IF(ROW(J50)&lt;=COUNTA(D:D)*2,IF(MOD(ROW(J50),2)=1,INDEX(D:D,(ROW(J50)+1)/2),INDEX(F:F,ROW(J50)/2)),"")</f>
        <v>-47.9</v>
      </c>
      <c r="K50" s="28">
        <f t="array" ref="K50">IF(ROW(K50)&lt;=COUNTA(E:E)*2,IF(MOD(ROW(K50),2)=1,INDEX(E:E,(ROW(K50)+1)/2),INDEX(G:G,ROW(K50)/2)),"")</f>
        <v>44.98</v>
      </c>
    </row>
    <row r="51" spans="1:11" x14ac:dyDescent="0.25">
      <c r="A51" s="26"/>
      <c r="B51" s="26"/>
      <c r="C51" s="26"/>
      <c r="D51" s="26">
        <f t="shared" si="8"/>
        <v>-97.9</v>
      </c>
      <c r="E51" s="27">
        <f t="shared" si="9"/>
        <v>44.96</v>
      </c>
      <c r="F51" s="26">
        <f t="shared" si="10"/>
        <v>-99.9</v>
      </c>
      <c r="G51" s="27">
        <f t="shared" si="11"/>
        <v>44.96</v>
      </c>
      <c r="H51" s="26"/>
      <c r="I51" s="26"/>
      <c r="J51" s="28">
        <f t="array" ref="J51">IF(ROW(J51)&lt;=COUNTA(D:D)*2,IF(MOD(ROW(J51),2)=1,INDEX(D:D,(ROW(J51)+1)/2),INDEX(F:F,ROW(J51)/2)),"")</f>
        <v>-47.9</v>
      </c>
      <c r="K51" s="28">
        <f t="array" ref="K51">IF(ROW(K51)&lt;=COUNTA(E:E)*2,IF(MOD(ROW(K51),2)=1,INDEX(E:E,(ROW(K51)+1)/2),INDEX(G:G,ROW(K51)/2)),"")</f>
        <v>44.98</v>
      </c>
    </row>
    <row r="52" spans="1:11" x14ac:dyDescent="0.25">
      <c r="A52" s="26"/>
      <c r="B52" s="26"/>
      <c r="C52" s="26"/>
      <c r="D52" s="26">
        <f t="shared" si="8"/>
        <v>-99.9</v>
      </c>
      <c r="E52" s="27">
        <f t="shared" si="9"/>
        <v>44.98</v>
      </c>
      <c r="F52" s="26">
        <f t="shared" si="10"/>
        <v>-101.9</v>
      </c>
      <c r="G52" s="27">
        <f t="shared" si="11"/>
        <v>44.98</v>
      </c>
      <c r="H52" s="26"/>
      <c r="I52" s="26"/>
      <c r="J52" s="28">
        <f t="array" ref="J52">IF(ROW(J52)&lt;=COUNTA(D:D)*2,IF(MOD(ROW(J52),2)=1,INDEX(D:D,(ROW(J52)+1)/2),INDEX(F:F,ROW(J52)/2)),"")</f>
        <v>-49.9</v>
      </c>
      <c r="K52" s="28">
        <f t="array" ref="K52">IF(ROW(K52)&lt;=COUNTA(E:E)*2,IF(MOD(ROW(K52),2)=1,INDEX(E:E,(ROW(K52)+1)/2),INDEX(G:G,ROW(K52)/2)),"")</f>
        <v>44.98</v>
      </c>
    </row>
    <row r="53" spans="1:11" x14ac:dyDescent="0.25">
      <c r="A53" s="26"/>
      <c r="B53" s="26"/>
      <c r="C53" s="26"/>
      <c r="D53" s="26">
        <f t="shared" si="8"/>
        <v>-101.9</v>
      </c>
      <c r="E53" s="27">
        <f t="shared" si="9"/>
        <v>44.96</v>
      </c>
      <c r="F53" s="26">
        <f t="shared" si="10"/>
        <v>-103.9</v>
      </c>
      <c r="G53" s="27">
        <f t="shared" si="11"/>
        <v>44.96</v>
      </c>
      <c r="H53" s="26"/>
      <c r="I53" s="26"/>
      <c r="J53" s="28">
        <f t="array" ref="J53">IF(ROW(J53)&lt;=COUNTA(D:D)*2,IF(MOD(ROW(J53),2)=1,INDEX(D:D,(ROW(J53)+1)/2),INDEX(F:F,ROW(J53)/2)),"")</f>
        <v>-49.9</v>
      </c>
      <c r="K53" s="28">
        <f t="array" ref="K53">IF(ROW(K53)&lt;=COUNTA(E:E)*2,IF(MOD(ROW(K53),2)=1,INDEX(E:E,(ROW(K53)+1)/2),INDEX(G:G,ROW(K53)/2)),"")</f>
        <v>44.98</v>
      </c>
    </row>
    <row r="54" spans="1:11" x14ac:dyDescent="0.25">
      <c r="A54" s="26"/>
      <c r="B54" s="26"/>
      <c r="C54" s="26"/>
      <c r="D54" s="26">
        <f t="shared" si="8"/>
        <v>-103.9</v>
      </c>
      <c r="E54" s="27">
        <f t="shared" si="9"/>
        <v>44.98</v>
      </c>
      <c r="F54" s="26">
        <f t="shared" si="10"/>
        <v>-105.9</v>
      </c>
      <c r="G54" s="27">
        <f t="shared" si="11"/>
        <v>44.98</v>
      </c>
      <c r="H54" s="26"/>
      <c r="I54" s="26"/>
      <c r="J54" s="28">
        <f t="array" ref="J54">IF(ROW(J54)&lt;=COUNTA(D:D)*2,IF(MOD(ROW(J54),2)=1,INDEX(D:D,(ROW(J54)+1)/2),INDEX(F:F,ROW(J54)/2)),"")</f>
        <v>-51.9</v>
      </c>
      <c r="K54" s="28">
        <f t="array" ref="K54">IF(ROW(K54)&lt;=COUNTA(E:E)*2,IF(MOD(ROW(K54),2)=1,INDEX(E:E,(ROW(K54)+1)/2),INDEX(G:G,ROW(K54)/2)),"")</f>
        <v>44.98</v>
      </c>
    </row>
    <row r="55" spans="1:11" x14ac:dyDescent="0.25">
      <c r="A55" s="26"/>
      <c r="B55" s="26"/>
      <c r="C55" s="26"/>
      <c r="D55" s="26">
        <f t="shared" si="8"/>
        <v>-105.9</v>
      </c>
      <c r="E55" s="27">
        <f t="shared" si="9"/>
        <v>44.98</v>
      </c>
      <c r="F55" s="26">
        <f t="shared" si="10"/>
        <v>-107.9</v>
      </c>
      <c r="G55" s="27">
        <f t="shared" si="11"/>
        <v>44.98</v>
      </c>
      <c r="H55" s="26"/>
      <c r="I55" s="26"/>
      <c r="J55" s="28">
        <f t="array" ref="J55">IF(ROW(J55)&lt;=COUNTA(D:D)*2,IF(MOD(ROW(J55),2)=1,INDEX(D:D,(ROW(J55)+1)/2),INDEX(F:F,ROW(J55)/2)),"")</f>
        <v>-51.9</v>
      </c>
      <c r="K55" s="28">
        <f t="array" ref="K55">IF(ROW(K55)&lt;=COUNTA(E:E)*2,IF(MOD(ROW(K55),2)=1,INDEX(E:E,(ROW(K55)+1)/2),INDEX(G:G,ROW(K55)/2)),"")</f>
        <v>44.98</v>
      </c>
    </row>
    <row r="56" spans="1:11" x14ac:dyDescent="0.25">
      <c r="A56" s="26"/>
      <c r="B56" s="26"/>
      <c r="C56" s="26"/>
      <c r="D56" s="26">
        <f t="shared" si="8"/>
        <v>-107.9</v>
      </c>
      <c r="E56" s="27">
        <f t="shared" si="9"/>
        <v>44.98</v>
      </c>
      <c r="F56" s="26">
        <f t="shared" si="10"/>
        <v>-109.9</v>
      </c>
      <c r="G56" s="27">
        <f t="shared" si="11"/>
        <v>44.98</v>
      </c>
      <c r="H56" s="26"/>
      <c r="I56" s="26"/>
      <c r="J56" s="28">
        <f t="array" ref="J56">IF(ROW(J56)&lt;=COUNTA(D:D)*2,IF(MOD(ROW(J56),2)=1,INDEX(D:D,(ROW(J56)+1)/2),INDEX(F:F,ROW(J56)/2)),"")</f>
        <v>-53.9</v>
      </c>
      <c r="K56" s="28">
        <f t="array" ref="K56">IF(ROW(K56)&lt;=COUNTA(E:E)*2,IF(MOD(ROW(K56),2)=1,INDEX(E:E,(ROW(K56)+1)/2),INDEX(G:G,ROW(K56)/2)),"")</f>
        <v>44.98</v>
      </c>
    </row>
    <row r="57" spans="1:11" x14ac:dyDescent="0.25">
      <c r="A57" s="26"/>
      <c r="B57" s="26"/>
      <c r="C57" s="26"/>
      <c r="D57" s="26">
        <f t="shared" si="8"/>
        <v>-109.9</v>
      </c>
      <c r="E57" s="27">
        <f t="shared" si="9"/>
        <v>44.98</v>
      </c>
      <c r="F57" s="26">
        <f t="shared" si="10"/>
        <v>-111.9</v>
      </c>
      <c r="G57" s="27">
        <f t="shared" si="11"/>
        <v>44.98</v>
      </c>
      <c r="H57" s="26"/>
      <c r="I57" s="26"/>
      <c r="J57" s="28">
        <f t="array" ref="J57">IF(ROW(J57)&lt;=COUNTA(D:D)*2,IF(MOD(ROW(J57),2)=1,INDEX(D:D,(ROW(J57)+1)/2),INDEX(F:F,ROW(J57)/2)),"")</f>
        <v>-53.9</v>
      </c>
      <c r="K57" s="28">
        <f t="array" ref="K57">IF(ROW(K57)&lt;=COUNTA(E:E)*2,IF(MOD(ROW(K57),2)=1,INDEX(E:E,(ROW(K57)+1)/2),INDEX(G:G,ROW(K57)/2)),"")</f>
        <v>44.98</v>
      </c>
    </row>
    <row r="58" spans="1:11" x14ac:dyDescent="0.25">
      <c r="A58" s="26"/>
      <c r="B58" s="26"/>
      <c r="C58" s="26"/>
      <c r="D58" s="26">
        <f t="shared" si="8"/>
        <v>-111.9</v>
      </c>
      <c r="E58" s="27">
        <f t="shared" si="9"/>
        <v>44.98</v>
      </c>
      <c r="F58" s="26">
        <f t="shared" si="10"/>
        <v>-113.9</v>
      </c>
      <c r="G58" s="27">
        <f t="shared" si="11"/>
        <v>44.98</v>
      </c>
      <c r="H58" s="26"/>
      <c r="I58" s="26"/>
      <c r="J58" s="28">
        <f t="array" ref="J58">IF(ROW(J58)&lt;=COUNTA(D:D)*2,IF(MOD(ROW(J58),2)=1,INDEX(D:D,(ROW(J58)+1)/2),INDEX(F:F,ROW(J58)/2)),"")</f>
        <v>-55.9</v>
      </c>
      <c r="K58" s="28">
        <f t="array" ref="K58">IF(ROW(K58)&lt;=COUNTA(E:E)*2,IF(MOD(ROW(K58),2)=1,INDEX(E:E,(ROW(K58)+1)/2),INDEX(G:G,ROW(K58)/2)),"")</f>
        <v>44.98</v>
      </c>
    </row>
    <row r="59" spans="1:11" x14ac:dyDescent="0.25">
      <c r="A59" s="26"/>
      <c r="B59" s="26"/>
      <c r="C59" s="26"/>
      <c r="D59" s="26">
        <f t="shared" si="8"/>
        <v>-113.9</v>
      </c>
      <c r="E59" s="27">
        <f t="shared" si="9"/>
        <v>44.92</v>
      </c>
      <c r="F59" s="26">
        <f t="shared" si="10"/>
        <v>-115.9</v>
      </c>
      <c r="G59" s="27">
        <f t="shared" si="11"/>
        <v>44.92</v>
      </c>
      <c r="H59" s="26"/>
      <c r="I59" s="26"/>
      <c r="J59" s="28">
        <f t="array" ref="J59">IF(ROW(J59)&lt;=COUNTA(D:D)*2,IF(MOD(ROW(J59),2)=1,INDEX(D:D,(ROW(J59)+1)/2),INDEX(F:F,ROW(J59)/2)),"")</f>
        <v>-55.9</v>
      </c>
      <c r="K59" s="28">
        <f t="array" ref="K59">IF(ROW(K59)&lt;=COUNTA(E:E)*2,IF(MOD(ROW(K59),2)=1,INDEX(E:E,(ROW(K59)+1)/2),INDEX(G:G,ROW(K59)/2)),"")</f>
        <v>44.98</v>
      </c>
    </row>
    <row r="60" spans="1:11" x14ac:dyDescent="0.25">
      <c r="A60" s="29"/>
      <c r="B60" s="26"/>
      <c r="C60" s="26"/>
      <c r="D60" s="26">
        <f t="shared" si="8"/>
        <v>-115.9</v>
      </c>
      <c r="E60" s="27">
        <f t="shared" si="9"/>
        <v>44.94</v>
      </c>
      <c r="F60" s="26">
        <f t="shared" si="10"/>
        <v>-117.9</v>
      </c>
      <c r="G60" s="27">
        <f t="shared" si="11"/>
        <v>44.94</v>
      </c>
      <c r="H60" s="26"/>
      <c r="I60" s="26"/>
      <c r="J60" s="28">
        <f t="array" ref="J60">IF(ROW(J60)&lt;=COUNTA(D:D)*2,IF(MOD(ROW(J60),2)=1,INDEX(D:D,(ROW(J60)+1)/2),INDEX(F:F,ROW(J60)/2)),"")</f>
        <v>-57.9</v>
      </c>
      <c r="K60" s="28">
        <f t="array" ref="K60">IF(ROW(K60)&lt;=COUNTA(E:E)*2,IF(MOD(ROW(K60),2)=1,INDEX(E:E,(ROW(K60)+1)/2),INDEX(G:G,ROW(K60)/2)),"")</f>
        <v>44.98</v>
      </c>
    </row>
    <row r="61" spans="1:11" x14ac:dyDescent="0.25">
      <c r="A61" s="29"/>
      <c r="B61" s="26"/>
      <c r="C61" s="26"/>
      <c r="D61" s="26">
        <f t="shared" si="8"/>
        <v>-117.9</v>
      </c>
      <c r="E61" s="27">
        <f t="shared" si="9"/>
        <v>44.98</v>
      </c>
      <c r="F61" s="26">
        <f t="shared" si="10"/>
        <v>-119.9</v>
      </c>
      <c r="G61" s="27">
        <f t="shared" si="11"/>
        <v>44.98</v>
      </c>
      <c r="H61" s="26"/>
      <c r="I61" s="26"/>
      <c r="J61" s="28">
        <f t="array" ref="J61">IF(ROW(J61)&lt;=COUNTA(D:D)*2,IF(MOD(ROW(J61),2)=1,INDEX(D:D,(ROW(J61)+1)/2),INDEX(F:F,ROW(J61)/2)),"")</f>
        <v>-57.9</v>
      </c>
      <c r="K61" s="28">
        <f t="array" ref="K61">IF(ROW(K61)&lt;=COUNTA(E:E)*2,IF(MOD(ROW(K61),2)=1,INDEX(E:E,(ROW(K61)+1)/2),INDEX(G:G,ROW(K61)/2)),"")</f>
        <v>44.98</v>
      </c>
    </row>
    <row r="62" spans="1:11" x14ac:dyDescent="0.25">
      <c r="A62" s="29"/>
      <c r="B62" s="26"/>
      <c r="C62" s="26"/>
      <c r="D62" s="26">
        <f t="shared" si="8"/>
        <v>-119.9</v>
      </c>
      <c r="E62" s="27">
        <f t="shared" si="9"/>
        <v>44.98</v>
      </c>
      <c r="F62" s="26">
        <f t="shared" si="10"/>
        <v>-121.9</v>
      </c>
      <c r="G62" s="27">
        <f t="shared" si="11"/>
        <v>44.98</v>
      </c>
      <c r="H62" s="26"/>
      <c r="I62" s="26"/>
      <c r="J62" s="28">
        <f t="array" ref="J62">IF(ROW(J62)&lt;=COUNTA(D:D)*2,IF(MOD(ROW(J62),2)=1,INDEX(D:D,(ROW(J62)+1)/2),INDEX(F:F,ROW(J62)/2)),"")</f>
        <v>-59.9</v>
      </c>
      <c r="K62" s="28">
        <f t="array" ref="K62">IF(ROW(K62)&lt;=COUNTA(E:E)*2,IF(MOD(ROW(K62),2)=1,INDEX(E:E,(ROW(K62)+1)/2),INDEX(G:G,ROW(K62)/2)),"")</f>
        <v>44.98</v>
      </c>
    </row>
    <row r="63" spans="1:11" x14ac:dyDescent="0.25">
      <c r="A63" s="29"/>
      <c r="B63" s="26"/>
      <c r="C63" s="26"/>
      <c r="D63" s="26">
        <f t="shared" si="8"/>
        <v>-121.9</v>
      </c>
      <c r="E63" s="27">
        <f t="shared" si="9"/>
        <v>44.98</v>
      </c>
      <c r="F63" s="26">
        <f t="shared" si="10"/>
        <v>-123.9</v>
      </c>
      <c r="G63" s="27">
        <f t="shared" si="11"/>
        <v>44.98</v>
      </c>
      <c r="H63" s="26"/>
      <c r="I63" s="26"/>
      <c r="J63" s="28">
        <f t="array" ref="J63">IF(ROW(J63)&lt;=COUNTA(D:D)*2,IF(MOD(ROW(J63),2)=1,INDEX(D:D,(ROW(J63)+1)/2),INDEX(F:F,ROW(J63)/2)),"")</f>
        <v>-59.9</v>
      </c>
      <c r="K63" s="28">
        <f t="array" ref="K63">IF(ROW(K63)&lt;=COUNTA(E:E)*2,IF(MOD(ROW(K63),2)=1,INDEX(E:E,(ROW(K63)+1)/2),INDEX(G:G,ROW(K63)/2)),"")</f>
        <v>44.98</v>
      </c>
    </row>
    <row r="64" spans="1:11" x14ac:dyDescent="0.25">
      <c r="A64" s="29"/>
      <c r="B64" s="26"/>
      <c r="C64" s="26"/>
      <c r="D64" s="26">
        <f t="shared" si="8"/>
        <v>-123.9</v>
      </c>
      <c r="E64" s="27">
        <f t="shared" si="9"/>
        <v>44.92</v>
      </c>
      <c r="F64" s="26">
        <f t="shared" si="10"/>
        <v>-125.9</v>
      </c>
      <c r="G64" s="27">
        <f t="shared" si="11"/>
        <v>44.92</v>
      </c>
      <c r="H64" s="26"/>
      <c r="I64" s="26"/>
      <c r="J64" s="28">
        <f t="array" ref="J64">IF(ROW(J64)&lt;=COUNTA(D:D)*2,IF(MOD(ROW(J64),2)=1,INDEX(D:D,(ROW(J64)+1)/2),INDEX(F:F,ROW(J64)/2)),"")</f>
        <v>-61.9</v>
      </c>
      <c r="K64" s="28">
        <f t="array" ref="K64">IF(ROW(K64)&lt;=COUNTA(E:E)*2,IF(MOD(ROW(K64),2)=1,INDEX(E:E,(ROW(K64)+1)/2),INDEX(G:G,ROW(K64)/2)),"")</f>
        <v>44.98</v>
      </c>
    </row>
    <row r="65" spans="1:11" x14ac:dyDescent="0.25">
      <c r="A65" s="29"/>
      <c r="B65" s="26"/>
      <c r="C65" s="26"/>
      <c r="D65" s="26">
        <f t="shared" si="8"/>
        <v>-125.9</v>
      </c>
      <c r="E65" s="27">
        <f t="shared" si="9"/>
        <v>44.98</v>
      </c>
      <c r="F65" s="26">
        <f t="shared" si="10"/>
        <v>-127.9</v>
      </c>
      <c r="G65" s="27">
        <f t="shared" si="11"/>
        <v>44.98</v>
      </c>
      <c r="H65" s="26"/>
      <c r="I65" s="26"/>
      <c r="J65" s="28">
        <f t="array" ref="J65">IF(ROW(J65)&lt;=COUNTA(D:D)*2,IF(MOD(ROW(J65),2)=1,INDEX(D:D,(ROW(J65)+1)/2),INDEX(F:F,ROW(J65)/2)),"")</f>
        <v>-61.9</v>
      </c>
      <c r="K65" s="28">
        <f t="array" ref="K65">IF(ROW(K65)&lt;=COUNTA(E:E)*2,IF(MOD(ROW(K65),2)=1,INDEX(E:E,(ROW(K65)+1)/2),INDEX(G:G,ROW(K65)/2)),"")</f>
        <v>44.98</v>
      </c>
    </row>
    <row r="66" spans="1:11" x14ac:dyDescent="0.25">
      <c r="A66" s="29"/>
      <c r="B66" s="26"/>
      <c r="C66" s="26"/>
      <c r="D66" s="26">
        <f t="shared" si="8"/>
        <v>-127.9</v>
      </c>
      <c r="E66" s="27">
        <f t="shared" si="9"/>
        <v>44.98</v>
      </c>
      <c r="F66" s="26">
        <f t="shared" si="10"/>
        <v>-129.9</v>
      </c>
      <c r="G66" s="27">
        <f t="shared" si="11"/>
        <v>44.98</v>
      </c>
      <c r="H66" s="26"/>
      <c r="I66" s="26"/>
      <c r="J66" s="28">
        <f t="array" ref="J66">IF(ROW(J66)&lt;=COUNTA(D:D)*2,IF(MOD(ROW(J66),2)=1,INDEX(D:D,(ROW(J66)+1)/2),INDEX(F:F,ROW(J66)/2)),"")</f>
        <v>-63.9</v>
      </c>
      <c r="K66" s="28">
        <f t="array" ref="K66">IF(ROW(K66)&lt;=COUNTA(E:E)*2,IF(MOD(ROW(K66),2)=1,INDEX(E:E,(ROW(K66)+1)/2),INDEX(G:G,ROW(K66)/2)),"")</f>
        <v>44.98</v>
      </c>
    </row>
    <row r="67" spans="1:11" x14ac:dyDescent="0.25">
      <c r="A67" s="29"/>
      <c r="B67" s="26"/>
      <c r="C67" s="26"/>
      <c r="D67" s="26">
        <f t="shared" si="8"/>
        <v>-129.9</v>
      </c>
      <c r="E67" s="27">
        <f t="shared" si="9"/>
        <v>44.98</v>
      </c>
      <c r="F67" s="26">
        <f t="shared" si="10"/>
        <v>-131.9</v>
      </c>
      <c r="G67" s="27">
        <f t="shared" si="11"/>
        <v>44.98</v>
      </c>
      <c r="H67" s="26"/>
      <c r="I67" s="26"/>
      <c r="J67" s="28">
        <f t="array" ref="J67">IF(ROW(J67)&lt;=COUNTA(D:D)*2,IF(MOD(ROW(J67),2)=1,INDEX(D:D,(ROW(J67)+1)/2),INDEX(F:F,ROW(J67)/2)),"")</f>
        <v>-63.9</v>
      </c>
      <c r="K67" s="28">
        <f t="array" ref="K67">IF(ROW(K67)&lt;=COUNTA(E:E)*2,IF(MOD(ROW(K67),2)=1,INDEX(E:E,(ROW(K67)+1)/2),INDEX(G:G,ROW(K67)/2)),"")</f>
        <v>44.98</v>
      </c>
    </row>
    <row r="68" spans="1:11" x14ac:dyDescent="0.25">
      <c r="A68" s="29"/>
      <c r="B68" s="26"/>
      <c r="C68" s="26"/>
      <c r="D68" s="26">
        <f t="shared" si="8"/>
        <v>-131.9</v>
      </c>
      <c r="E68" s="27">
        <f t="shared" si="9"/>
        <v>44.96</v>
      </c>
      <c r="F68" s="26">
        <f t="shared" si="10"/>
        <v>-133.9</v>
      </c>
      <c r="G68" s="27">
        <f t="shared" si="11"/>
        <v>44.96</v>
      </c>
      <c r="H68" s="26"/>
      <c r="I68" s="26"/>
      <c r="J68" s="28">
        <f t="array" ref="J68">IF(ROW(J68)&lt;=COUNTA(D:D)*2,IF(MOD(ROW(J68),2)=1,INDEX(D:D,(ROW(J68)+1)/2),INDEX(F:F,ROW(J68)/2)),"")</f>
        <v>-65.9</v>
      </c>
      <c r="K68" s="28">
        <f t="array" ref="K68">IF(ROW(K68)&lt;=COUNTA(E:E)*2,IF(MOD(ROW(K68),2)=1,INDEX(E:E,(ROW(K68)+1)/2),INDEX(G:G,ROW(K68)/2)),"")</f>
        <v>44.98</v>
      </c>
    </row>
    <row r="69" spans="1:11" x14ac:dyDescent="0.25">
      <c r="A69" s="29"/>
      <c r="B69" s="26"/>
      <c r="C69" s="26"/>
      <c r="D69" s="26">
        <f t="shared" si="8"/>
        <v>-133.9</v>
      </c>
      <c r="E69" s="27">
        <f t="shared" si="9"/>
        <v>44.92</v>
      </c>
      <c r="F69" s="26">
        <f t="shared" si="10"/>
        <v>-135.9</v>
      </c>
      <c r="G69" s="27">
        <f t="shared" si="11"/>
        <v>44.92</v>
      </c>
      <c r="H69" s="26"/>
      <c r="I69" s="26"/>
      <c r="J69" s="28">
        <f t="array" ref="J69">IF(ROW(J69)&lt;=COUNTA(D:D)*2,IF(MOD(ROW(J69),2)=1,INDEX(D:D,(ROW(J69)+1)/2),INDEX(F:F,ROW(J69)/2)),"")</f>
        <v>-65.9</v>
      </c>
      <c r="K69" s="28">
        <f t="array" ref="K69">IF(ROW(K69)&lt;=COUNTA(E:E)*2,IF(MOD(ROW(K69),2)=1,INDEX(E:E,(ROW(K69)+1)/2),INDEX(G:G,ROW(K69)/2)),"")</f>
        <v>44.98</v>
      </c>
    </row>
    <row r="70" spans="1:11" x14ac:dyDescent="0.25">
      <c r="A70" s="26"/>
      <c r="B70" s="26"/>
      <c r="C70" s="26"/>
      <c r="D70" s="26">
        <f t="shared" si="8"/>
        <v>-135.9</v>
      </c>
      <c r="E70" s="27">
        <f t="shared" si="9"/>
        <v>44.94</v>
      </c>
      <c r="F70" s="26">
        <f t="shared" si="10"/>
        <v>-137.9</v>
      </c>
      <c r="G70" s="27">
        <f t="shared" si="11"/>
        <v>44.94</v>
      </c>
      <c r="H70" s="26"/>
      <c r="I70" s="26"/>
      <c r="J70" s="28">
        <f t="array" ref="J70">IF(ROW(J70)&lt;=COUNTA(D:D)*2,IF(MOD(ROW(J70),2)=1,INDEX(D:D,(ROW(J70)+1)/2),INDEX(F:F,ROW(J70)/2)),"")</f>
        <v>-67.9</v>
      </c>
      <c r="K70" s="28">
        <f t="array" ref="K70">IF(ROW(K70)&lt;=COUNTA(E:E)*2,IF(MOD(ROW(K70),2)=1,INDEX(E:E,(ROW(K70)+1)/2),INDEX(G:G,ROW(K70)/2)),"")</f>
        <v>44.98</v>
      </c>
    </row>
    <row r="71" spans="1:11" x14ac:dyDescent="0.25">
      <c r="A71" s="26"/>
      <c r="B71" s="26"/>
      <c r="C71" s="26"/>
      <c r="D71" s="26">
        <f t="shared" si="8"/>
        <v>-137.9</v>
      </c>
      <c r="E71" s="27">
        <f t="shared" si="9"/>
        <v>44.98</v>
      </c>
      <c r="F71" s="26">
        <f t="shared" si="10"/>
        <v>-139.9</v>
      </c>
      <c r="G71" s="27">
        <f t="shared" si="11"/>
        <v>44.98</v>
      </c>
      <c r="H71" s="26"/>
      <c r="I71" s="26"/>
      <c r="J71" s="28">
        <f t="array" ref="J71">IF(ROW(J71)&lt;=COUNTA(D:D)*2,IF(MOD(ROW(J71),2)=1,INDEX(D:D,(ROW(J71)+1)/2),INDEX(F:F,ROW(J71)/2)),"")</f>
        <v>-67.9</v>
      </c>
      <c r="K71" s="28">
        <f t="array" ref="K71">IF(ROW(K71)&lt;=COUNTA(E:E)*2,IF(MOD(ROW(K71),2)=1,INDEX(E:E,(ROW(K71)+1)/2),INDEX(G:G,ROW(K71)/2)),"")</f>
        <v>44.98</v>
      </c>
    </row>
    <row r="72" spans="1:11" x14ac:dyDescent="0.25">
      <c r="A72" s="26"/>
      <c r="B72" s="26"/>
      <c r="C72" s="26"/>
      <c r="D72" s="26">
        <f t="shared" si="8"/>
        <v>-139.9</v>
      </c>
      <c r="E72" s="27">
        <f t="shared" si="9"/>
        <v>44.96</v>
      </c>
      <c r="F72" s="26">
        <f t="shared" si="10"/>
        <v>-141.9</v>
      </c>
      <c r="G72" s="27">
        <f t="shared" si="11"/>
        <v>44.96</v>
      </c>
      <c r="H72" s="26"/>
      <c r="I72" s="26"/>
      <c r="J72" s="28">
        <f t="array" ref="J72">IF(ROW(J72)&lt;=COUNTA(D:D)*2,IF(MOD(ROW(J72),2)=1,INDEX(D:D,(ROW(J72)+1)/2),INDEX(F:F,ROW(J72)/2)),"")</f>
        <v>-69.9</v>
      </c>
      <c r="K72" s="28">
        <f t="array" ref="K72">IF(ROW(K72)&lt;=COUNTA(E:E)*2,IF(MOD(ROW(K72),2)=1,INDEX(E:E,(ROW(K72)+1)/2),INDEX(G:G,ROW(K72)/2)),"")</f>
        <v>44.98</v>
      </c>
    </row>
    <row r="73" spans="1:11" x14ac:dyDescent="0.25">
      <c r="A73" s="26"/>
      <c r="B73" s="26"/>
      <c r="C73" s="26"/>
      <c r="D73" s="26">
        <f t="shared" ref="D73:D118" si="12">0-A72</f>
        <v>-141.9</v>
      </c>
      <c r="E73" s="27">
        <f t="shared" ref="E73:E118" si="13">41+(B73/100)*4</f>
        <v>44.94</v>
      </c>
      <c r="F73" s="26">
        <f t="shared" ref="F73:F118" si="14">0-A73</f>
        <v>-143.9</v>
      </c>
      <c r="G73" s="27">
        <f t="shared" ref="G73:G118" si="15">41+(B73/100)*4</f>
        <v>44.94</v>
      </c>
      <c r="H73" s="26"/>
      <c r="I73" s="26"/>
      <c r="J73" s="28">
        <f t="array" ref="J73">IF(ROW(J73)&lt;=COUNTA(D:D)*2,IF(MOD(ROW(J73),2)=1,INDEX(D:D,(ROW(J73)+1)/2),INDEX(F:F,ROW(J73)/2)),"")</f>
        <v>-69.9</v>
      </c>
      <c r="K73" s="28">
        <f t="array" ref="K73">IF(ROW(K73)&lt;=COUNTA(E:E)*2,IF(MOD(ROW(K73),2)=1,INDEX(E:E,(ROW(K73)+1)/2),INDEX(G:G,ROW(K73)/2)),"")</f>
        <v>44.98</v>
      </c>
    </row>
    <row r="74" spans="1:11" x14ac:dyDescent="0.25">
      <c r="A74" s="26"/>
      <c r="B74" s="26"/>
      <c r="C74" s="26"/>
      <c r="D74" s="26">
        <f t="shared" si="12"/>
        <v>-143.9</v>
      </c>
      <c r="E74" s="27">
        <f t="shared" si="13"/>
        <v>44.94</v>
      </c>
      <c r="F74" s="26">
        <f t="shared" si="14"/>
        <v>-145.9</v>
      </c>
      <c r="G74" s="27">
        <f t="shared" si="15"/>
        <v>44.94</v>
      </c>
      <c r="H74" s="26"/>
      <c r="I74" s="26"/>
      <c r="J74" s="28">
        <f t="array" ref="J74">IF(ROW(J74)&lt;=COUNTA(D:D)*2,IF(MOD(ROW(J74),2)=1,INDEX(D:D,(ROW(J74)+1)/2),INDEX(F:F,ROW(J74)/2)),"")</f>
        <v>-71.9</v>
      </c>
      <c r="K74" s="28">
        <f t="array" ref="K74">IF(ROW(K74)&lt;=COUNTA(E:E)*2,IF(MOD(ROW(K74),2)=1,INDEX(E:E,(ROW(K74)+1)/2),INDEX(G:G,ROW(K74)/2)),"")</f>
        <v>44.98</v>
      </c>
    </row>
    <row r="75" spans="1:11" x14ac:dyDescent="0.25">
      <c r="A75" s="26"/>
      <c r="B75" s="26"/>
      <c r="C75" s="26"/>
      <c r="D75" s="26">
        <f t="shared" si="12"/>
        <v>-145.9</v>
      </c>
      <c r="E75" s="27">
        <f t="shared" si="13"/>
        <v>44.88</v>
      </c>
      <c r="F75" s="26">
        <f t="shared" si="14"/>
        <v>-147.9</v>
      </c>
      <c r="G75" s="27">
        <f t="shared" si="15"/>
        <v>44.88</v>
      </c>
      <c r="H75" s="26"/>
      <c r="I75" s="26"/>
      <c r="J75" s="28">
        <f t="array" ref="J75">IF(ROW(J75)&lt;=COUNTA(D:D)*2,IF(MOD(ROW(J75),2)=1,INDEX(D:D,(ROW(J75)+1)/2),INDEX(F:F,ROW(J75)/2)),"")</f>
        <v>-71.9</v>
      </c>
      <c r="K75" s="28">
        <f t="array" ref="K75">IF(ROW(K75)&lt;=COUNTA(E:E)*2,IF(MOD(ROW(K75),2)=1,INDEX(E:E,(ROW(K75)+1)/2),INDEX(G:G,ROW(K75)/2)),"")</f>
        <v>44.98</v>
      </c>
    </row>
    <row r="76" spans="1:11" x14ac:dyDescent="0.25">
      <c r="A76" s="26"/>
      <c r="B76" s="26"/>
      <c r="C76" s="26"/>
      <c r="D76" s="26">
        <f t="shared" si="12"/>
        <v>-147.9</v>
      </c>
      <c r="E76" s="27">
        <f t="shared" si="13"/>
        <v>44.9</v>
      </c>
      <c r="F76" s="26">
        <f t="shared" si="14"/>
        <v>-149.9</v>
      </c>
      <c r="G76" s="27">
        <f t="shared" si="15"/>
        <v>44.9</v>
      </c>
      <c r="H76" s="26"/>
      <c r="I76" s="26"/>
      <c r="J76" s="28">
        <f t="array" ref="J76">IF(ROW(J76)&lt;=COUNTA(D:D)*2,IF(MOD(ROW(J76),2)=1,INDEX(D:D,(ROW(J76)+1)/2),INDEX(F:F,ROW(J76)/2)),"")</f>
        <v>-73.9</v>
      </c>
      <c r="K76" s="28">
        <f t="array" ref="K76">IF(ROW(K76)&lt;=COUNTA(E:E)*2,IF(MOD(ROW(K76),2)=1,INDEX(E:E,(ROW(K76)+1)/2),INDEX(G:G,ROW(K76)/2)),"")</f>
        <v>44.98</v>
      </c>
    </row>
    <row r="77" spans="1:11" x14ac:dyDescent="0.25">
      <c r="A77" s="26"/>
      <c r="B77" s="26"/>
      <c r="C77" s="26"/>
      <c r="D77" s="26">
        <f t="shared" si="12"/>
        <v>-149.9</v>
      </c>
      <c r="E77" s="27">
        <f t="shared" si="13"/>
        <v>44.9</v>
      </c>
      <c r="F77" s="26">
        <f t="shared" si="14"/>
        <v>-151.9</v>
      </c>
      <c r="G77" s="27">
        <f t="shared" si="15"/>
        <v>44.9</v>
      </c>
      <c r="H77" s="26"/>
      <c r="I77" s="26"/>
      <c r="J77" s="28">
        <f t="array" ref="J77">IF(ROW(J77)&lt;=COUNTA(D:D)*2,IF(MOD(ROW(J77),2)=1,INDEX(D:D,(ROW(J77)+1)/2),INDEX(F:F,ROW(J77)/2)),"")</f>
        <v>-73.9</v>
      </c>
      <c r="K77" s="28">
        <f t="array" ref="K77">IF(ROW(K77)&lt;=COUNTA(E:E)*2,IF(MOD(ROW(K77),2)=1,INDEX(E:E,(ROW(K77)+1)/2),INDEX(G:G,ROW(K77)/2)),"")</f>
        <v>44.98</v>
      </c>
    </row>
    <row r="78" spans="1:11" x14ac:dyDescent="0.25">
      <c r="A78" s="26"/>
      <c r="B78" s="26"/>
      <c r="C78" s="26"/>
      <c r="D78" s="26">
        <f t="shared" si="12"/>
        <v>-151.9</v>
      </c>
      <c r="E78" s="27">
        <f t="shared" si="13"/>
        <v>44.98</v>
      </c>
      <c r="F78" s="26">
        <f t="shared" si="14"/>
        <v>-153.9</v>
      </c>
      <c r="G78" s="27">
        <f t="shared" si="15"/>
        <v>44.98</v>
      </c>
      <c r="H78" s="26"/>
      <c r="I78" s="26"/>
      <c r="J78" s="28">
        <f t="array" ref="J78">IF(ROW(J78)&lt;=COUNTA(D:D)*2,IF(MOD(ROW(J78),2)=1,INDEX(D:D,(ROW(J78)+1)/2),INDEX(F:F,ROW(J78)/2)),"")</f>
        <v>-75.9</v>
      </c>
      <c r="K78" s="28">
        <f t="array" ref="K78">IF(ROW(K78)&lt;=COUNTA(E:E)*2,IF(MOD(ROW(K78),2)=1,INDEX(E:E,(ROW(K78)+1)/2),INDEX(G:G,ROW(K78)/2)),"")</f>
        <v>44.98</v>
      </c>
    </row>
    <row r="79" spans="1:11" x14ac:dyDescent="0.25">
      <c r="A79" s="26"/>
      <c r="B79" s="26"/>
      <c r="C79" s="26"/>
      <c r="D79" s="26">
        <f t="shared" si="12"/>
        <v>-153.9</v>
      </c>
      <c r="E79" s="27">
        <f t="shared" si="13"/>
        <v>44.96</v>
      </c>
      <c r="F79" s="26">
        <f t="shared" si="14"/>
        <v>-155.9</v>
      </c>
      <c r="G79" s="27">
        <f t="shared" si="15"/>
        <v>44.96</v>
      </c>
      <c r="H79" s="26"/>
      <c r="I79" s="26"/>
      <c r="J79" s="28">
        <f t="array" ref="J79">IF(ROW(J79)&lt;=COUNTA(D:D)*2,IF(MOD(ROW(J79),2)=1,INDEX(D:D,(ROW(J79)+1)/2),INDEX(F:F,ROW(J79)/2)),"")</f>
        <v>-75.9</v>
      </c>
      <c r="K79" s="28">
        <f t="array" ref="K79">IF(ROW(K79)&lt;=COUNTA(E:E)*2,IF(MOD(ROW(K79),2)=1,INDEX(E:E,(ROW(K79)+1)/2),INDEX(G:G,ROW(K79)/2)),"")</f>
        <v>44.98</v>
      </c>
    </row>
    <row r="80" spans="1:11" x14ac:dyDescent="0.25">
      <c r="A80" s="26"/>
      <c r="B80" s="26"/>
      <c r="C80" s="26"/>
      <c r="D80" s="26">
        <f t="shared" si="12"/>
        <v>-155.9</v>
      </c>
      <c r="E80" s="27">
        <f t="shared" si="13"/>
        <v>44.98</v>
      </c>
      <c r="F80" s="26">
        <f t="shared" si="14"/>
        <v>-157.9</v>
      </c>
      <c r="G80" s="27">
        <f t="shared" si="15"/>
        <v>44.98</v>
      </c>
      <c r="H80" s="26"/>
      <c r="I80" s="26"/>
      <c r="J80" s="28">
        <f t="array" ref="J80">IF(ROW(J80)&lt;=COUNTA(D:D)*2,IF(MOD(ROW(J80),2)=1,INDEX(D:D,(ROW(J80)+1)/2),INDEX(F:F,ROW(J80)/2)),"")</f>
        <v>-77.9</v>
      </c>
      <c r="K80" s="28">
        <f t="array" ref="K80">IF(ROW(K80)&lt;=COUNTA(E:E)*2,IF(MOD(ROW(K80),2)=1,INDEX(E:E,(ROW(K80)+1)/2),INDEX(G:G,ROW(K80)/2)),"")</f>
        <v>44.98</v>
      </c>
    </row>
    <row r="81" spans="1:11" x14ac:dyDescent="0.25">
      <c r="A81" s="26"/>
      <c r="B81" s="25"/>
      <c r="C81" s="26"/>
      <c r="D81" s="26">
        <f t="shared" si="12"/>
        <v>-157.9</v>
      </c>
      <c r="E81" s="27">
        <f t="shared" si="13"/>
        <v>44.98</v>
      </c>
      <c r="F81" s="26">
        <f t="shared" si="14"/>
        <v>-159.9</v>
      </c>
      <c r="G81" s="27">
        <f t="shared" si="15"/>
        <v>44.98</v>
      </c>
      <c r="H81" s="26"/>
      <c r="I81" s="26"/>
      <c r="J81" s="28">
        <f t="array" ref="J81">IF(ROW(J81)&lt;=COUNTA(D:D)*2,IF(MOD(ROW(J81),2)=1,INDEX(D:D,(ROW(J81)+1)/2),INDEX(F:F,ROW(J81)/2)),"")</f>
        <v>-77.9</v>
      </c>
      <c r="K81" s="28">
        <f t="array" ref="K81">IF(ROW(K81)&lt;=COUNTA(E:E)*2,IF(MOD(ROW(K81),2)=1,INDEX(E:E,(ROW(K81)+1)/2),INDEX(G:G,ROW(K81)/2)),"")</f>
        <v>44.8</v>
      </c>
    </row>
    <row r="82" spans="1:11" x14ac:dyDescent="0.25">
      <c r="A82" s="26"/>
      <c r="B82" s="25"/>
      <c r="C82" s="26"/>
      <c r="D82" s="26">
        <f t="shared" si="12"/>
        <v>-159.9</v>
      </c>
      <c r="E82" s="27">
        <f t="shared" si="13"/>
        <v>44.98</v>
      </c>
      <c r="F82" s="26">
        <f t="shared" si="14"/>
        <v>-161.9</v>
      </c>
      <c r="G82" s="27">
        <f t="shared" si="15"/>
        <v>44.98</v>
      </c>
      <c r="H82" s="26"/>
      <c r="I82" s="26"/>
      <c r="J82" s="28">
        <f t="array" ref="J82">IF(ROW(J82)&lt;=COUNTA(D:D)*2,IF(MOD(ROW(J82),2)=1,INDEX(D:D,(ROW(J82)+1)/2),INDEX(F:F,ROW(J82)/2)),"")</f>
        <v>-79.9</v>
      </c>
      <c r="K82" s="28">
        <f t="array" ref="K82">IF(ROW(K82)&lt;=COUNTA(E:E)*2,IF(MOD(ROW(K82),2)=1,INDEX(E:E,(ROW(K82)+1)/2),INDEX(G:G,ROW(K82)/2)),"")</f>
        <v>44.8</v>
      </c>
    </row>
    <row r="83" spans="1:11" x14ac:dyDescent="0.25">
      <c r="A83" s="26"/>
      <c r="B83" s="25"/>
      <c r="C83" s="26"/>
      <c r="D83" s="26">
        <f t="shared" si="12"/>
        <v>-161.9</v>
      </c>
      <c r="E83" s="27">
        <f t="shared" si="13"/>
        <v>44.98</v>
      </c>
      <c r="F83" s="26">
        <f t="shared" si="14"/>
        <v>-163.9</v>
      </c>
      <c r="G83" s="27">
        <f t="shared" si="15"/>
        <v>44.98</v>
      </c>
      <c r="H83" s="26"/>
      <c r="I83" s="26"/>
      <c r="J83" s="28">
        <f t="array" ref="J83">IF(ROW(J83)&lt;=COUNTA(D:D)*2,IF(MOD(ROW(J83),2)=1,INDEX(D:D,(ROW(J83)+1)/2),INDEX(F:F,ROW(J83)/2)),"")</f>
        <v>-79.9</v>
      </c>
      <c r="K83" s="28">
        <f t="array" ref="K83">IF(ROW(K83)&lt;=COUNTA(E:E)*2,IF(MOD(ROW(K83),2)=1,INDEX(E:E,(ROW(K83)+1)/2),INDEX(G:G,ROW(K83)/2)),"")</f>
        <v>44.98</v>
      </c>
    </row>
    <row r="84" spans="1:11" x14ac:dyDescent="0.25">
      <c r="A84" s="26"/>
      <c r="B84" s="25"/>
      <c r="C84" s="26"/>
      <c r="D84" s="26">
        <f t="shared" si="12"/>
        <v>-163.9</v>
      </c>
      <c r="E84" s="27">
        <f t="shared" si="13"/>
        <v>44.98</v>
      </c>
      <c r="F84" s="26">
        <f t="shared" si="14"/>
        <v>-165.9</v>
      </c>
      <c r="G84" s="27">
        <f t="shared" si="15"/>
        <v>44.98</v>
      </c>
      <c r="H84" s="26"/>
      <c r="I84" s="26"/>
      <c r="J84" s="28">
        <f t="array" ref="J84">IF(ROW(J84)&lt;=COUNTA(D:D)*2,IF(MOD(ROW(J84),2)=1,INDEX(D:D,(ROW(J84)+1)/2),INDEX(F:F,ROW(J84)/2)),"")</f>
        <v>-81.9</v>
      </c>
      <c r="K84" s="28">
        <f t="array" ref="K84">IF(ROW(K84)&lt;=COUNTA(E:E)*2,IF(MOD(ROW(K84),2)=1,INDEX(E:E,(ROW(K84)+1)/2),INDEX(G:G,ROW(K84)/2)),"")</f>
        <v>44.98</v>
      </c>
    </row>
    <row r="85" spans="1:11" x14ac:dyDescent="0.25">
      <c r="A85" s="26"/>
      <c r="B85" s="25"/>
      <c r="C85" s="26"/>
      <c r="D85" s="26">
        <f t="shared" si="12"/>
        <v>-165.9</v>
      </c>
      <c r="E85" s="27">
        <f t="shared" si="13"/>
        <v>44.98</v>
      </c>
      <c r="F85" s="26">
        <f t="shared" si="14"/>
        <v>-167.9</v>
      </c>
      <c r="G85" s="27">
        <f t="shared" si="15"/>
        <v>44.98</v>
      </c>
      <c r="H85" s="26"/>
      <c r="I85" s="26"/>
      <c r="J85" s="28">
        <f t="array" ref="J85">IF(ROW(J85)&lt;=COUNTA(D:D)*2,IF(MOD(ROW(J85),2)=1,INDEX(D:D,(ROW(J85)+1)/2),INDEX(F:F,ROW(J85)/2)),"")</f>
        <v>-81.9</v>
      </c>
      <c r="K85" s="28">
        <f t="array" ref="K85">IF(ROW(K85)&lt;=COUNTA(E:E)*2,IF(MOD(ROW(K85),2)=1,INDEX(E:E,(ROW(K85)+1)/2),INDEX(G:G,ROW(K85)/2)),"")</f>
        <v>44.94</v>
      </c>
    </row>
    <row r="86" spans="1:11" x14ac:dyDescent="0.25">
      <c r="A86" s="26"/>
      <c r="B86" s="25"/>
      <c r="C86" s="26"/>
      <c r="D86" s="26">
        <f t="shared" si="12"/>
        <v>-167.9</v>
      </c>
      <c r="E86" s="27">
        <f t="shared" si="13"/>
        <v>44.98</v>
      </c>
      <c r="F86" s="26">
        <f t="shared" si="14"/>
        <v>-169.9</v>
      </c>
      <c r="G86" s="27">
        <f t="shared" si="15"/>
        <v>44.98</v>
      </c>
      <c r="H86" s="26"/>
      <c r="I86" s="26"/>
      <c r="J86" s="28">
        <f t="array" ref="J86">IF(ROW(J86)&lt;=COUNTA(D:D)*2,IF(MOD(ROW(J86),2)=1,INDEX(D:D,(ROW(J86)+1)/2),INDEX(F:F,ROW(J86)/2)),"")</f>
        <v>-83.9</v>
      </c>
      <c r="K86" s="28">
        <f t="array" ref="K86">IF(ROW(K86)&lt;=COUNTA(E:E)*2,IF(MOD(ROW(K86),2)=1,INDEX(E:E,(ROW(K86)+1)/2),INDEX(G:G,ROW(K86)/2)),"")</f>
        <v>44.94</v>
      </c>
    </row>
    <row r="87" spans="1:11" x14ac:dyDescent="0.25">
      <c r="A87" s="26"/>
      <c r="B87" s="25"/>
      <c r="C87" s="26"/>
      <c r="D87" s="26">
        <f t="shared" si="12"/>
        <v>-169.9</v>
      </c>
      <c r="E87" s="27">
        <f t="shared" si="13"/>
        <v>44.98</v>
      </c>
      <c r="F87" s="26">
        <f t="shared" si="14"/>
        <v>-171.9</v>
      </c>
      <c r="G87" s="27">
        <f t="shared" si="15"/>
        <v>44.98</v>
      </c>
      <c r="H87" s="26"/>
      <c r="I87" s="26"/>
      <c r="J87" s="28">
        <f t="array" ref="J87">IF(ROW(J87)&lt;=COUNTA(D:D)*2,IF(MOD(ROW(J87),2)=1,INDEX(D:D,(ROW(J87)+1)/2),INDEX(F:F,ROW(J87)/2)),"")</f>
        <v>-83.9</v>
      </c>
      <c r="K87" s="28">
        <f t="array" ref="K87">IF(ROW(K87)&lt;=COUNTA(E:E)*2,IF(MOD(ROW(K87),2)=1,INDEX(E:E,(ROW(K87)+1)/2),INDEX(G:G,ROW(K87)/2)),"")</f>
        <v>44.98</v>
      </c>
    </row>
    <row r="88" spans="1:11" x14ac:dyDescent="0.25">
      <c r="A88" s="26"/>
      <c r="B88" s="25"/>
      <c r="C88" s="26"/>
      <c r="D88" s="26">
        <f t="shared" si="12"/>
        <v>-171.9</v>
      </c>
      <c r="E88" s="27">
        <f t="shared" si="13"/>
        <v>44.98</v>
      </c>
      <c r="F88" s="26">
        <f t="shared" si="14"/>
        <v>-173.9</v>
      </c>
      <c r="G88" s="27">
        <f t="shared" si="15"/>
        <v>44.98</v>
      </c>
      <c r="H88" s="26"/>
      <c r="I88" s="26"/>
      <c r="J88" s="28">
        <f t="array" ref="J88">IF(ROW(J88)&lt;=COUNTA(D:D)*2,IF(MOD(ROW(J88),2)=1,INDEX(D:D,(ROW(J88)+1)/2),INDEX(F:F,ROW(J88)/2)),"")</f>
        <v>-85.9</v>
      </c>
      <c r="K88" s="28">
        <f t="array" ref="K88">IF(ROW(K88)&lt;=COUNTA(E:E)*2,IF(MOD(ROW(K88),2)=1,INDEX(E:E,(ROW(K88)+1)/2),INDEX(G:G,ROW(K88)/2)),"")</f>
        <v>44.98</v>
      </c>
    </row>
    <row r="89" spans="1:11" x14ac:dyDescent="0.25">
      <c r="A89" s="26"/>
      <c r="B89" s="25"/>
      <c r="C89" s="26"/>
      <c r="D89" s="26">
        <f t="shared" si="12"/>
        <v>-173.9</v>
      </c>
      <c r="E89" s="27">
        <f t="shared" si="13"/>
        <v>44.98</v>
      </c>
      <c r="F89" s="26">
        <f t="shared" si="14"/>
        <v>-175.9</v>
      </c>
      <c r="G89" s="27">
        <f t="shared" si="15"/>
        <v>44.98</v>
      </c>
      <c r="H89" s="26"/>
      <c r="I89" s="26"/>
      <c r="J89" s="28">
        <f t="array" ref="J89">IF(ROW(J89)&lt;=COUNTA(D:D)*2,IF(MOD(ROW(J89),2)=1,INDEX(D:D,(ROW(J89)+1)/2),INDEX(F:F,ROW(J89)/2)),"")</f>
        <v>-85.9</v>
      </c>
      <c r="K89" s="28">
        <f t="array" ref="K89">IF(ROW(K89)&lt;=COUNTA(E:E)*2,IF(MOD(ROW(K89),2)=1,INDEX(E:E,(ROW(K89)+1)/2),INDEX(G:G,ROW(K89)/2)),"")</f>
        <v>44.98</v>
      </c>
    </row>
    <row r="90" spans="1:11" x14ac:dyDescent="0.25">
      <c r="A90" s="25"/>
      <c r="B90" s="25"/>
      <c r="D90" s="26">
        <f t="shared" si="12"/>
        <v>-175.9</v>
      </c>
      <c r="E90" s="27">
        <f t="shared" si="13"/>
        <v>44.98</v>
      </c>
      <c r="F90" s="26">
        <f t="shared" si="14"/>
        <v>-177.9</v>
      </c>
      <c r="G90" s="27">
        <f t="shared" si="15"/>
        <v>44.98</v>
      </c>
      <c r="J90" s="28">
        <f t="array" ref="J90">IF(ROW(J90)&lt;=COUNTA(D:D)*2,IF(MOD(ROW(J90),2)=1,INDEX(D:D,(ROW(J90)+1)/2),INDEX(F:F,ROW(J90)/2)),"")</f>
        <v>-87.9</v>
      </c>
      <c r="K90" s="28">
        <f t="array" ref="K90">IF(ROW(K90)&lt;=COUNTA(E:E)*2,IF(MOD(ROW(K90),2)=1,INDEX(E:E,(ROW(K90)+1)/2),INDEX(G:G,ROW(K90)/2)),"")</f>
        <v>44.98</v>
      </c>
    </row>
    <row r="91" spans="1:11" x14ac:dyDescent="0.25">
      <c r="A91" s="25"/>
      <c r="B91" s="25"/>
      <c r="D91" s="26">
        <f t="shared" si="12"/>
        <v>-177.9</v>
      </c>
      <c r="E91" s="27">
        <f t="shared" si="13"/>
        <v>44.98</v>
      </c>
      <c r="F91" s="26">
        <f t="shared" si="14"/>
        <v>-179.9</v>
      </c>
      <c r="G91" s="27">
        <f t="shared" si="15"/>
        <v>44.98</v>
      </c>
      <c r="J91" s="28">
        <f t="array" ref="J91">IF(ROW(J91)&lt;=COUNTA(D:D)*2,IF(MOD(ROW(J91),2)=1,INDEX(D:D,(ROW(J91)+1)/2),INDEX(F:F,ROW(J91)/2)),"")</f>
        <v>-87.9</v>
      </c>
      <c r="K91" s="28">
        <f t="array" ref="K91">IF(ROW(K91)&lt;=COUNTA(E:E)*2,IF(MOD(ROW(K91),2)=1,INDEX(E:E,(ROW(K91)+1)/2),INDEX(G:G,ROW(K91)/2)),"")</f>
        <v>44.98</v>
      </c>
    </row>
    <row r="92" spans="1:11" x14ac:dyDescent="0.25">
      <c r="A92" s="25"/>
      <c r="B92" s="25"/>
      <c r="D92" s="26">
        <f t="shared" si="12"/>
        <v>-179.9</v>
      </c>
      <c r="E92" s="27">
        <f t="shared" si="13"/>
        <v>44.98</v>
      </c>
      <c r="F92" s="26">
        <f t="shared" si="14"/>
        <v>-181.9</v>
      </c>
      <c r="G92" s="27">
        <f t="shared" si="15"/>
        <v>44.98</v>
      </c>
      <c r="J92" s="28">
        <f t="array" ref="J92">IF(ROW(J92)&lt;=COUNTA(D:D)*2,IF(MOD(ROW(J92),2)=1,INDEX(D:D,(ROW(J92)+1)/2),INDEX(F:F,ROW(J92)/2)),"")</f>
        <v>-89.9</v>
      </c>
      <c r="K92" s="28">
        <f t="array" ref="K92">IF(ROW(K92)&lt;=COUNTA(E:E)*2,IF(MOD(ROW(K92),2)=1,INDEX(E:E,(ROW(K92)+1)/2),INDEX(G:G,ROW(K92)/2)),"")</f>
        <v>44.98</v>
      </c>
    </row>
    <row r="93" spans="1:11" x14ac:dyDescent="0.25">
      <c r="A93" s="25"/>
      <c r="B93" s="25"/>
      <c r="D93" s="26">
        <f t="shared" si="12"/>
        <v>-181.9</v>
      </c>
      <c r="E93" s="27">
        <f t="shared" si="13"/>
        <v>44.98</v>
      </c>
      <c r="F93" s="26">
        <f t="shared" si="14"/>
        <v>-183.9</v>
      </c>
      <c r="G93" s="27">
        <f t="shared" si="15"/>
        <v>44.98</v>
      </c>
      <c r="J93" s="28">
        <f t="array" ref="J93">IF(ROW(J93)&lt;=COUNTA(D:D)*2,IF(MOD(ROW(J93),2)=1,INDEX(D:D,(ROW(J93)+1)/2),INDEX(F:F,ROW(J93)/2)),"")</f>
        <v>-89.9</v>
      </c>
      <c r="K93" s="28">
        <f t="array" ref="K93">IF(ROW(K93)&lt;=COUNTA(E:E)*2,IF(MOD(ROW(K93),2)=1,INDEX(E:E,(ROW(K93)+1)/2),INDEX(G:G,ROW(K93)/2)),"")</f>
        <v>44.98</v>
      </c>
    </row>
    <row r="94" spans="1:11" x14ac:dyDescent="0.25">
      <c r="A94" s="25"/>
      <c r="B94" s="25"/>
      <c r="D94" s="26">
        <f t="shared" si="12"/>
        <v>-183.9</v>
      </c>
      <c r="E94" s="27">
        <f t="shared" si="13"/>
        <v>44.98</v>
      </c>
      <c r="F94" s="26">
        <f t="shared" si="14"/>
        <v>-185.9</v>
      </c>
      <c r="G94" s="27">
        <f t="shared" si="15"/>
        <v>44.98</v>
      </c>
      <c r="J94" s="28">
        <f t="array" ref="J94">IF(ROW(J94)&lt;=COUNTA(D:D)*2,IF(MOD(ROW(J94),2)=1,INDEX(D:D,(ROW(J94)+1)/2),INDEX(F:F,ROW(J94)/2)),"")</f>
        <v>-91.9</v>
      </c>
      <c r="K94" s="28">
        <f t="array" ref="K94">IF(ROW(K94)&lt;=COUNTA(E:E)*2,IF(MOD(ROW(K94),2)=1,INDEX(E:E,(ROW(K94)+1)/2),INDEX(G:G,ROW(K94)/2)),"")</f>
        <v>44.98</v>
      </c>
    </row>
    <row r="95" spans="1:11" x14ac:dyDescent="0.25">
      <c r="A95" s="25"/>
      <c r="B95" s="25"/>
      <c r="D95" s="26">
        <f t="shared" si="12"/>
        <v>-185.9</v>
      </c>
      <c r="E95" s="27">
        <f t="shared" si="13"/>
        <v>44.98</v>
      </c>
      <c r="F95" s="26">
        <f t="shared" si="14"/>
        <v>-187.9</v>
      </c>
      <c r="G95" s="27">
        <f t="shared" si="15"/>
        <v>44.98</v>
      </c>
      <c r="J95" s="28">
        <f t="array" ref="J95">IF(ROW(J95)&lt;=COUNTA(D:D)*2,IF(MOD(ROW(J95),2)=1,INDEX(D:D,(ROW(J95)+1)/2),INDEX(F:F,ROW(J95)/2)),"")</f>
        <v>-91.9</v>
      </c>
      <c r="K95" s="28">
        <f t="array" ref="K95">IF(ROW(K95)&lt;=COUNTA(E:E)*2,IF(MOD(ROW(K95),2)=1,INDEX(E:E,(ROW(K95)+1)/2),INDEX(G:G,ROW(K95)/2)),"")</f>
        <v>44.82</v>
      </c>
    </row>
    <row r="96" spans="1:11" x14ac:dyDescent="0.25">
      <c r="A96" s="25"/>
      <c r="B96" s="25"/>
      <c r="D96" s="26">
        <f t="shared" si="12"/>
        <v>-187.9</v>
      </c>
      <c r="E96" s="27">
        <f t="shared" si="13"/>
        <v>44.98</v>
      </c>
      <c r="F96" s="26">
        <f t="shared" si="14"/>
        <v>-189.9</v>
      </c>
      <c r="G96" s="27">
        <f t="shared" si="15"/>
        <v>44.98</v>
      </c>
      <c r="J96" s="28">
        <f t="array" ref="J96">IF(ROW(J96)&lt;=COUNTA(D:D)*2,IF(MOD(ROW(J96),2)=1,INDEX(D:D,(ROW(J96)+1)/2),INDEX(F:F,ROW(J96)/2)),"")</f>
        <v>-93.9</v>
      </c>
      <c r="K96" s="28">
        <f t="array" ref="K96">IF(ROW(K96)&lt;=COUNTA(E:E)*2,IF(MOD(ROW(K96),2)=1,INDEX(E:E,(ROW(K96)+1)/2),INDEX(G:G,ROW(K96)/2)),"")</f>
        <v>44.82</v>
      </c>
    </row>
    <row r="97" spans="1:11" x14ac:dyDescent="0.25">
      <c r="A97" s="25"/>
      <c r="B97" s="25"/>
      <c r="D97" s="26">
        <f t="shared" si="12"/>
        <v>-189.9</v>
      </c>
      <c r="E97" s="27">
        <f t="shared" si="13"/>
        <v>44.98</v>
      </c>
      <c r="F97" s="26">
        <f t="shared" si="14"/>
        <v>-191.9</v>
      </c>
      <c r="G97" s="27">
        <f t="shared" si="15"/>
        <v>44.98</v>
      </c>
      <c r="J97" s="28">
        <f t="array" ref="J97">IF(ROW(J97)&lt;=COUNTA(D:D)*2,IF(MOD(ROW(J97),2)=1,INDEX(D:D,(ROW(J97)+1)/2),INDEX(F:F,ROW(J97)/2)),"")</f>
        <v>-93.9</v>
      </c>
      <c r="K97" s="28">
        <f t="array" ref="K97">IF(ROW(K97)&lt;=COUNTA(E:E)*2,IF(MOD(ROW(K97),2)=1,INDEX(E:E,(ROW(K97)+1)/2),INDEX(G:G,ROW(K97)/2)),"")</f>
        <v>44.98</v>
      </c>
    </row>
    <row r="98" spans="1:11" x14ac:dyDescent="0.25">
      <c r="A98" s="25"/>
      <c r="B98" s="25"/>
      <c r="D98" s="26">
        <f t="shared" si="12"/>
        <v>-191.9</v>
      </c>
      <c r="E98" s="27">
        <f t="shared" si="13"/>
        <v>44.98</v>
      </c>
      <c r="F98" s="26">
        <f t="shared" si="14"/>
        <v>-193.9</v>
      </c>
      <c r="G98" s="27">
        <f t="shared" si="15"/>
        <v>44.98</v>
      </c>
      <c r="J98" s="28">
        <f t="array" ref="J98">IF(ROW(J98)&lt;=COUNTA(D:D)*2,IF(MOD(ROW(J98),2)=1,INDEX(D:D,(ROW(J98)+1)/2),INDEX(F:F,ROW(J98)/2)),"")</f>
        <v>-95.9</v>
      </c>
      <c r="K98" s="28">
        <f t="array" ref="K98">IF(ROW(K98)&lt;=COUNTA(E:E)*2,IF(MOD(ROW(K98),2)=1,INDEX(E:E,(ROW(K98)+1)/2),INDEX(G:G,ROW(K98)/2)),"")</f>
        <v>44.98</v>
      </c>
    </row>
    <row r="99" spans="1:11" x14ac:dyDescent="0.25">
      <c r="A99" s="25"/>
      <c r="B99" s="25"/>
      <c r="D99" s="26">
        <f t="shared" si="12"/>
        <v>-193.9</v>
      </c>
      <c r="E99" s="27">
        <f t="shared" si="13"/>
        <v>44.82</v>
      </c>
      <c r="F99" s="26">
        <f t="shared" si="14"/>
        <v>-195.9</v>
      </c>
      <c r="G99" s="27">
        <f t="shared" si="15"/>
        <v>44.82</v>
      </c>
      <c r="J99" s="28">
        <f t="array" ref="J99">IF(ROW(J99)&lt;=COUNTA(D:D)*2,IF(MOD(ROW(J99),2)=1,INDEX(D:D,(ROW(J99)+1)/2),INDEX(F:F,ROW(J99)/2)),"")</f>
        <v>-95.9</v>
      </c>
      <c r="K99" s="28">
        <f t="array" ref="K99">IF(ROW(K99)&lt;=COUNTA(E:E)*2,IF(MOD(ROW(K99),2)=1,INDEX(E:E,(ROW(K99)+1)/2),INDEX(G:G,ROW(K99)/2)),"")</f>
        <v>44.86</v>
      </c>
    </row>
    <row r="100" spans="1:11" x14ac:dyDescent="0.25">
      <c r="A100" s="25"/>
      <c r="B100" s="25"/>
      <c r="D100" s="26">
        <f t="shared" si="12"/>
        <v>-195.9</v>
      </c>
      <c r="E100" s="27">
        <f t="shared" si="13"/>
        <v>44.84</v>
      </c>
      <c r="F100" s="26">
        <f t="shared" si="14"/>
        <v>-197.9</v>
      </c>
      <c r="G100" s="27">
        <f t="shared" si="15"/>
        <v>44.84</v>
      </c>
      <c r="J100" s="28">
        <f t="array" ref="J100">IF(ROW(J100)&lt;=COUNTA(D:D)*2,IF(MOD(ROW(J100),2)=1,INDEX(D:D,(ROW(J100)+1)/2),INDEX(F:F,ROW(J100)/2)),"")</f>
        <v>-97.9</v>
      </c>
      <c r="K100" s="28">
        <f t="array" ref="K100">IF(ROW(K100)&lt;=COUNTA(E:E)*2,IF(MOD(ROW(K100),2)=1,INDEX(E:E,(ROW(K100)+1)/2),INDEX(G:G,ROW(K100)/2)),"")</f>
        <v>44.86</v>
      </c>
    </row>
    <row r="101" spans="1:11" x14ac:dyDescent="0.25">
      <c r="A101" s="25"/>
      <c r="B101" s="25"/>
      <c r="D101" s="26">
        <f t="shared" si="12"/>
        <v>-197.9</v>
      </c>
      <c r="E101" s="27">
        <f t="shared" si="13"/>
        <v>44.98</v>
      </c>
      <c r="F101" s="26">
        <f t="shared" si="14"/>
        <v>-199.9</v>
      </c>
      <c r="G101" s="27">
        <f t="shared" si="15"/>
        <v>44.98</v>
      </c>
      <c r="J101" s="28">
        <f t="array" ref="J101">IF(ROW(J101)&lt;=COUNTA(D:D)*2,IF(MOD(ROW(J101),2)=1,INDEX(D:D,(ROW(J101)+1)/2),INDEX(F:F,ROW(J101)/2)),"")</f>
        <v>-97.9</v>
      </c>
      <c r="K101" s="28">
        <f t="array" ref="K101">IF(ROW(K101)&lt;=COUNTA(E:E)*2,IF(MOD(ROW(K101),2)=1,INDEX(E:E,(ROW(K101)+1)/2),INDEX(G:G,ROW(K101)/2)),"")</f>
        <v>44.96</v>
      </c>
    </row>
    <row r="102" spans="1:11" x14ac:dyDescent="0.25">
      <c r="A102" s="25"/>
      <c r="B102" s="25"/>
      <c r="D102" s="26">
        <f t="shared" si="12"/>
        <v>-199.9</v>
      </c>
      <c r="E102" s="27">
        <f t="shared" si="13"/>
        <v>44.88</v>
      </c>
      <c r="F102" s="26">
        <f t="shared" si="14"/>
        <v>-201.9</v>
      </c>
      <c r="G102" s="27">
        <f t="shared" si="15"/>
        <v>44.88</v>
      </c>
      <c r="J102" s="28">
        <f t="array" ref="J102">IF(ROW(J102)&lt;=COUNTA(D:D)*2,IF(MOD(ROW(J102),2)=1,INDEX(D:D,(ROW(J102)+1)/2),INDEX(F:F,ROW(J102)/2)),"")</f>
        <v>-99.9</v>
      </c>
      <c r="K102" s="28">
        <f t="array" ref="K102">IF(ROW(K102)&lt;=COUNTA(E:E)*2,IF(MOD(ROW(K102),2)=1,INDEX(E:E,(ROW(K102)+1)/2),INDEX(G:G,ROW(K102)/2)),"")</f>
        <v>44.96</v>
      </c>
    </row>
    <row r="103" spans="1:11" x14ac:dyDescent="0.25">
      <c r="A103" s="25"/>
      <c r="B103" s="25"/>
      <c r="D103" s="26">
        <f t="shared" si="12"/>
        <v>-201.9</v>
      </c>
      <c r="E103" s="27">
        <f t="shared" si="13"/>
        <v>44.8</v>
      </c>
      <c r="F103" s="26">
        <f t="shared" si="14"/>
        <v>-203.9</v>
      </c>
      <c r="G103" s="27">
        <f t="shared" si="15"/>
        <v>44.8</v>
      </c>
      <c r="J103" s="28">
        <f t="array" ref="J103">IF(ROW(J103)&lt;=COUNTA(D:D)*2,IF(MOD(ROW(J103),2)=1,INDEX(D:D,(ROW(J103)+1)/2),INDEX(F:F,ROW(J103)/2)),"")</f>
        <v>-99.9</v>
      </c>
      <c r="K103" s="28">
        <f t="array" ref="K103">IF(ROW(K103)&lt;=COUNTA(E:E)*2,IF(MOD(ROW(K103),2)=1,INDEX(E:E,(ROW(K103)+1)/2),INDEX(G:G,ROW(K103)/2)),"")</f>
        <v>44.98</v>
      </c>
    </row>
    <row r="104" spans="1:11" x14ac:dyDescent="0.25">
      <c r="A104" s="25"/>
      <c r="B104" s="25"/>
      <c r="D104" s="26">
        <f t="shared" si="12"/>
        <v>-203.9</v>
      </c>
      <c r="E104" s="27">
        <f t="shared" si="13"/>
        <v>44.8</v>
      </c>
      <c r="F104" s="26">
        <f t="shared" si="14"/>
        <v>-205.9</v>
      </c>
      <c r="G104" s="27">
        <f t="shared" si="15"/>
        <v>44.8</v>
      </c>
      <c r="J104" s="28">
        <f t="array" ref="J104">IF(ROW(J104)&lt;=COUNTA(D:D)*2,IF(MOD(ROW(J104),2)=1,INDEX(D:D,(ROW(J104)+1)/2),INDEX(F:F,ROW(J104)/2)),"")</f>
        <v>-101.9</v>
      </c>
      <c r="K104" s="28">
        <f t="array" ref="K104">IF(ROW(K104)&lt;=COUNTA(E:E)*2,IF(MOD(ROW(K104),2)=1,INDEX(E:E,(ROW(K104)+1)/2),INDEX(G:G,ROW(K104)/2)),"")</f>
        <v>44.98</v>
      </c>
    </row>
    <row r="105" spans="1:11" x14ac:dyDescent="0.25">
      <c r="A105" s="25"/>
      <c r="B105" s="25"/>
      <c r="D105" s="26">
        <f t="shared" si="12"/>
        <v>-205.9</v>
      </c>
      <c r="E105" s="27">
        <f t="shared" si="13"/>
        <v>44.98</v>
      </c>
      <c r="F105" s="26">
        <f t="shared" si="14"/>
        <v>-207.9</v>
      </c>
      <c r="G105" s="27">
        <f t="shared" si="15"/>
        <v>44.98</v>
      </c>
      <c r="J105" s="28">
        <f t="array" ref="J105">IF(ROW(J105)&lt;=COUNTA(D:D)*2,IF(MOD(ROW(J105),2)=1,INDEX(D:D,(ROW(J105)+1)/2),INDEX(F:F,ROW(J105)/2)),"")</f>
        <v>-101.9</v>
      </c>
      <c r="K105" s="28">
        <f t="array" ref="K105">IF(ROW(K105)&lt;=COUNTA(E:E)*2,IF(MOD(ROW(K105),2)=1,INDEX(E:E,(ROW(K105)+1)/2),INDEX(G:G,ROW(K105)/2)),"")</f>
        <v>44.96</v>
      </c>
    </row>
    <row r="106" spans="1:11" x14ac:dyDescent="0.25">
      <c r="A106" s="25"/>
      <c r="B106" s="25"/>
      <c r="D106" s="26">
        <f t="shared" si="12"/>
        <v>-207.9</v>
      </c>
      <c r="E106" s="27">
        <f t="shared" si="13"/>
        <v>44.98</v>
      </c>
      <c r="F106" s="26">
        <f t="shared" si="14"/>
        <v>-209.9</v>
      </c>
      <c r="G106" s="27">
        <f t="shared" si="15"/>
        <v>44.98</v>
      </c>
      <c r="J106" s="28">
        <f t="array" ref="J106">IF(ROW(J106)&lt;=COUNTA(D:D)*2,IF(MOD(ROW(J106),2)=1,INDEX(D:D,(ROW(J106)+1)/2),INDEX(F:F,ROW(J106)/2)),"")</f>
        <v>-103.9</v>
      </c>
      <c r="K106" s="28">
        <f t="array" ref="K106">IF(ROW(K106)&lt;=COUNTA(E:E)*2,IF(MOD(ROW(K106),2)=1,INDEX(E:E,(ROW(K106)+1)/2),INDEX(G:G,ROW(K106)/2)),"")</f>
        <v>44.96</v>
      </c>
    </row>
    <row r="107" spans="1:11" x14ac:dyDescent="0.25">
      <c r="A107" s="25"/>
      <c r="B107" s="25"/>
      <c r="D107" s="26">
        <f t="shared" si="12"/>
        <v>-209.9</v>
      </c>
      <c r="E107" s="27">
        <f t="shared" si="13"/>
        <v>44.98</v>
      </c>
      <c r="F107" s="26">
        <f t="shared" si="14"/>
        <v>-211.9</v>
      </c>
      <c r="G107" s="27">
        <f t="shared" si="15"/>
        <v>44.98</v>
      </c>
      <c r="J107" s="28">
        <f t="array" ref="J107">IF(ROW(J107)&lt;=COUNTA(D:D)*2,IF(MOD(ROW(J107),2)=1,INDEX(D:D,(ROW(J107)+1)/2),INDEX(F:F,ROW(J107)/2)),"")</f>
        <v>-103.9</v>
      </c>
      <c r="K107" s="28">
        <f t="array" ref="K107">IF(ROW(K107)&lt;=COUNTA(E:E)*2,IF(MOD(ROW(K107),2)=1,INDEX(E:E,(ROW(K107)+1)/2),INDEX(G:G,ROW(K107)/2)),"")</f>
        <v>44.98</v>
      </c>
    </row>
    <row r="108" spans="1:11" x14ac:dyDescent="0.25">
      <c r="A108" s="25"/>
      <c r="B108" s="25"/>
      <c r="D108" s="26">
        <f t="shared" si="12"/>
        <v>-211.9</v>
      </c>
      <c r="E108" s="27">
        <f t="shared" si="13"/>
        <v>44.98</v>
      </c>
      <c r="F108" s="26">
        <f t="shared" si="14"/>
        <v>-213.9</v>
      </c>
      <c r="G108" s="27">
        <f t="shared" si="15"/>
        <v>44.98</v>
      </c>
      <c r="J108" s="28">
        <f t="array" ref="J108">IF(ROW(J108)&lt;=COUNTA(D:D)*2,IF(MOD(ROW(J108),2)=1,INDEX(D:D,(ROW(J108)+1)/2),INDEX(F:F,ROW(J108)/2)),"")</f>
        <v>-105.9</v>
      </c>
      <c r="K108" s="28">
        <f t="array" ref="K108">IF(ROW(K108)&lt;=COUNTA(E:E)*2,IF(MOD(ROW(K108),2)=1,INDEX(E:E,(ROW(K108)+1)/2),INDEX(G:G,ROW(K108)/2)),"")</f>
        <v>44.98</v>
      </c>
    </row>
    <row r="109" spans="1:11" x14ac:dyDescent="0.25">
      <c r="A109" s="25"/>
      <c r="B109" s="25"/>
      <c r="D109" s="26">
        <f t="shared" si="12"/>
        <v>-213.9</v>
      </c>
      <c r="E109" s="27">
        <f t="shared" si="13"/>
        <v>44.98</v>
      </c>
      <c r="F109" s="26">
        <f t="shared" si="14"/>
        <v>-215.9</v>
      </c>
      <c r="G109" s="27">
        <f t="shared" si="15"/>
        <v>44.98</v>
      </c>
      <c r="J109" s="28">
        <f t="array" ref="J109">IF(ROW(J109)&lt;=COUNTA(D:D)*2,IF(MOD(ROW(J109),2)=1,INDEX(D:D,(ROW(J109)+1)/2),INDEX(F:F,ROW(J109)/2)),"")</f>
        <v>-105.9</v>
      </c>
      <c r="K109" s="28">
        <f t="array" ref="K109">IF(ROW(K109)&lt;=COUNTA(E:E)*2,IF(MOD(ROW(K109),2)=1,INDEX(E:E,(ROW(K109)+1)/2),INDEX(G:G,ROW(K109)/2)),"")</f>
        <v>44.98</v>
      </c>
    </row>
    <row r="110" spans="1:11" x14ac:dyDescent="0.25">
      <c r="A110" s="25"/>
      <c r="B110" s="25"/>
      <c r="D110" s="26">
        <f t="shared" si="12"/>
        <v>-215.9</v>
      </c>
      <c r="E110" s="27">
        <f t="shared" si="13"/>
        <v>44.94</v>
      </c>
      <c r="F110" s="26">
        <f t="shared" si="14"/>
        <v>-217.9</v>
      </c>
      <c r="G110" s="27">
        <f t="shared" si="15"/>
        <v>44.94</v>
      </c>
      <c r="J110" s="28">
        <f t="array" ref="J110">IF(ROW(J110)&lt;=COUNTA(D:D)*2,IF(MOD(ROW(J110),2)=1,INDEX(D:D,(ROW(J110)+1)/2),INDEX(F:F,ROW(J110)/2)),"")</f>
        <v>-107.9</v>
      </c>
      <c r="K110" s="28">
        <f t="array" ref="K110">IF(ROW(K110)&lt;=COUNTA(E:E)*2,IF(MOD(ROW(K110),2)=1,INDEX(E:E,(ROW(K110)+1)/2),INDEX(G:G,ROW(K110)/2)),"")</f>
        <v>44.98</v>
      </c>
    </row>
    <row r="111" spans="1:11" x14ac:dyDescent="0.25">
      <c r="A111" s="25"/>
      <c r="B111" s="25"/>
      <c r="D111" s="26">
        <f t="shared" si="12"/>
        <v>-217.9</v>
      </c>
      <c r="E111" s="27">
        <f t="shared" si="13"/>
        <v>44.9</v>
      </c>
      <c r="F111" s="26">
        <f t="shared" si="14"/>
        <v>-219.9</v>
      </c>
      <c r="G111" s="27">
        <f t="shared" si="15"/>
        <v>44.9</v>
      </c>
      <c r="J111" s="28">
        <f t="array" ref="J111">IF(ROW(J111)&lt;=COUNTA(D:D)*2,IF(MOD(ROW(J111),2)=1,INDEX(D:D,(ROW(J111)+1)/2),INDEX(F:F,ROW(J111)/2)),"")</f>
        <v>-107.9</v>
      </c>
      <c r="K111" s="28">
        <f t="array" ref="K111">IF(ROW(K111)&lt;=COUNTA(E:E)*2,IF(MOD(ROW(K111),2)=1,INDEX(E:E,(ROW(K111)+1)/2),INDEX(G:G,ROW(K111)/2)),"")</f>
        <v>44.98</v>
      </c>
    </row>
    <row r="112" spans="1:11" x14ac:dyDescent="0.25">
      <c r="A112" s="25"/>
      <c r="B112" s="25"/>
      <c r="D112" s="26">
        <f t="shared" si="12"/>
        <v>-219.9</v>
      </c>
      <c r="E112" s="27">
        <f t="shared" si="13"/>
        <v>44.96</v>
      </c>
      <c r="F112" s="26">
        <f t="shared" si="14"/>
        <v>-221.9</v>
      </c>
      <c r="G112" s="27">
        <f t="shared" si="15"/>
        <v>44.96</v>
      </c>
      <c r="J112" s="28">
        <f t="array" ref="J112">IF(ROW(J112)&lt;=COUNTA(D:D)*2,IF(MOD(ROW(J112),2)=1,INDEX(D:D,(ROW(J112)+1)/2),INDEX(F:F,ROW(J112)/2)),"")</f>
        <v>-109.9</v>
      </c>
      <c r="K112" s="28">
        <f t="array" ref="K112">IF(ROW(K112)&lt;=COUNTA(E:E)*2,IF(MOD(ROW(K112),2)=1,INDEX(E:E,(ROW(K112)+1)/2),INDEX(G:G,ROW(K112)/2)),"")</f>
        <v>44.98</v>
      </c>
    </row>
    <row r="113" spans="1:11" x14ac:dyDescent="0.25">
      <c r="A113" s="25"/>
      <c r="B113" s="25"/>
      <c r="D113" s="26">
        <f t="shared" si="12"/>
        <v>-221.9</v>
      </c>
      <c r="E113" s="27">
        <f t="shared" si="13"/>
        <v>44.88</v>
      </c>
      <c r="F113" s="26">
        <f t="shared" si="14"/>
        <v>-223.9</v>
      </c>
      <c r="G113" s="27">
        <f t="shared" si="15"/>
        <v>44.88</v>
      </c>
      <c r="J113" s="28">
        <f t="array" ref="J113">IF(ROW(J113)&lt;=COUNTA(D:D)*2,IF(MOD(ROW(J113),2)=1,INDEX(D:D,(ROW(J113)+1)/2),INDEX(F:F,ROW(J113)/2)),"")</f>
        <v>-109.9</v>
      </c>
      <c r="K113" s="28">
        <f t="array" ref="K113">IF(ROW(K113)&lt;=COUNTA(E:E)*2,IF(MOD(ROW(K113),2)=1,INDEX(E:E,(ROW(K113)+1)/2),INDEX(G:G,ROW(K113)/2)),"")</f>
        <v>44.98</v>
      </c>
    </row>
    <row r="114" spans="1:11" x14ac:dyDescent="0.25">
      <c r="A114" s="25"/>
      <c r="B114" s="25"/>
      <c r="D114" s="26">
        <f t="shared" si="12"/>
        <v>-223.9</v>
      </c>
      <c r="E114" s="27">
        <f t="shared" si="13"/>
        <v>44.9</v>
      </c>
      <c r="F114" s="26">
        <f t="shared" si="14"/>
        <v>-225.9</v>
      </c>
      <c r="G114" s="27">
        <f t="shared" si="15"/>
        <v>44.9</v>
      </c>
      <c r="J114" s="28">
        <f t="array" ref="J114">IF(ROW(J114)&lt;=COUNTA(D:D)*2,IF(MOD(ROW(J114),2)=1,INDEX(D:D,(ROW(J114)+1)/2),INDEX(F:F,ROW(J114)/2)),"")</f>
        <v>-111.9</v>
      </c>
      <c r="K114" s="28">
        <f t="array" ref="K114">IF(ROW(K114)&lt;=COUNTA(E:E)*2,IF(MOD(ROW(K114),2)=1,INDEX(E:E,(ROW(K114)+1)/2),INDEX(G:G,ROW(K114)/2)),"")</f>
        <v>44.98</v>
      </c>
    </row>
    <row r="115" spans="1:11" x14ac:dyDescent="0.25">
      <c r="A115" s="25"/>
      <c r="B115" s="25"/>
      <c r="D115" s="26">
        <f t="shared" si="12"/>
        <v>-225.9</v>
      </c>
      <c r="E115" s="27">
        <f t="shared" si="13"/>
        <v>44.92</v>
      </c>
      <c r="F115" s="26">
        <f t="shared" si="14"/>
        <v>-227.9</v>
      </c>
      <c r="G115" s="27">
        <f t="shared" si="15"/>
        <v>44.92</v>
      </c>
      <c r="J115" s="28">
        <f t="array" ref="J115">IF(ROW(J115)&lt;=COUNTA(D:D)*2,IF(MOD(ROW(J115),2)=1,INDEX(D:D,(ROW(J115)+1)/2),INDEX(F:F,ROW(J115)/2)),"")</f>
        <v>-111.9</v>
      </c>
      <c r="K115" s="28">
        <f t="array" ref="K115">IF(ROW(K115)&lt;=COUNTA(E:E)*2,IF(MOD(ROW(K115),2)=1,INDEX(E:E,(ROW(K115)+1)/2),INDEX(G:G,ROW(K115)/2)),"")</f>
        <v>44.98</v>
      </c>
    </row>
    <row r="116" spans="1:11" x14ac:dyDescent="0.25">
      <c r="A116" s="25"/>
      <c r="B116" s="25"/>
      <c r="D116" s="26">
        <f t="shared" si="12"/>
        <v>-227.9</v>
      </c>
      <c r="E116" s="27">
        <f t="shared" si="13"/>
        <v>44.92</v>
      </c>
      <c r="F116" s="26">
        <f t="shared" si="14"/>
        <v>-229.9</v>
      </c>
      <c r="G116" s="27">
        <f t="shared" si="15"/>
        <v>44.92</v>
      </c>
      <c r="J116" s="28">
        <f t="array" ref="J116">IF(ROW(J116)&lt;=COUNTA(D:D)*2,IF(MOD(ROW(J116),2)=1,INDEX(D:D,(ROW(J116)+1)/2),INDEX(F:F,ROW(J116)/2)),"")</f>
        <v>-113.9</v>
      </c>
      <c r="K116" s="28">
        <f t="array" ref="K116">IF(ROW(K116)&lt;=COUNTA(E:E)*2,IF(MOD(ROW(K116),2)=1,INDEX(E:E,(ROW(K116)+1)/2),INDEX(G:G,ROW(K116)/2)),"")</f>
        <v>44.98</v>
      </c>
    </row>
    <row r="117" spans="1:11" x14ac:dyDescent="0.25">
      <c r="A117" s="25"/>
      <c r="B117" s="25"/>
      <c r="D117" s="26">
        <f t="shared" si="12"/>
        <v>-229.9</v>
      </c>
      <c r="E117" s="27">
        <f t="shared" si="13"/>
        <v>44.88</v>
      </c>
      <c r="F117" s="26">
        <f t="shared" si="14"/>
        <v>-231.9</v>
      </c>
      <c r="G117" s="27">
        <f t="shared" si="15"/>
        <v>44.88</v>
      </c>
      <c r="J117" s="28">
        <f t="array" ref="J117">IF(ROW(J117)&lt;=COUNTA(D:D)*2,IF(MOD(ROW(J117),2)=1,INDEX(D:D,(ROW(J117)+1)/2),INDEX(F:F,ROW(J117)/2)),"")</f>
        <v>-113.9</v>
      </c>
      <c r="K117" s="28">
        <f t="array" ref="K117">IF(ROW(K117)&lt;=COUNTA(E:E)*2,IF(MOD(ROW(K117),2)=1,INDEX(E:E,(ROW(K117)+1)/2),INDEX(G:G,ROW(K117)/2)),"")</f>
        <v>44.92</v>
      </c>
    </row>
    <row r="118" spans="1:11" x14ac:dyDescent="0.25">
      <c r="A118" s="25"/>
      <c r="B118" s="25"/>
      <c r="D118" s="26">
        <f t="shared" si="12"/>
        <v>-231.9</v>
      </c>
      <c r="E118" s="27">
        <f t="shared" si="13"/>
        <v>44.94</v>
      </c>
      <c r="F118" s="26">
        <f t="shared" si="14"/>
        <v>-233.9</v>
      </c>
      <c r="G118" s="27">
        <f t="shared" si="15"/>
        <v>44.94</v>
      </c>
      <c r="J118" s="28">
        <f t="array" ref="J118">IF(ROW(J118)&lt;=COUNTA(D:D)*2,IF(MOD(ROW(J118),2)=1,INDEX(D:D,(ROW(J118)+1)/2),INDEX(F:F,ROW(J118)/2)),"")</f>
        <v>-115.9</v>
      </c>
      <c r="K118" s="28">
        <f t="array" ref="K118">IF(ROW(K118)&lt;=COUNTA(E:E)*2,IF(MOD(ROW(K118),2)=1,INDEX(E:E,(ROW(K118)+1)/2),INDEX(G:G,ROW(K118)/2)),"")</f>
        <v>44.92</v>
      </c>
    </row>
    <row r="119" spans="1:11" x14ac:dyDescent="0.25">
      <c r="A119" s="25"/>
      <c r="B119" s="25"/>
      <c r="D119" s="26">
        <f t="shared" ref="D119:D150" si="16">0-A118</f>
        <v>-233.9</v>
      </c>
      <c r="E119" s="27">
        <f t="shared" ref="E119:E150" si="17">41+(B119/100)*4</f>
        <v>44.94</v>
      </c>
      <c r="F119" s="26">
        <f t="shared" ref="F119:F150" si="18">0-A119</f>
        <v>-235.9</v>
      </c>
      <c r="G119" s="27">
        <f t="shared" ref="G119:G150" si="19">41+(B119/100)*4</f>
        <v>44.94</v>
      </c>
      <c r="J119" s="28">
        <f t="array" ref="J119">IF(ROW(J119)&lt;=COUNTA(D:D)*2,IF(MOD(ROW(J119),2)=1,INDEX(D:D,(ROW(J119)+1)/2),INDEX(F:F,ROW(J119)/2)),"")</f>
        <v>-115.9</v>
      </c>
      <c r="K119" s="28">
        <f t="array" ref="K119">IF(ROW(K119)&lt;=COUNTA(E:E)*2,IF(MOD(ROW(K119),2)=1,INDEX(E:E,(ROW(K119)+1)/2),INDEX(G:G,ROW(K119)/2)),"")</f>
        <v>44.94</v>
      </c>
    </row>
    <row r="120" spans="1:11" x14ac:dyDescent="0.25">
      <c r="A120" s="25"/>
      <c r="B120" s="25"/>
      <c r="D120" s="26">
        <f t="shared" si="16"/>
        <v>-235.9</v>
      </c>
      <c r="E120" s="27">
        <f t="shared" si="17"/>
        <v>44.98</v>
      </c>
      <c r="F120" s="26">
        <f t="shared" si="18"/>
        <v>-237.9</v>
      </c>
      <c r="G120" s="27">
        <f t="shared" si="19"/>
        <v>44.98</v>
      </c>
      <c r="J120" s="28">
        <f t="array" ref="J120">IF(ROW(J120)&lt;=COUNTA(D:D)*2,IF(MOD(ROW(J120),2)=1,INDEX(D:D,(ROW(J120)+1)/2),INDEX(F:F,ROW(J120)/2)),"")</f>
        <v>-117.9</v>
      </c>
      <c r="K120" s="28">
        <f t="array" ref="K120">IF(ROW(K120)&lt;=COUNTA(E:E)*2,IF(MOD(ROW(K120),2)=1,INDEX(E:E,(ROW(K120)+1)/2),INDEX(G:G,ROW(K120)/2)),"")</f>
        <v>44.94</v>
      </c>
    </row>
    <row r="121" spans="1:11" x14ac:dyDescent="0.25">
      <c r="A121" s="25"/>
      <c r="B121" s="25"/>
      <c r="D121" s="26">
        <f t="shared" si="16"/>
        <v>-237.9</v>
      </c>
      <c r="E121" s="27">
        <f t="shared" si="17"/>
        <v>44.98</v>
      </c>
      <c r="F121" s="26">
        <f t="shared" si="18"/>
        <v>-239.9</v>
      </c>
      <c r="G121" s="27">
        <f t="shared" si="19"/>
        <v>44.98</v>
      </c>
      <c r="J121" s="28">
        <f t="array" ref="J121">IF(ROW(J121)&lt;=COUNTA(D:D)*2,IF(MOD(ROW(J121),2)=1,INDEX(D:D,(ROW(J121)+1)/2),INDEX(F:F,ROW(J121)/2)),"")</f>
        <v>-117.9</v>
      </c>
      <c r="K121" s="28">
        <f t="array" ref="K121">IF(ROW(K121)&lt;=COUNTA(E:E)*2,IF(MOD(ROW(K121),2)=1,INDEX(E:E,(ROW(K121)+1)/2),INDEX(G:G,ROW(K121)/2)),"")</f>
        <v>44.98</v>
      </c>
    </row>
    <row r="122" spans="1:11" x14ac:dyDescent="0.25">
      <c r="A122" s="25"/>
      <c r="B122" s="25"/>
      <c r="D122" s="26">
        <f t="shared" si="16"/>
        <v>-239.9</v>
      </c>
      <c r="E122" s="27">
        <f t="shared" si="17"/>
        <v>44.92</v>
      </c>
      <c r="F122" s="26">
        <f t="shared" si="18"/>
        <v>-241.9</v>
      </c>
      <c r="G122" s="27">
        <f t="shared" si="19"/>
        <v>44.92</v>
      </c>
      <c r="J122" s="28">
        <f t="array" ref="J122">IF(ROW(J122)&lt;=COUNTA(D:D)*2,IF(MOD(ROW(J122),2)=1,INDEX(D:D,(ROW(J122)+1)/2),INDEX(F:F,ROW(J122)/2)),"")</f>
        <v>-119.9</v>
      </c>
      <c r="K122" s="28">
        <f t="array" ref="K122">IF(ROW(K122)&lt;=COUNTA(E:E)*2,IF(MOD(ROW(K122),2)=1,INDEX(E:E,(ROW(K122)+1)/2),INDEX(G:G,ROW(K122)/2)),"")</f>
        <v>44.98</v>
      </c>
    </row>
    <row r="123" spans="1:11" x14ac:dyDescent="0.25">
      <c r="A123" s="25"/>
      <c r="B123" s="25"/>
      <c r="D123" s="26">
        <f t="shared" si="16"/>
        <v>-241.9</v>
      </c>
      <c r="E123" s="27">
        <f t="shared" si="17"/>
        <v>44.96</v>
      </c>
      <c r="F123" s="26">
        <f t="shared" si="18"/>
        <v>-243.9</v>
      </c>
      <c r="G123" s="27">
        <f t="shared" si="19"/>
        <v>44.96</v>
      </c>
      <c r="J123" s="28">
        <f t="array" ref="J123">IF(ROW(J123)&lt;=COUNTA(D:D)*2,IF(MOD(ROW(J123),2)=1,INDEX(D:D,(ROW(J123)+1)/2),INDEX(F:F,ROW(J123)/2)),"")</f>
        <v>-119.9</v>
      </c>
      <c r="K123" s="28">
        <f t="array" ref="K123">IF(ROW(K123)&lt;=COUNTA(E:E)*2,IF(MOD(ROW(K123),2)=1,INDEX(E:E,(ROW(K123)+1)/2),INDEX(G:G,ROW(K123)/2)),"")</f>
        <v>44.98</v>
      </c>
    </row>
    <row r="124" spans="1:11" x14ac:dyDescent="0.25">
      <c r="A124" s="25"/>
      <c r="B124" s="25"/>
      <c r="D124" s="26">
        <f t="shared" si="16"/>
        <v>-243.9</v>
      </c>
      <c r="E124" s="27">
        <f t="shared" si="17"/>
        <v>44.9</v>
      </c>
      <c r="F124" s="26">
        <f t="shared" si="18"/>
        <v>-245.9</v>
      </c>
      <c r="G124" s="27">
        <f t="shared" si="19"/>
        <v>44.9</v>
      </c>
      <c r="J124" s="28">
        <f t="array" ref="J124">IF(ROW(J124)&lt;=COUNTA(D:D)*2,IF(MOD(ROW(J124),2)=1,INDEX(D:D,(ROW(J124)+1)/2),INDEX(F:F,ROW(J124)/2)),"")</f>
        <v>-121.9</v>
      </c>
      <c r="K124" s="28">
        <f t="array" ref="K124">IF(ROW(K124)&lt;=COUNTA(E:E)*2,IF(MOD(ROW(K124),2)=1,INDEX(E:E,(ROW(K124)+1)/2),INDEX(G:G,ROW(K124)/2)),"")</f>
        <v>44.98</v>
      </c>
    </row>
    <row r="125" spans="1:11" x14ac:dyDescent="0.25">
      <c r="A125" s="25"/>
      <c r="B125" s="25"/>
      <c r="D125" s="26">
        <f t="shared" si="16"/>
        <v>-245.9</v>
      </c>
      <c r="E125" s="27">
        <f t="shared" si="17"/>
        <v>44.98</v>
      </c>
      <c r="F125" s="26">
        <f t="shared" si="18"/>
        <v>-247.9</v>
      </c>
      <c r="G125" s="27">
        <f t="shared" si="19"/>
        <v>44.98</v>
      </c>
      <c r="J125" s="28">
        <f t="array" ref="J125">IF(ROW(J125)&lt;=COUNTA(D:D)*2,IF(MOD(ROW(J125),2)=1,INDEX(D:D,(ROW(J125)+1)/2),INDEX(F:F,ROW(J125)/2)),"")</f>
        <v>-121.9</v>
      </c>
      <c r="K125" s="28">
        <f t="array" ref="K125">IF(ROW(K125)&lt;=COUNTA(E:E)*2,IF(MOD(ROW(K125),2)=1,INDEX(E:E,(ROW(K125)+1)/2),INDEX(G:G,ROW(K125)/2)),"")</f>
        <v>44.98</v>
      </c>
    </row>
    <row r="126" spans="1:11" x14ac:dyDescent="0.25">
      <c r="A126" s="25"/>
      <c r="B126" s="25"/>
      <c r="D126" s="26">
        <f t="shared" si="16"/>
        <v>-247.9</v>
      </c>
      <c r="E126" s="27">
        <f t="shared" si="17"/>
        <v>44.98</v>
      </c>
      <c r="F126" s="26">
        <f t="shared" si="18"/>
        <v>-249.9</v>
      </c>
      <c r="G126" s="27">
        <f t="shared" si="19"/>
        <v>44.98</v>
      </c>
      <c r="J126" s="28">
        <f t="array" ref="J126">IF(ROW(J126)&lt;=COUNTA(D:D)*2,IF(MOD(ROW(J126),2)=1,INDEX(D:D,(ROW(J126)+1)/2),INDEX(F:F,ROW(J126)/2)),"")</f>
        <v>-123.9</v>
      </c>
      <c r="K126" s="28">
        <f t="array" ref="K126">IF(ROW(K126)&lt;=COUNTA(E:E)*2,IF(MOD(ROW(K126),2)=1,INDEX(E:E,(ROW(K126)+1)/2),INDEX(G:G,ROW(K126)/2)),"")</f>
        <v>44.98</v>
      </c>
    </row>
    <row r="127" spans="1:11" x14ac:dyDescent="0.25">
      <c r="A127" s="25"/>
      <c r="B127" s="25"/>
      <c r="D127" s="26">
        <f t="shared" si="16"/>
        <v>-249.9</v>
      </c>
      <c r="E127" s="27">
        <f t="shared" si="17"/>
        <v>44.98</v>
      </c>
      <c r="F127" s="26">
        <f t="shared" si="18"/>
        <v>-251.9</v>
      </c>
      <c r="G127" s="27">
        <f t="shared" si="19"/>
        <v>44.98</v>
      </c>
      <c r="J127" s="28">
        <f t="array" ref="J127">IF(ROW(J127)&lt;=COUNTA(D:D)*2,IF(MOD(ROW(J127),2)=1,INDEX(D:D,(ROW(J127)+1)/2),INDEX(F:F,ROW(J127)/2)),"")</f>
        <v>-123.9</v>
      </c>
      <c r="K127" s="28">
        <f t="array" ref="K127">IF(ROW(K127)&lt;=COUNTA(E:E)*2,IF(MOD(ROW(K127),2)=1,INDEX(E:E,(ROW(K127)+1)/2),INDEX(G:G,ROW(K127)/2)),"")</f>
        <v>44.92</v>
      </c>
    </row>
    <row r="128" spans="1:11" x14ac:dyDescent="0.25">
      <c r="A128" s="25"/>
      <c r="B128" s="25"/>
      <c r="D128" s="26">
        <f t="shared" si="16"/>
        <v>-251.9</v>
      </c>
      <c r="E128" s="27">
        <f t="shared" si="17"/>
        <v>44.98</v>
      </c>
      <c r="F128" s="26">
        <f t="shared" si="18"/>
        <v>-253.9</v>
      </c>
      <c r="G128" s="27">
        <f t="shared" si="19"/>
        <v>44.98</v>
      </c>
      <c r="J128" s="28">
        <f t="array" ref="J128">IF(ROW(J128)&lt;=COUNTA(D:D)*2,IF(MOD(ROW(J128),2)=1,INDEX(D:D,(ROW(J128)+1)/2),INDEX(F:F,ROW(J128)/2)),"")</f>
        <v>-125.9</v>
      </c>
      <c r="K128" s="28">
        <f t="array" ref="K128">IF(ROW(K128)&lt;=COUNTA(E:E)*2,IF(MOD(ROW(K128),2)=1,INDEX(E:E,(ROW(K128)+1)/2),INDEX(G:G,ROW(K128)/2)),"")</f>
        <v>44.92</v>
      </c>
    </row>
    <row r="129" spans="1:11" x14ac:dyDescent="0.25">
      <c r="A129" s="25"/>
      <c r="B129" s="25"/>
      <c r="D129" s="26">
        <f t="shared" si="16"/>
        <v>-253.9</v>
      </c>
      <c r="E129" s="27">
        <f t="shared" si="17"/>
        <v>44.98</v>
      </c>
      <c r="F129" s="26">
        <f t="shared" si="18"/>
        <v>-255.9</v>
      </c>
      <c r="G129" s="27">
        <f t="shared" si="19"/>
        <v>44.98</v>
      </c>
      <c r="J129" s="28">
        <f t="array" ref="J129">IF(ROW(J129)&lt;=COUNTA(D:D)*2,IF(MOD(ROW(J129),2)=1,INDEX(D:D,(ROW(J129)+1)/2),INDEX(F:F,ROW(J129)/2)),"")</f>
        <v>-125.9</v>
      </c>
      <c r="K129" s="28">
        <f t="array" ref="K129">IF(ROW(K129)&lt;=COUNTA(E:E)*2,IF(MOD(ROW(K129),2)=1,INDEX(E:E,(ROW(K129)+1)/2),INDEX(G:G,ROW(K129)/2)),"")</f>
        <v>44.98</v>
      </c>
    </row>
    <row r="130" spans="1:11" x14ac:dyDescent="0.25">
      <c r="A130" s="25"/>
      <c r="B130" s="25"/>
      <c r="D130" s="26">
        <f t="shared" si="16"/>
        <v>-255.9</v>
      </c>
      <c r="E130" s="27">
        <f t="shared" si="17"/>
        <v>44.9800000000001</v>
      </c>
      <c r="F130" s="26">
        <f t="shared" si="18"/>
        <v>-257.9</v>
      </c>
      <c r="G130" s="27">
        <f t="shared" si="19"/>
        <v>44.9800000000001</v>
      </c>
      <c r="J130" s="28">
        <f t="array" ref="J130">IF(ROW(J130)&lt;=COUNTA(D:D)*2,IF(MOD(ROW(J130),2)=1,INDEX(D:D,(ROW(J130)+1)/2),INDEX(F:F,ROW(J130)/2)),"")</f>
        <v>-127.9</v>
      </c>
      <c r="K130" s="28">
        <f t="array" ref="K130">IF(ROW(K130)&lt;=COUNTA(E:E)*2,IF(MOD(ROW(K130),2)=1,INDEX(E:E,(ROW(K130)+1)/2),INDEX(G:G,ROW(K130)/2)),"")</f>
        <v>44.98</v>
      </c>
    </row>
    <row r="131" spans="1:11" x14ac:dyDescent="0.25">
      <c r="A131" s="25"/>
      <c r="B131" s="25"/>
      <c r="D131" s="26">
        <f t="shared" si="16"/>
        <v>-257.9</v>
      </c>
      <c r="E131" s="27">
        <f t="shared" si="17"/>
        <v>44.98</v>
      </c>
      <c r="F131" s="26">
        <f t="shared" si="18"/>
        <v>-259.9</v>
      </c>
      <c r="G131" s="27">
        <f t="shared" si="19"/>
        <v>44.98</v>
      </c>
      <c r="J131" s="28">
        <f t="array" ref="J131">IF(ROW(J131)&lt;=COUNTA(D:D)*2,IF(MOD(ROW(J131),2)=1,INDEX(D:D,(ROW(J131)+1)/2),INDEX(F:F,ROW(J131)/2)),"")</f>
        <v>-127.9</v>
      </c>
      <c r="K131" s="28">
        <f t="array" ref="K131">IF(ROW(K131)&lt;=COUNTA(E:E)*2,IF(MOD(ROW(K131),2)=1,INDEX(E:E,(ROW(K131)+1)/2),INDEX(G:G,ROW(K131)/2)),"")</f>
        <v>44.98</v>
      </c>
    </row>
    <row r="132" spans="1:11" x14ac:dyDescent="0.25">
      <c r="A132" s="25"/>
      <c r="B132" s="25"/>
      <c r="D132" s="26">
        <f t="shared" si="16"/>
        <v>-259.9</v>
      </c>
      <c r="E132" s="27">
        <f t="shared" si="17"/>
        <v>44.98</v>
      </c>
      <c r="F132" s="26">
        <f t="shared" si="18"/>
        <v>-261.9</v>
      </c>
      <c r="G132" s="27">
        <f t="shared" si="19"/>
        <v>44.98</v>
      </c>
      <c r="J132" s="28">
        <f t="array" ref="J132">IF(ROW(J132)&lt;=COUNTA(D:D)*2,IF(MOD(ROW(J132),2)=1,INDEX(D:D,(ROW(J132)+1)/2),INDEX(F:F,ROW(J132)/2)),"")</f>
        <v>-129.9</v>
      </c>
      <c r="K132" s="28">
        <f t="array" ref="K132">IF(ROW(K132)&lt;=COUNTA(E:E)*2,IF(MOD(ROW(K132),2)=1,INDEX(E:E,(ROW(K132)+1)/2),INDEX(G:G,ROW(K132)/2)),"")</f>
        <v>44.98</v>
      </c>
    </row>
    <row r="133" spans="1:11" x14ac:dyDescent="0.25">
      <c r="A133" s="25"/>
      <c r="B133" s="25"/>
      <c r="D133" s="26">
        <f t="shared" si="16"/>
        <v>-261.9</v>
      </c>
      <c r="E133" s="27">
        <f t="shared" si="17"/>
        <v>44.98</v>
      </c>
      <c r="F133" s="26">
        <f t="shared" si="18"/>
        <v>-263.9</v>
      </c>
      <c r="G133" s="27">
        <f t="shared" si="19"/>
        <v>44.98</v>
      </c>
      <c r="J133" s="28">
        <f t="array" ref="J133">IF(ROW(J133)&lt;=COUNTA(D:D)*2,IF(MOD(ROW(J133),2)=1,INDEX(D:D,(ROW(J133)+1)/2),INDEX(F:F,ROW(J133)/2)),"")</f>
        <v>-129.9</v>
      </c>
      <c r="K133" s="28">
        <f t="array" ref="K133">IF(ROW(K133)&lt;=COUNTA(E:E)*2,IF(MOD(ROW(K133),2)=1,INDEX(E:E,(ROW(K133)+1)/2),INDEX(G:G,ROW(K133)/2)),"")</f>
        <v>44.98</v>
      </c>
    </row>
    <row r="134" spans="1:11" x14ac:dyDescent="0.25">
      <c r="A134" s="25"/>
      <c r="B134" s="25"/>
      <c r="D134" s="26">
        <f t="shared" si="16"/>
        <v>-263.9</v>
      </c>
      <c r="E134" s="27">
        <f t="shared" si="17"/>
        <v>44.98</v>
      </c>
      <c r="F134" s="26">
        <f t="shared" si="18"/>
        <v>-265.9</v>
      </c>
      <c r="G134" s="27">
        <f t="shared" si="19"/>
        <v>44.98</v>
      </c>
      <c r="J134" s="28">
        <f t="array" ref="J134">IF(ROW(J134)&lt;=COUNTA(D:D)*2,IF(MOD(ROW(J134),2)=1,INDEX(D:D,(ROW(J134)+1)/2),INDEX(F:F,ROW(J134)/2)),"")</f>
        <v>-131.9</v>
      </c>
      <c r="K134" s="28">
        <f t="array" ref="K134">IF(ROW(K134)&lt;=COUNTA(E:E)*2,IF(MOD(ROW(K134),2)=1,INDEX(E:E,(ROW(K134)+1)/2),INDEX(G:G,ROW(K134)/2)),"")</f>
        <v>44.98</v>
      </c>
    </row>
    <row r="135" spans="1:11" x14ac:dyDescent="0.25">
      <c r="A135" s="25"/>
      <c r="B135" s="25"/>
      <c r="D135" s="26">
        <f t="shared" si="16"/>
        <v>-265.9</v>
      </c>
      <c r="E135" s="27">
        <f t="shared" si="17"/>
        <v>44.88</v>
      </c>
      <c r="F135" s="26">
        <f t="shared" si="18"/>
        <v>-267.9</v>
      </c>
      <c r="G135" s="27">
        <f t="shared" si="19"/>
        <v>44.88</v>
      </c>
      <c r="J135" s="28">
        <f t="array" ref="J135">IF(ROW(J135)&lt;=COUNTA(D:D)*2,IF(MOD(ROW(J135),2)=1,INDEX(D:D,(ROW(J135)+1)/2),INDEX(F:F,ROW(J135)/2)),"")</f>
        <v>-131.9</v>
      </c>
      <c r="K135" s="28">
        <f t="array" ref="K135">IF(ROW(K135)&lt;=COUNTA(E:E)*2,IF(MOD(ROW(K135),2)=1,INDEX(E:E,(ROW(K135)+1)/2),INDEX(G:G,ROW(K135)/2)),"")</f>
        <v>44.96</v>
      </c>
    </row>
    <row r="136" spans="1:11" x14ac:dyDescent="0.25">
      <c r="A136" s="25"/>
      <c r="B136" s="25"/>
      <c r="D136" s="26">
        <f t="shared" si="16"/>
        <v>-267.9</v>
      </c>
      <c r="E136" s="27">
        <f t="shared" si="17"/>
        <v>44.98</v>
      </c>
      <c r="F136" s="26">
        <f t="shared" si="18"/>
        <v>-269.9</v>
      </c>
      <c r="G136" s="27">
        <f t="shared" si="19"/>
        <v>44.98</v>
      </c>
      <c r="J136" s="28">
        <f t="array" ref="J136">IF(ROW(J136)&lt;=COUNTA(D:D)*2,IF(MOD(ROW(J136),2)=1,INDEX(D:D,(ROW(J136)+1)/2),INDEX(F:F,ROW(J136)/2)),"")</f>
        <v>-133.9</v>
      </c>
      <c r="K136" s="28">
        <f t="array" ref="K136">IF(ROW(K136)&lt;=COUNTA(E:E)*2,IF(MOD(ROW(K136),2)=1,INDEX(E:E,(ROW(K136)+1)/2),INDEX(G:G,ROW(K136)/2)),"")</f>
        <v>44.96</v>
      </c>
    </row>
    <row r="137" spans="1:11" x14ac:dyDescent="0.25">
      <c r="A137" s="25"/>
      <c r="B137" s="25"/>
      <c r="D137" s="26">
        <f t="shared" si="16"/>
        <v>-269.9</v>
      </c>
      <c r="E137" s="27">
        <f t="shared" si="17"/>
        <v>44.98</v>
      </c>
      <c r="F137" s="26">
        <f t="shared" si="18"/>
        <v>-271.9</v>
      </c>
      <c r="G137" s="27">
        <f t="shared" si="19"/>
        <v>44.98</v>
      </c>
      <c r="J137" s="28">
        <f t="array" ref="J137">IF(ROW(J137)&lt;=COUNTA(D:D)*2,IF(MOD(ROW(J137),2)=1,INDEX(D:D,(ROW(J137)+1)/2),INDEX(F:F,ROW(J137)/2)),"")</f>
        <v>-133.9</v>
      </c>
      <c r="K137" s="28">
        <f t="array" ref="K137">IF(ROW(K137)&lt;=COUNTA(E:E)*2,IF(MOD(ROW(K137),2)=1,INDEX(E:E,(ROW(K137)+1)/2),INDEX(G:G,ROW(K137)/2)),"")</f>
        <v>44.92</v>
      </c>
    </row>
    <row r="138" spans="1:11" x14ac:dyDescent="0.25">
      <c r="A138" s="25"/>
      <c r="B138" s="25"/>
      <c r="D138" s="26">
        <f t="shared" si="16"/>
        <v>-271.9</v>
      </c>
      <c r="E138" s="27">
        <f t="shared" si="17"/>
        <v>44.98</v>
      </c>
      <c r="F138" s="26">
        <f t="shared" si="18"/>
        <v>-273.9</v>
      </c>
      <c r="G138" s="27">
        <f t="shared" si="19"/>
        <v>44.98</v>
      </c>
      <c r="J138" s="28">
        <f t="array" ref="J138">IF(ROW(J138)&lt;=COUNTA(D:D)*2,IF(MOD(ROW(J138),2)=1,INDEX(D:D,(ROW(J138)+1)/2),INDEX(F:F,ROW(J138)/2)),"")</f>
        <v>-135.9</v>
      </c>
      <c r="K138" s="28">
        <f t="array" ref="K138">IF(ROW(K138)&lt;=COUNTA(E:E)*2,IF(MOD(ROW(K138),2)=1,INDEX(E:E,(ROW(K138)+1)/2),INDEX(G:G,ROW(K138)/2)),"")</f>
        <v>44.92</v>
      </c>
    </row>
    <row r="139" spans="1:11" x14ac:dyDescent="0.25">
      <c r="A139" s="25"/>
      <c r="B139" s="25"/>
      <c r="D139" s="26">
        <f t="shared" si="16"/>
        <v>-273.9</v>
      </c>
      <c r="E139" s="27">
        <f t="shared" si="17"/>
        <v>44.88</v>
      </c>
      <c r="F139" s="26">
        <f t="shared" si="18"/>
        <v>-275.9</v>
      </c>
      <c r="G139" s="27">
        <f t="shared" si="19"/>
        <v>44.88</v>
      </c>
      <c r="J139" s="28">
        <f t="array" ref="J139">IF(ROW(J139)&lt;=COUNTA(D:D)*2,IF(MOD(ROW(J139),2)=1,INDEX(D:D,(ROW(J139)+1)/2),INDEX(F:F,ROW(J139)/2)),"")</f>
        <v>-135.9</v>
      </c>
      <c r="K139" s="28">
        <f t="array" ref="K139">IF(ROW(K139)&lt;=COUNTA(E:E)*2,IF(MOD(ROW(K139),2)=1,INDEX(E:E,(ROW(K139)+1)/2),INDEX(G:G,ROW(K139)/2)),"")</f>
        <v>44.94</v>
      </c>
    </row>
    <row r="140" spans="1:11" x14ac:dyDescent="0.25">
      <c r="A140" s="25"/>
      <c r="B140" s="25"/>
      <c r="D140" s="26">
        <f t="shared" si="16"/>
        <v>-275.9</v>
      </c>
      <c r="E140" s="27">
        <f t="shared" si="17"/>
        <v>44.98</v>
      </c>
      <c r="F140" s="26">
        <f t="shared" si="18"/>
        <v>-277.9</v>
      </c>
      <c r="G140" s="27">
        <f t="shared" si="19"/>
        <v>44.98</v>
      </c>
      <c r="J140" s="28">
        <f t="array" ref="J140">IF(ROW(J140)&lt;=COUNTA(D:D)*2,IF(MOD(ROW(J140),2)=1,INDEX(D:D,(ROW(J140)+1)/2),INDEX(F:F,ROW(J140)/2)),"")</f>
        <v>-137.9</v>
      </c>
      <c r="K140" s="28">
        <f t="array" ref="K140">IF(ROW(K140)&lt;=COUNTA(E:E)*2,IF(MOD(ROW(K140),2)=1,INDEX(E:E,(ROW(K140)+1)/2),INDEX(G:G,ROW(K140)/2)),"")</f>
        <v>44.94</v>
      </c>
    </row>
    <row r="141" spans="1:11" x14ac:dyDescent="0.25">
      <c r="A141" s="25"/>
      <c r="B141" s="25"/>
      <c r="D141" s="26">
        <f t="shared" si="16"/>
        <v>-277.9</v>
      </c>
      <c r="E141" s="27">
        <f t="shared" si="17"/>
        <v>44.92</v>
      </c>
      <c r="F141" s="26">
        <f t="shared" si="18"/>
        <v>-279.9</v>
      </c>
      <c r="G141" s="27">
        <f t="shared" si="19"/>
        <v>44.92</v>
      </c>
      <c r="J141" s="28">
        <f t="array" ref="J141">IF(ROW(J141)&lt;=COUNTA(D:D)*2,IF(MOD(ROW(J141),2)=1,INDEX(D:D,(ROW(J141)+1)/2),INDEX(F:F,ROW(J141)/2)),"")</f>
        <v>-137.9</v>
      </c>
      <c r="K141" s="28">
        <f t="array" ref="K141">IF(ROW(K141)&lt;=COUNTA(E:E)*2,IF(MOD(ROW(K141),2)=1,INDEX(E:E,(ROW(K141)+1)/2),INDEX(G:G,ROW(K141)/2)),"")</f>
        <v>44.98</v>
      </c>
    </row>
    <row r="142" spans="1:11" x14ac:dyDescent="0.25">
      <c r="A142" s="25"/>
      <c r="B142" s="25"/>
      <c r="D142" s="26">
        <f t="shared" si="16"/>
        <v>-279.9</v>
      </c>
      <c r="E142" s="27">
        <f t="shared" si="17"/>
        <v>44.9</v>
      </c>
      <c r="F142" s="26">
        <f t="shared" si="18"/>
        <v>-281.9</v>
      </c>
      <c r="G142" s="27">
        <f t="shared" si="19"/>
        <v>44.9</v>
      </c>
      <c r="J142" s="28">
        <f t="array" ref="J142">IF(ROW(J142)&lt;=COUNTA(D:D)*2,IF(MOD(ROW(J142),2)=1,INDEX(D:D,(ROW(J142)+1)/2),INDEX(F:F,ROW(J142)/2)),"")</f>
        <v>-139.9</v>
      </c>
      <c r="K142" s="28">
        <f t="array" ref="K142">IF(ROW(K142)&lt;=COUNTA(E:E)*2,IF(MOD(ROW(K142),2)=1,INDEX(E:E,(ROW(K142)+1)/2),INDEX(G:G,ROW(K142)/2)),"")</f>
        <v>44.98</v>
      </c>
    </row>
    <row r="143" spans="1:11" x14ac:dyDescent="0.25">
      <c r="A143" s="25"/>
      <c r="B143" s="25"/>
      <c r="D143" s="26">
        <f t="shared" si="16"/>
        <v>-281.9</v>
      </c>
      <c r="E143" s="27">
        <f t="shared" si="17"/>
        <v>44.8</v>
      </c>
      <c r="F143" s="26">
        <f t="shared" si="18"/>
        <v>-283.9</v>
      </c>
      <c r="G143" s="27">
        <f t="shared" si="19"/>
        <v>44.8</v>
      </c>
      <c r="J143" s="28">
        <f t="array" ref="J143">IF(ROW(J143)&lt;=COUNTA(D:D)*2,IF(MOD(ROW(J143),2)=1,INDEX(D:D,(ROW(J143)+1)/2),INDEX(F:F,ROW(J143)/2)),"")</f>
        <v>-139.9</v>
      </c>
      <c r="K143" s="28">
        <f t="array" ref="K143">IF(ROW(K143)&lt;=COUNTA(E:E)*2,IF(MOD(ROW(K143),2)=1,INDEX(E:E,(ROW(K143)+1)/2),INDEX(G:G,ROW(K143)/2)),"")</f>
        <v>44.96</v>
      </c>
    </row>
    <row r="144" spans="1:11" x14ac:dyDescent="0.25">
      <c r="A144" s="25"/>
      <c r="B144" s="25"/>
      <c r="D144" s="26">
        <f t="shared" si="16"/>
        <v>-283.9</v>
      </c>
      <c r="E144" s="27">
        <f t="shared" si="17"/>
        <v>44.9</v>
      </c>
      <c r="F144" s="26">
        <f t="shared" si="18"/>
        <v>-285.9</v>
      </c>
      <c r="G144" s="27">
        <f t="shared" si="19"/>
        <v>44.9</v>
      </c>
      <c r="J144" s="28">
        <f t="array" ref="J144">IF(ROW(J144)&lt;=COUNTA(D:D)*2,IF(MOD(ROW(J144),2)=1,INDEX(D:D,(ROW(J144)+1)/2),INDEX(F:F,ROW(J144)/2)),"")</f>
        <v>-141.9</v>
      </c>
      <c r="K144" s="28">
        <f t="array" ref="K144">IF(ROW(K144)&lt;=COUNTA(E:E)*2,IF(MOD(ROW(K144),2)=1,INDEX(E:E,(ROW(K144)+1)/2),INDEX(G:G,ROW(K144)/2)),"")</f>
        <v>44.96</v>
      </c>
    </row>
    <row r="145" spans="1:11" x14ac:dyDescent="0.25">
      <c r="A145" s="25"/>
      <c r="B145" s="25"/>
      <c r="D145" s="26">
        <f t="shared" si="16"/>
        <v>-285.9</v>
      </c>
      <c r="E145" s="27">
        <f t="shared" si="17"/>
        <v>44.98</v>
      </c>
      <c r="F145" s="26">
        <f t="shared" si="18"/>
        <v>-287.9</v>
      </c>
      <c r="G145" s="27">
        <f t="shared" si="19"/>
        <v>44.98</v>
      </c>
      <c r="J145" s="28">
        <f t="array" ref="J145">IF(ROW(J145)&lt;=COUNTA(D:D)*2,IF(MOD(ROW(J145),2)=1,INDEX(D:D,(ROW(J145)+1)/2),INDEX(F:F,ROW(J145)/2)),"")</f>
        <v>-141.9</v>
      </c>
      <c r="K145" s="28">
        <f t="array" ref="K145">IF(ROW(K145)&lt;=COUNTA(E:E)*2,IF(MOD(ROW(K145),2)=1,INDEX(E:E,(ROW(K145)+1)/2),INDEX(G:G,ROW(K145)/2)),"")</f>
        <v>44.94</v>
      </c>
    </row>
    <row r="146" spans="1:11" x14ac:dyDescent="0.25">
      <c r="A146" s="25"/>
      <c r="B146" s="25"/>
      <c r="D146" s="26">
        <f t="shared" si="16"/>
        <v>-287.9</v>
      </c>
      <c r="E146" s="27">
        <f t="shared" si="17"/>
        <v>44.94</v>
      </c>
      <c r="F146" s="26">
        <f t="shared" si="18"/>
        <v>-289.9</v>
      </c>
      <c r="G146" s="27">
        <f t="shared" si="19"/>
        <v>44.94</v>
      </c>
      <c r="J146" s="28">
        <f t="array" ref="J146">IF(ROW(J146)&lt;=COUNTA(D:D)*2,IF(MOD(ROW(J146),2)=1,INDEX(D:D,(ROW(J146)+1)/2),INDEX(F:F,ROW(J146)/2)),"")</f>
        <v>-143.9</v>
      </c>
      <c r="K146" s="28">
        <f t="array" ref="K146">IF(ROW(K146)&lt;=COUNTA(E:E)*2,IF(MOD(ROW(K146),2)=1,INDEX(E:E,(ROW(K146)+1)/2),INDEX(G:G,ROW(K146)/2)),"")</f>
        <v>44.94</v>
      </c>
    </row>
    <row r="147" spans="1:11" x14ac:dyDescent="0.25">
      <c r="A147" s="25"/>
      <c r="B147" s="25"/>
      <c r="D147" s="26">
        <f t="shared" si="16"/>
        <v>-289.9</v>
      </c>
      <c r="E147" s="27">
        <f t="shared" si="17"/>
        <v>44.92</v>
      </c>
      <c r="F147" s="26">
        <f t="shared" si="18"/>
        <v>-291.9</v>
      </c>
      <c r="G147" s="27">
        <f t="shared" si="19"/>
        <v>44.92</v>
      </c>
      <c r="J147" s="28">
        <f t="array" ref="J147">IF(ROW(J147)&lt;=COUNTA(D:D)*2,IF(MOD(ROW(J147),2)=1,INDEX(D:D,(ROW(J147)+1)/2),INDEX(F:F,ROW(J147)/2)),"")</f>
        <v>-143.9</v>
      </c>
      <c r="K147" s="28">
        <f t="array" ref="K147">IF(ROW(K147)&lt;=COUNTA(E:E)*2,IF(MOD(ROW(K147),2)=1,INDEX(E:E,(ROW(K147)+1)/2),INDEX(G:G,ROW(K147)/2)),"")</f>
        <v>44.94</v>
      </c>
    </row>
    <row r="148" spans="1:11" x14ac:dyDescent="0.25">
      <c r="A148" s="25"/>
      <c r="B148" s="25"/>
      <c r="D148" s="26">
        <f t="shared" si="16"/>
        <v>-291.9</v>
      </c>
      <c r="E148" s="27">
        <f t="shared" si="17"/>
        <v>44.94</v>
      </c>
      <c r="F148" s="26">
        <f t="shared" si="18"/>
        <v>-293.9</v>
      </c>
      <c r="G148" s="27">
        <f t="shared" si="19"/>
        <v>44.94</v>
      </c>
      <c r="J148" s="28">
        <f t="array" ref="J148">IF(ROW(J148)&lt;=COUNTA(D:D)*2,IF(MOD(ROW(J148),2)=1,INDEX(D:D,(ROW(J148)+1)/2),INDEX(F:F,ROW(J148)/2)),"")</f>
        <v>-145.9</v>
      </c>
      <c r="K148" s="28">
        <f t="array" ref="K148">IF(ROW(K148)&lt;=COUNTA(E:E)*2,IF(MOD(ROW(K148),2)=1,INDEX(E:E,(ROW(K148)+1)/2),INDEX(G:G,ROW(K148)/2)),"")</f>
        <v>44.94</v>
      </c>
    </row>
    <row r="149" spans="1:11" x14ac:dyDescent="0.25">
      <c r="A149" s="25"/>
      <c r="B149" s="25"/>
      <c r="D149" s="26">
        <f t="shared" si="16"/>
        <v>-293.9</v>
      </c>
      <c r="E149" s="27">
        <f t="shared" si="17"/>
        <v>44.96</v>
      </c>
      <c r="F149" s="26">
        <f t="shared" si="18"/>
        <v>-295.9</v>
      </c>
      <c r="G149" s="27">
        <f t="shared" si="19"/>
        <v>44.96</v>
      </c>
      <c r="J149" s="28">
        <f t="array" ref="J149">IF(ROW(J149)&lt;=COUNTA(D:D)*2,IF(MOD(ROW(J149),2)=1,INDEX(D:D,(ROW(J149)+1)/2),INDEX(F:F,ROW(J149)/2)),"")</f>
        <v>-145.9</v>
      </c>
      <c r="K149" s="28">
        <f t="array" ref="K149">IF(ROW(K149)&lt;=COUNTA(E:E)*2,IF(MOD(ROW(K149),2)=1,INDEX(E:E,(ROW(K149)+1)/2),INDEX(G:G,ROW(K149)/2)),"")</f>
        <v>44.88</v>
      </c>
    </row>
    <row r="150" spans="1:11" x14ac:dyDescent="0.25">
      <c r="A150" s="25"/>
      <c r="B150" s="25"/>
      <c r="D150" s="26">
        <f t="shared" si="16"/>
        <v>-295.9</v>
      </c>
      <c r="E150" s="27">
        <f t="shared" si="17"/>
        <v>44.96</v>
      </c>
      <c r="F150" s="26">
        <f t="shared" si="18"/>
        <v>-297.9</v>
      </c>
      <c r="G150" s="27">
        <f t="shared" si="19"/>
        <v>44.96</v>
      </c>
      <c r="J150" s="28">
        <f t="array" ref="J150">IF(ROW(J150)&lt;=COUNTA(D:D)*2,IF(MOD(ROW(J150),2)=1,INDEX(D:D,(ROW(J150)+1)/2),INDEX(F:F,ROW(J150)/2)),"")</f>
        <v>-147.9</v>
      </c>
      <c r="K150" s="28">
        <f t="array" ref="K150">IF(ROW(K150)&lt;=COUNTA(E:E)*2,IF(MOD(ROW(K150),2)=1,INDEX(E:E,(ROW(K150)+1)/2),INDEX(G:G,ROW(K150)/2)),"")</f>
        <v>44.88</v>
      </c>
    </row>
    <row r="151" spans="1:11" x14ac:dyDescent="0.25">
      <c r="A151" s="25"/>
      <c r="B151" s="25"/>
      <c r="D151" s="26">
        <f t="shared" ref="D151:D182" si="20">0-A150</f>
        <v>-297.9</v>
      </c>
      <c r="E151" s="27">
        <f t="shared" ref="E151:E182" si="21">41+(B151/100)*4</f>
        <v>44.98</v>
      </c>
      <c r="F151" s="26">
        <f t="shared" ref="F151:F182" si="22">0-A151</f>
        <v>-299.9</v>
      </c>
      <c r="G151" s="27">
        <f t="shared" ref="G151:G182" si="23">41+(B151/100)*4</f>
        <v>44.98</v>
      </c>
      <c r="J151" s="28">
        <f t="array" ref="J151">IF(ROW(J151)&lt;=COUNTA(D:D)*2,IF(MOD(ROW(J151),2)=1,INDEX(D:D,(ROW(J151)+1)/2),INDEX(F:F,ROW(J151)/2)),"")</f>
        <v>-147.9</v>
      </c>
      <c r="K151" s="28">
        <f t="array" ref="K151">IF(ROW(K151)&lt;=COUNTA(E:E)*2,IF(MOD(ROW(K151),2)=1,INDEX(E:E,(ROW(K151)+1)/2),INDEX(G:G,ROW(K151)/2)),"")</f>
        <v>44.9</v>
      </c>
    </row>
    <row r="152" spans="1:11" x14ac:dyDescent="0.25">
      <c r="A152" s="25"/>
      <c r="B152" s="25"/>
      <c r="D152" s="26">
        <f t="shared" si="20"/>
        <v>-299.9</v>
      </c>
      <c r="E152" s="27">
        <f t="shared" si="21"/>
        <v>44.92</v>
      </c>
      <c r="F152" s="26">
        <f t="shared" si="22"/>
        <v>-301.9</v>
      </c>
      <c r="G152" s="27">
        <f t="shared" si="23"/>
        <v>44.92</v>
      </c>
      <c r="J152" s="28">
        <f t="array" ref="J152">IF(ROW(J152)&lt;=COUNTA(D:D)*2,IF(MOD(ROW(J152),2)=1,INDEX(D:D,(ROW(J152)+1)/2),INDEX(F:F,ROW(J152)/2)),"")</f>
        <v>-149.9</v>
      </c>
      <c r="K152" s="28">
        <f t="array" ref="K152">IF(ROW(K152)&lt;=COUNTA(E:E)*2,IF(MOD(ROW(K152),2)=1,INDEX(E:E,(ROW(K152)+1)/2),INDEX(G:G,ROW(K152)/2)),"")</f>
        <v>44.9</v>
      </c>
    </row>
    <row r="153" spans="1:11" x14ac:dyDescent="0.25">
      <c r="A153" s="25"/>
      <c r="B153" s="25"/>
      <c r="D153" s="26">
        <f t="shared" si="20"/>
        <v>-301.9</v>
      </c>
      <c r="E153" s="27">
        <f t="shared" si="21"/>
        <v>44.96</v>
      </c>
      <c r="F153" s="26">
        <f t="shared" si="22"/>
        <v>-303.9</v>
      </c>
      <c r="G153" s="27">
        <f t="shared" si="23"/>
        <v>44.96</v>
      </c>
      <c r="J153" s="28">
        <f t="array" ref="J153">IF(ROW(J153)&lt;=COUNTA(D:D)*2,IF(MOD(ROW(J153),2)=1,INDEX(D:D,(ROW(J153)+1)/2),INDEX(F:F,ROW(J153)/2)),"")</f>
        <v>-149.9</v>
      </c>
      <c r="K153" s="28">
        <f t="array" ref="K153">IF(ROW(K153)&lt;=COUNTA(E:E)*2,IF(MOD(ROW(K153),2)=1,INDEX(E:E,(ROW(K153)+1)/2),INDEX(G:G,ROW(K153)/2)),"")</f>
        <v>44.9</v>
      </c>
    </row>
    <row r="154" spans="1:11" x14ac:dyDescent="0.25">
      <c r="A154" s="25"/>
      <c r="B154" s="25"/>
      <c r="D154" s="26">
        <f t="shared" si="20"/>
        <v>-303.9</v>
      </c>
      <c r="E154" s="27">
        <f t="shared" si="21"/>
        <v>44.86</v>
      </c>
      <c r="F154" s="26">
        <f t="shared" si="22"/>
        <v>-305.9</v>
      </c>
      <c r="G154" s="27">
        <f t="shared" si="23"/>
        <v>44.86</v>
      </c>
      <c r="J154" s="28">
        <f t="array" ref="J154">IF(ROW(J154)&lt;=COUNTA(D:D)*2,IF(MOD(ROW(J154),2)=1,INDEX(D:D,(ROW(J154)+1)/2),INDEX(F:F,ROW(J154)/2)),"")</f>
        <v>-151.9</v>
      </c>
      <c r="K154" s="28">
        <f t="array" ref="K154">IF(ROW(K154)&lt;=COUNTA(E:E)*2,IF(MOD(ROW(K154),2)=1,INDEX(E:E,(ROW(K154)+1)/2),INDEX(G:G,ROW(K154)/2)),"")</f>
        <v>44.9</v>
      </c>
    </row>
    <row r="155" spans="1:11" x14ac:dyDescent="0.25">
      <c r="A155" s="25"/>
      <c r="B155" s="25"/>
      <c r="D155" s="26">
        <f t="shared" si="20"/>
        <v>-305.9</v>
      </c>
      <c r="E155" s="27">
        <f t="shared" si="21"/>
        <v>44.98</v>
      </c>
      <c r="F155" s="26">
        <f t="shared" si="22"/>
        <v>-307.9</v>
      </c>
      <c r="G155" s="27">
        <f t="shared" si="23"/>
        <v>44.98</v>
      </c>
      <c r="J155" s="28">
        <f t="array" ref="J155">IF(ROW(J155)&lt;=COUNTA(D:D)*2,IF(MOD(ROW(J155),2)=1,INDEX(D:D,(ROW(J155)+1)/2),INDEX(F:F,ROW(J155)/2)),"")</f>
        <v>-151.9</v>
      </c>
      <c r="K155" s="28">
        <f t="array" ref="K155">IF(ROW(K155)&lt;=COUNTA(E:E)*2,IF(MOD(ROW(K155),2)=1,INDEX(E:E,(ROW(K155)+1)/2),INDEX(G:G,ROW(K155)/2)),"")</f>
        <v>44.98</v>
      </c>
    </row>
    <row r="156" spans="1:11" x14ac:dyDescent="0.25">
      <c r="A156" s="25"/>
      <c r="B156" s="25"/>
      <c r="D156" s="26">
        <f t="shared" si="20"/>
        <v>-307.9</v>
      </c>
      <c r="E156" s="27">
        <f t="shared" si="21"/>
        <v>44.98</v>
      </c>
      <c r="F156" s="26">
        <f t="shared" si="22"/>
        <v>-309.9</v>
      </c>
      <c r="G156" s="27">
        <f t="shared" si="23"/>
        <v>44.98</v>
      </c>
      <c r="J156" s="28">
        <f t="array" ref="J156">IF(ROW(J156)&lt;=COUNTA(D:D)*2,IF(MOD(ROW(J156),2)=1,INDEX(D:D,(ROW(J156)+1)/2),INDEX(F:F,ROW(J156)/2)),"")</f>
        <v>-153.9</v>
      </c>
      <c r="K156" s="28">
        <f t="array" ref="K156">IF(ROW(K156)&lt;=COUNTA(E:E)*2,IF(MOD(ROW(K156),2)=1,INDEX(E:E,(ROW(K156)+1)/2),INDEX(G:G,ROW(K156)/2)),"")</f>
        <v>44.98</v>
      </c>
    </row>
    <row r="157" spans="1:11" x14ac:dyDescent="0.25">
      <c r="A157" s="25"/>
      <c r="B157" s="25"/>
      <c r="D157" s="26">
        <f t="shared" si="20"/>
        <v>-309.9</v>
      </c>
      <c r="E157" s="27">
        <f t="shared" si="21"/>
        <v>44.94</v>
      </c>
      <c r="F157" s="26">
        <f t="shared" si="22"/>
        <v>-311.9</v>
      </c>
      <c r="G157" s="27">
        <f t="shared" si="23"/>
        <v>44.94</v>
      </c>
      <c r="J157" s="28">
        <f t="array" ref="J157">IF(ROW(J157)&lt;=COUNTA(D:D)*2,IF(MOD(ROW(J157),2)=1,INDEX(D:D,(ROW(J157)+1)/2),INDEX(F:F,ROW(J157)/2)),"")</f>
        <v>-153.9</v>
      </c>
      <c r="K157" s="28">
        <f t="array" ref="K157">IF(ROW(K157)&lt;=COUNTA(E:E)*2,IF(MOD(ROW(K157),2)=1,INDEX(E:E,(ROW(K157)+1)/2),INDEX(G:G,ROW(K157)/2)),"")</f>
        <v>44.96</v>
      </c>
    </row>
    <row r="158" spans="1:11" x14ac:dyDescent="0.25">
      <c r="A158" s="25"/>
      <c r="B158" s="25"/>
      <c r="D158" s="26">
        <f t="shared" si="20"/>
        <v>-311.9</v>
      </c>
      <c r="E158" s="27">
        <f t="shared" si="21"/>
        <v>44.88</v>
      </c>
      <c r="F158" s="26">
        <f t="shared" si="22"/>
        <v>-313.9</v>
      </c>
      <c r="G158" s="27">
        <f t="shared" si="23"/>
        <v>44.88</v>
      </c>
      <c r="J158" s="28">
        <f t="array" ref="J158">IF(ROW(J158)&lt;=COUNTA(D:D)*2,IF(MOD(ROW(J158),2)=1,INDEX(D:D,(ROW(J158)+1)/2),INDEX(F:F,ROW(J158)/2)),"")</f>
        <v>-155.9</v>
      </c>
      <c r="K158" s="28">
        <f t="array" ref="K158">IF(ROW(K158)&lt;=COUNTA(E:E)*2,IF(MOD(ROW(K158),2)=1,INDEX(E:E,(ROW(K158)+1)/2),INDEX(G:G,ROW(K158)/2)),"")</f>
        <v>44.96</v>
      </c>
    </row>
    <row r="159" spans="1:11" x14ac:dyDescent="0.25">
      <c r="A159" s="25"/>
      <c r="B159" s="25"/>
      <c r="D159" s="26">
        <f t="shared" si="20"/>
        <v>-313.9</v>
      </c>
      <c r="E159" s="27">
        <f t="shared" si="21"/>
        <v>44.9</v>
      </c>
      <c r="F159" s="26">
        <f t="shared" si="22"/>
        <v>-315.9</v>
      </c>
      <c r="G159" s="27">
        <f t="shared" si="23"/>
        <v>44.9</v>
      </c>
      <c r="J159" s="28">
        <f t="array" ref="J159">IF(ROW(J159)&lt;=COUNTA(D:D)*2,IF(MOD(ROW(J159),2)=1,INDEX(D:D,(ROW(J159)+1)/2),INDEX(F:F,ROW(J159)/2)),"")</f>
        <v>-155.9</v>
      </c>
      <c r="K159" s="28">
        <f t="array" ref="K159">IF(ROW(K159)&lt;=COUNTA(E:E)*2,IF(MOD(ROW(K159),2)=1,INDEX(E:E,(ROW(K159)+1)/2),INDEX(G:G,ROW(K159)/2)),"")</f>
        <v>44.98</v>
      </c>
    </row>
    <row r="160" spans="1:11" x14ac:dyDescent="0.25">
      <c r="A160" s="25"/>
      <c r="B160" s="25"/>
      <c r="D160" s="26">
        <f t="shared" si="20"/>
        <v>-315.9</v>
      </c>
      <c r="E160" s="27">
        <f t="shared" si="21"/>
        <v>44.94</v>
      </c>
      <c r="F160" s="26">
        <f t="shared" si="22"/>
        <v>-317.9</v>
      </c>
      <c r="G160" s="27">
        <f t="shared" si="23"/>
        <v>44.94</v>
      </c>
      <c r="J160" s="28">
        <f t="array" ref="J160">IF(ROW(J160)&lt;=COUNTA(D:D)*2,IF(MOD(ROW(J160),2)=1,INDEX(D:D,(ROW(J160)+1)/2),INDEX(F:F,ROW(J160)/2)),"")</f>
        <v>-157.9</v>
      </c>
      <c r="K160" s="28">
        <f t="array" ref="K160">IF(ROW(K160)&lt;=COUNTA(E:E)*2,IF(MOD(ROW(K160),2)=1,INDEX(E:E,(ROW(K160)+1)/2),INDEX(G:G,ROW(K160)/2)),"")</f>
        <v>44.98</v>
      </c>
    </row>
    <row r="161" spans="1:11" x14ac:dyDescent="0.25">
      <c r="A161" s="25"/>
      <c r="B161" s="25"/>
      <c r="D161" s="26">
        <f t="shared" si="20"/>
        <v>-317.9</v>
      </c>
      <c r="E161" s="27">
        <f t="shared" si="21"/>
        <v>44.96</v>
      </c>
      <c r="F161" s="26">
        <f t="shared" si="22"/>
        <v>-319.9</v>
      </c>
      <c r="G161" s="27">
        <f t="shared" si="23"/>
        <v>44.96</v>
      </c>
      <c r="J161" s="28">
        <f t="array" ref="J161">IF(ROW(J161)&lt;=COUNTA(D:D)*2,IF(MOD(ROW(J161),2)=1,INDEX(D:D,(ROW(J161)+1)/2),INDEX(F:F,ROW(J161)/2)),"")</f>
        <v>-157.9</v>
      </c>
      <c r="K161" s="28">
        <f t="array" ref="K161">IF(ROW(K161)&lt;=COUNTA(E:E)*2,IF(MOD(ROW(K161),2)=1,INDEX(E:E,(ROW(K161)+1)/2),INDEX(G:G,ROW(K161)/2)),"")</f>
        <v>44.98</v>
      </c>
    </row>
    <row r="162" spans="1:11" x14ac:dyDescent="0.25">
      <c r="A162" s="25"/>
      <c r="B162" s="25"/>
      <c r="D162" s="26">
        <f t="shared" si="20"/>
        <v>-319.9</v>
      </c>
      <c r="E162" s="27">
        <f t="shared" si="21"/>
        <v>44.94</v>
      </c>
      <c r="F162" s="26">
        <f t="shared" si="22"/>
        <v>-321.9</v>
      </c>
      <c r="G162" s="27">
        <f t="shared" si="23"/>
        <v>44.94</v>
      </c>
      <c r="J162" s="28">
        <f t="array" ref="J162">IF(ROW(J162)&lt;=COUNTA(D:D)*2,IF(MOD(ROW(J162),2)=1,INDEX(D:D,(ROW(J162)+1)/2),INDEX(F:F,ROW(J162)/2)),"")</f>
        <v>-159.9</v>
      </c>
      <c r="K162" s="28">
        <f t="array" ref="K162">IF(ROW(K162)&lt;=COUNTA(E:E)*2,IF(MOD(ROW(K162),2)=1,INDEX(E:E,(ROW(K162)+1)/2),INDEX(G:G,ROW(K162)/2)),"")</f>
        <v>44.98</v>
      </c>
    </row>
    <row r="163" spans="1:11" x14ac:dyDescent="0.25">
      <c r="A163" s="25"/>
      <c r="B163" s="25"/>
      <c r="D163" s="26">
        <f t="shared" si="20"/>
        <v>-321.9</v>
      </c>
      <c r="E163" s="27">
        <f t="shared" si="21"/>
        <v>44.96</v>
      </c>
      <c r="F163" s="26">
        <f t="shared" si="22"/>
        <v>-323.9</v>
      </c>
      <c r="G163" s="27">
        <f t="shared" si="23"/>
        <v>44.96</v>
      </c>
      <c r="J163" s="28">
        <f t="array" ref="J163">IF(ROW(J163)&lt;=COUNTA(D:D)*2,IF(MOD(ROW(J163),2)=1,INDEX(D:D,(ROW(J163)+1)/2),INDEX(F:F,ROW(J163)/2)),"")</f>
        <v>-159.9</v>
      </c>
      <c r="K163" s="28">
        <f t="array" ref="K163">IF(ROW(K163)&lt;=COUNTA(E:E)*2,IF(MOD(ROW(K163),2)=1,INDEX(E:E,(ROW(K163)+1)/2),INDEX(G:G,ROW(K163)/2)),"")</f>
        <v>44.98</v>
      </c>
    </row>
    <row r="164" spans="1:11" x14ac:dyDescent="0.25">
      <c r="A164" s="25"/>
      <c r="B164" s="25"/>
      <c r="D164" s="26">
        <f t="shared" si="20"/>
        <v>-323.9</v>
      </c>
      <c r="E164" s="27">
        <f t="shared" si="21"/>
        <v>44.96</v>
      </c>
      <c r="F164" s="26">
        <f t="shared" si="22"/>
        <v>-325.9</v>
      </c>
      <c r="G164" s="27">
        <f t="shared" si="23"/>
        <v>44.96</v>
      </c>
      <c r="J164" s="28">
        <f t="array" ref="J164">IF(ROW(J164)&lt;=COUNTA(D:D)*2,IF(MOD(ROW(J164),2)=1,INDEX(D:D,(ROW(J164)+1)/2),INDEX(F:F,ROW(J164)/2)),"")</f>
        <v>-161.9</v>
      </c>
      <c r="K164" s="28">
        <f t="array" ref="K164">IF(ROW(K164)&lt;=COUNTA(E:E)*2,IF(MOD(ROW(K164),2)=1,INDEX(E:E,(ROW(K164)+1)/2),INDEX(G:G,ROW(K164)/2)),"")</f>
        <v>44.98</v>
      </c>
    </row>
    <row r="165" spans="1:11" x14ac:dyDescent="0.25">
      <c r="A165" s="25"/>
      <c r="B165" s="25"/>
      <c r="D165" s="26">
        <f t="shared" si="20"/>
        <v>-325.9</v>
      </c>
      <c r="E165" s="27">
        <f t="shared" si="21"/>
        <v>44.96</v>
      </c>
      <c r="F165" s="26">
        <f t="shared" si="22"/>
        <v>-327.9</v>
      </c>
      <c r="G165" s="27">
        <f t="shared" si="23"/>
        <v>44.96</v>
      </c>
      <c r="J165" s="28">
        <f t="array" ref="J165">IF(ROW(J165)&lt;=COUNTA(D:D)*2,IF(MOD(ROW(J165),2)=1,INDEX(D:D,(ROW(J165)+1)/2),INDEX(F:F,ROW(J165)/2)),"")</f>
        <v>-161.9</v>
      </c>
      <c r="K165" s="28">
        <f t="array" ref="K165">IF(ROW(K165)&lt;=COUNTA(E:E)*2,IF(MOD(ROW(K165),2)=1,INDEX(E:E,(ROW(K165)+1)/2),INDEX(G:G,ROW(K165)/2)),"")</f>
        <v>44.98</v>
      </c>
    </row>
    <row r="166" spans="1:11" x14ac:dyDescent="0.25">
      <c r="A166" s="25"/>
      <c r="B166" s="25"/>
      <c r="D166" s="26">
        <f t="shared" si="20"/>
        <v>-327.9</v>
      </c>
      <c r="E166" s="27">
        <f t="shared" si="21"/>
        <v>44.98</v>
      </c>
      <c r="F166" s="26">
        <f t="shared" si="22"/>
        <v>-329.9</v>
      </c>
      <c r="G166" s="27">
        <f t="shared" si="23"/>
        <v>44.98</v>
      </c>
      <c r="J166" s="28">
        <f t="array" ref="J166">IF(ROW(J166)&lt;=COUNTA(D:D)*2,IF(MOD(ROW(J166),2)=1,INDEX(D:D,(ROW(J166)+1)/2),INDEX(F:F,ROW(J166)/2)),"")</f>
        <v>-163.9</v>
      </c>
      <c r="K166" s="28">
        <f t="array" ref="K166">IF(ROW(K166)&lt;=COUNTA(E:E)*2,IF(MOD(ROW(K166),2)=1,INDEX(E:E,(ROW(K166)+1)/2),INDEX(G:G,ROW(K166)/2)),"")</f>
        <v>44.98</v>
      </c>
    </row>
    <row r="167" spans="1:11" x14ac:dyDescent="0.25">
      <c r="A167" s="25"/>
      <c r="B167" s="25"/>
      <c r="D167" s="26">
        <f t="shared" si="20"/>
        <v>-329.9</v>
      </c>
      <c r="E167" s="27">
        <f t="shared" si="21"/>
        <v>44.94</v>
      </c>
      <c r="F167" s="26">
        <f t="shared" si="22"/>
        <v>-331.9</v>
      </c>
      <c r="G167" s="27">
        <f t="shared" si="23"/>
        <v>44.94</v>
      </c>
      <c r="J167" s="28">
        <f t="array" ref="J167">IF(ROW(J167)&lt;=COUNTA(D:D)*2,IF(MOD(ROW(J167),2)=1,INDEX(D:D,(ROW(J167)+1)/2),INDEX(F:F,ROW(J167)/2)),"")</f>
        <v>-163.9</v>
      </c>
      <c r="K167" s="28">
        <f t="array" ref="K167">IF(ROW(K167)&lt;=COUNTA(E:E)*2,IF(MOD(ROW(K167),2)=1,INDEX(E:E,(ROW(K167)+1)/2),INDEX(G:G,ROW(K167)/2)),"")</f>
        <v>44.98</v>
      </c>
    </row>
    <row r="168" spans="1:11" x14ac:dyDescent="0.25">
      <c r="A168" s="25"/>
      <c r="B168" s="25"/>
      <c r="D168" s="26">
        <f t="shared" si="20"/>
        <v>-331.9</v>
      </c>
      <c r="E168" s="27">
        <f t="shared" si="21"/>
        <v>44.98</v>
      </c>
      <c r="F168" s="26">
        <f t="shared" si="22"/>
        <v>-333.9</v>
      </c>
      <c r="G168" s="27">
        <f t="shared" si="23"/>
        <v>44.98</v>
      </c>
      <c r="J168" s="28">
        <f t="array" ref="J168">IF(ROW(J168)&lt;=COUNTA(D:D)*2,IF(MOD(ROW(J168),2)=1,INDEX(D:D,(ROW(J168)+1)/2),INDEX(F:F,ROW(J168)/2)),"")</f>
        <v>-165.9</v>
      </c>
      <c r="K168" s="28">
        <f t="array" ref="K168">IF(ROW(K168)&lt;=COUNTA(E:E)*2,IF(MOD(ROW(K168),2)=1,INDEX(E:E,(ROW(K168)+1)/2),INDEX(G:G,ROW(K168)/2)),"")</f>
        <v>44.98</v>
      </c>
    </row>
    <row r="169" spans="1:11" x14ac:dyDescent="0.25">
      <c r="A169" s="25"/>
      <c r="B169" s="25"/>
      <c r="D169" s="26">
        <f t="shared" si="20"/>
        <v>-333.9</v>
      </c>
      <c r="E169" s="27">
        <f t="shared" si="21"/>
        <v>44.96</v>
      </c>
      <c r="F169" s="26">
        <f t="shared" si="22"/>
        <v>-335.9</v>
      </c>
      <c r="G169" s="27">
        <f t="shared" si="23"/>
        <v>44.96</v>
      </c>
      <c r="J169" s="28">
        <f t="array" ref="J169">IF(ROW(J169)&lt;=COUNTA(D:D)*2,IF(MOD(ROW(J169),2)=1,INDEX(D:D,(ROW(J169)+1)/2),INDEX(F:F,ROW(J169)/2)),"")</f>
        <v>-165.9</v>
      </c>
      <c r="K169" s="28">
        <f t="array" ref="K169">IF(ROW(K169)&lt;=COUNTA(E:E)*2,IF(MOD(ROW(K169),2)=1,INDEX(E:E,(ROW(K169)+1)/2),INDEX(G:G,ROW(K169)/2)),"")</f>
        <v>44.98</v>
      </c>
    </row>
    <row r="170" spans="1:11" x14ac:dyDescent="0.25">
      <c r="A170" s="25"/>
      <c r="B170" s="25"/>
      <c r="D170" s="26">
        <f t="shared" si="20"/>
        <v>-335.9</v>
      </c>
      <c r="E170" s="27">
        <f t="shared" si="21"/>
        <v>44.96</v>
      </c>
      <c r="F170" s="26">
        <f t="shared" si="22"/>
        <v>-337.9</v>
      </c>
      <c r="G170" s="27">
        <f t="shared" si="23"/>
        <v>44.96</v>
      </c>
      <c r="J170" s="28">
        <f t="array" ref="J170">IF(ROW(J170)&lt;=COUNTA(D:D)*2,IF(MOD(ROW(J170),2)=1,INDEX(D:D,(ROW(J170)+1)/2),INDEX(F:F,ROW(J170)/2)),"")</f>
        <v>-167.9</v>
      </c>
      <c r="K170" s="28">
        <f t="array" ref="K170">IF(ROW(K170)&lt;=COUNTA(E:E)*2,IF(MOD(ROW(K170),2)=1,INDEX(E:E,(ROW(K170)+1)/2),INDEX(G:G,ROW(K170)/2)),"")</f>
        <v>44.98</v>
      </c>
    </row>
    <row r="171" spans="1:11" x14ac:dyDescent="0.25">
      <c r="A171" s="25"/>
      <c r="B171" s="25"/>
      <c r="D171" s="26">
        <f t="shared" si="20"/>
        <v>-337.9</v>
      </c>
      <c r="E171" s="27">
        <f t="shared" si="21"/>
        <v>44.88</v>
      </c>
      <c r="F171" s="26">
        <f t="shared" si="22"/>
        <v>-339.9</v>
      </c>
      <c r="G171" s="27">
        <f t="shared" si="23"/>
        <v>44.88</v>
      </c>
      <c r="J171" s="28">
        <f t="array" ref="J171">IF(ROW(J171)&lt;=COUNTA(D:D)*2,IF(MOD(ROW(J171),2)=1,INDEX(D:D,(ROW(J171)+1)/2),INDEX(F:F,ROW(J171)/2)),"")</f>
        <v>-167.9</v>
      </c>
      <c r="K171" s="28">
        <f t="array" ref="K171">IF(ROW(K171)&lt;=COUNTA(E:E)*2,IF(MOD(ROW(K171),2)=1,INDEX(E:E,(ROW(K171)+1)/2),INDEX(G:G,ROW(K171)/2)),"")</f>
        <v>44.98</v>
      </c>
    </row>
    <row r="172" spans="1:11" x14ac:dyDescent="0.25">
      <c r="A172" s="25"/>
      <c r="B172" s="25"/>
      <c r="D172" s="26">
        <f t="shared" si="20"/>
        <v>-339.9</v>
      </c>
      <c r="E172" s="27">
        <f t="shared" si="21"/>
        <v>44.94</v>
      </c>
      <c r="F172" s="26">
        <f t="shared" si="22"/>
        <v>-341.9</v>
      </c>
      <c r="G172" s="27">
        <f t="shared" si="23"/>
        <v>44.94</v>
      </c>
      <c r="J172" s="28">
        <f t="array" ref="J172">IF(ROW(J172)&lt;=COUNTA(D:D)*2,IF(MOD(ROW(J172),2)=1,INDEX(D:D,(ROW(J172)+1)/2),INDEX(F:F,ROW(J172)/2)),"")</f>
        <v>-169.9</v>
      </c>
      <c r="K172" s="28">
        <f t="array" ref="K172">IF(ROW(K172)&lt;=COUNTA(E:E)*2,IF(MOD(ROW(K172),2)=1,INDEX(E:E,(ROW(K172)+1)/2),INDEX(G:G,ROW(K172)/2)),"")</f>
        <v>44.98</v>
      </c>
    </row>
    <row r="173" spans="1:11" x14ac:dyDescent="0.25">
      <c r="A173" s="25"/>
      <c r="B173" s="25"/>
      <c r="D173" s="26">
        <f t="shared" si="20"/>
        <v>-341.9</v>
      </c>
      <c r="E173" s="27">
        <f t="shared" si="21"/>
        <v>44.98</v>
      </c>
      <c r="F173" s="26">
        <f t="shared" si="22"/>
        <v>-343.9</v>
      </c>
      <c r="G173" s="27">
        <f t="shared" si="23"/>
        <v>44.98</v>
      </c>
      <c r="J173" s="28">
        <f t="array" ref="J173">IF(ROW(J173)&lt;=COUNTA(D:D)*2,IF(MOD(ROW(J173),2)=1,INDEX(D:D,(ROW(J173)+1)/2),INDEX(F:F,ROW(J173)/2)),"")</f>
        <v>-169.9</v>
      </c>
      <c r="K173" s="28">
        <f t="array" ref="K173">IF(ROW(K173)&lt;=COUNTA(E:E)*2,IF(MOD(ROW(K173),2)=1,INDEX(E:E,(ROW(K173)+1)/2),INDEX(G:G,ROW(K173)/2)),"")</f>
        <v>44.98</v>
      </c>
    </row>
    <row r="174" spans="1:11" x14ac:dyDescent="0.25">
      <c r="A174" s="25"/>
      <c r="B174" s="25"/>
      <c r="D174" s="26">
        <f t="shared" si="20"/>
        <v>-343.9</v>
      </c>
      <c r="E174" s="27">
        <f t="shared" si="21"/>
        <v>44.98</v>
      </c>
      <c r="F174" s="26">
        <f t="shared" si="22"/>
        <v>-345.9</v>
      </c>
      <c r="G174" s="27">
        <f t="shared" si="23"/>
        <v>44.98</v>
      </c>
      <c r="J174" s="28">
        <f t="array" ref="J174">IF(ROW(J174)&lt;=COUNTA(D:D)*2,IF(MOD(ROW(J174),2)=1,INDEX(D:D,(ROW(J174)+1)/2),INDEX(F:F,ROW(J174)/2)),"")</f>
        <v>-171.9</v>
      </c>
      <c r="K174" s="28">
        <f t="array" ref="K174">IF(ROW(K174)&lt;=COUNTA(E:E)*2,IF(MOD(ROW(K174),2)=1,INDEX(E:E,(ROW(K174)+1)/2),INDEX(G:G,ROW(K174)/2)),"")</f>
        <v>44.98</v>
      </c>
    </row>
    <row r="175" spans="1:11" x14ac:dyDescent="0.25">
      <c r="A175" s="25"/>
      <c r="B175" s="25"/>
      <c r="D175" s="26">
        <f t="shared" si="20"/>
        <v>-345.9</v>
      </c>
      <c r="E175" s="27">
        <f t="shared" si="21"/>
        <v>44.98</v>
      </c>
      <c r="F175" s="26">
        <f t="shared" si="22"/>
        <v>-347.9</v>
      </c>
      <c r="G175" s="27">
        <f t="shared" si="23"/>
        <v>44.98</v>
      </c>
      <c r="J175" s="28">
        <f t="array" ref="J175">IF(ROW(J175)&lt;=COUNTA(D:D)*2,IF(MOD(ROW(J175),2)=1,INDEX(D:D,(ROW(J175)+1)/2),INDEX(F:F,ROW(J175)/2)),"")</f>
        <v>-171.9</v>
      </c>
      <c r="K175" s="28">
        <f t="array" ref="K175">IF(ROW(K175)&lt;=COUNTA(E:E)*2,IF(MOD(ROW(K175),2)=1,INDEX(E:E,(ROW(K175)+1)/2),INDEX(G:G,ROW(K175)/2)),"")</f>
        <v>44.98</v>
      </c>
    </row>
    <row r="176" spans="1:11" x14ac:dyDescent="0.25">
      <c r="A176" s="25"/>
      <c r="B176" s="25"/>
      <c r="D176" s="26">
        <f t="shared" si="20"/>
        <v>-347.9</v>
      </c>
      <c r="E176" s="27">
        <f t="shared" si="21"/>
        <v>44.98</v>
      </c>
      <c r="F176" s="26">
        <f t="shared" si="22"/>
        <v>-349.9</v>
      </c>
      <c r="G176" s="27">
        <f t="shared" si="23"/>
        <v>44.98</v>
      </c>
      <c r="J176" s="28">
        <f t="array" ref="J176">IF(ROW(J176)&lt;=COUNTA(D:D)*2,IF(MOD(ROW(J176),2)=1,INDEX(D:D,(ROW(J176)+1)/2),INDEX(F:F,ROW(J176)/2)),"")</f>
        <v>-173.9</v>
      </c>
      <c r="K176" s="28">
        <f t="array" ref="K176">IF(ROW(K176)&lt;=COUNTA(E:E)*2,IF(MOD(ROW(K176),2)=1,INDEX(E:E,(ROW(K176)+1)/2),INDEX(G:G,ROW(K176)/2)),"")</f>
        <v>44.98</v>
      </c>
    </row>
    <row r="177" spans="1:11" x14ac:dyDescent="0.25">
      <c r="A177" s="25"/>
      <c r="B177" s="25"/>
      <c r="D177" s="26">
        <f t="shared" si="20"/>
        <v>-349.9</v>
      </c>
      <c r="E177" s="27">
        <f t="shared" si="21"/>
        <v>44.98</v>
      </c>
      <c r="F177" s="26">
        <f t="shared" si="22"/>
        <v>-351.9</v>
      </c>
      <c r="G177" s="27">
        <f t="shared" si="23"/>
        <v>44.98</v>
      </c>
      <c r="J177" s="28">
        <f t="array" ref="J177">IF(ROW(J177)&lt;=COUNTA(D:D)*2,IF(MOD(ROW(J177),2)=1,INDEX(D:D,(ROW(J177)+1)/2),INDEX(F:F,ROW(J177)/2)),"")</f>
        <v>-173.9</v>
      </c>
      <c r="K177" s="28">
        <f t="array" ref="K177">IF(ROW(K177)&lt;=COUNTA(E:E)*2,IF(MOD(ROW(K177),2)=1,INDEX(E:E,(ROW(K177)+1)/2),INDEX(G:G,ROW(K177)/2)),"")</f>
        <v>44.98</v>
      </c>
    </row>
    <row r="178" spans="1:11" x14ac:dyDescent="0.25">
      <c r="A178" s="25"/>
      <c r="B178" s="25"/>
      <c r="D178" s="26">
        <f t="shared" si="20"/>
        <v>-351.9</v>
      </c>
      <c r="E178" s="27">
        <f t="shared" si="21"/>
        <v>44.98</v>
      </c>
      <c r="F178" s="26">
        <f t="shared" si="22"/>
        <v>-353.9</v>
      </c>
      <c r="G178" s="27">
        <f t="shared" si="23"/>
        <v>44.98</v>
      </c>
      <c r="J178" s="28">
        <f t="array" ref="J178">IF(ROW(J178)&lt;=COUNTA(D:D)*2,IF(MOD(ROW(J178),2)=1,INDEX(D:D,(ROW(J178)+1)/2),INDEX(F:F,ROW(J178)/2)),"")</f>
        <v>-175.9</v>
      </c>
      <c r="K178" s="28">
        <f t="array" ref="K178">IF(ROW(K178)&lt;=COUNTA(E:E)*2,IF(MOD(ROW(K178),2)=1,INDEX(E:E,(ROW(K178)+1)/2),INDEX(G:G,ROW(K178)/2)),"")</f>
        <v>44.98</v>
      </c>
    </row>
    <row r="179" spans="1:11" x14ac:dyDescent="0.25">
      <c r="A179" s="25"/>
      <c r="B179" s="25"/>
      <c r="D179" s="26">
        <f t="shared" si="20"/>
        <v>-353.9</v>
      </c>
      <c r="E179" s="27">
        <f t="shared" si="21"/>
        <v>44.98</v>
      </c>
      <c r="F179" s="26">
        <f t="shared" si="22"/>
        <v>-355.9</v>
      </c>
      <c r="G179" s="27">
        <f t="shared" si="23"/>
        <v>44.98</v>
      </c>
      <c r="J179" s="28">
        <f t="array" ref="J179">IF(ROW(J179)&lt;=COUNTA(D:D)*2,IF(MOD(ROW(J179),2)=1,INDEX(D:D,(ROW(J179)+1)/2),INDEX(F:F,ROW(J179)/2)),"")</f>
        <v>-175.9</v>
      </c>
      <c r="K179" s="28">
        <f t="array" ref="K179">IF(ROW(K179)&lt;=COUNTA(E:E)*2,IF(MOD(ROW(K179),2)=1,INDEX(E:E,(ROW(K179)+1)/2),INDEX(G:G,ROW(K179)/2)),"")</f>
        <v>44.98</v>
      </c>
    </row>
    <row r="180" spans="1:11" x14ac:dyDescent="0.25">
      <c r="A180" s="25"/>
      <c r="B180" s="25"/>
      <c r="D180" s="26">
        <f t="shared" si="20"/>
        <v>-355.9</v>
      </c>
      <c r="E180" s="27">
        <f t="shared" si="21"/>
        <v>44.98</v>
      </c>
      <c r="F180" s="26">
        <f t="shared" si="22"/>
        <v>-357.9</v>
      </c>
      <c r="G180" s="27">
        <f t="shared" si="23"/>
        <v>44.98</v>
      </c>
      <c r="J180" s="28">
        <f t="array" ref="J180">IF(ROW(J180)&lt;=COUNTA(D:D)*2,IF(MOD(ROW(J180),2)=1,INDEX(D:D,(ROW(J180)+1)/2),INDEX(F:F,ROW(J180)/2)),"")</f>
        <v>-177.9</v>
      </c>
      <c r="K180" s="28">
        <f t="array" ref="K180">IF(ROW(K180)&lt;=COUNTA(E:E)*2,IF(MOD(ROW(K180),2)=1,INDEX(E:E,(ROW(K180)+1)/2),INDEX(G:G,ROW(K180)/2)),"")</f>
        <v>44.98</v>
      </c>
    </row>
    <row r="181" spans="1:11" x14ac:dyDescent="0.25">
      <c r="A181" s="25"/>
      <c r="B181" s="25"/>
      <c r="D181" s="26">
        <f t="shared" si="20"/>
        <v>-357.9</v>
      </c>
      <c r="E181" s="27">
        <f t="shared" si="21"/>
        <v>44.98</v>
      </c>
      <c r="F181" s="26">
        <f t="shared" si="22"/>
        <v>-359.9</v>
      </c>
      <c r="G181" s="27">
        <f t="shared" si="23"/>
        <v>44.98</v>
      </c>
      <c r="J181" s="28">
        <f t="array" ref="J181">IF(ROW(J181)&lt;=COUNTA(D:D)*2,IF(MOD(ROW(J181),2)=1,INDEX(D:D,(ROW(J181)+1)/2),INDEX(F:F,ROW(J181)/2)),"")</f>
        <v>-177.9</v>
      </c>
      <c r="K181" s="28">
        <f t="array" ref="K181">IF(ROW(K181)&lt;=COUNTA(E:E)*2,IF(MOD(ROW(K181),2)=1,INDEX(E:E,(ROW(K181)+1)/2),INDEX(G:G,ROW(K181)/2)),"")</f>
        <v>44.98</v>
      </c>
    </row>
    <row r="182" spans="1:11" x14ac:dyDescent="0.25">
      <c r="A182" s="25"/>
      <c r="B182" s="25"/>
      <c r="D182" s="26">
        <f t="shared" si="20"/>
        <v>-359.9</v>
      </c>
      <c r="E182" s="27">
        <f t="shared" si="21"/>
        <v>44.98</v>
      </c>
      <c r="F182" s="26">
        <f t="shared" si="22"/>
        <v>-361.9</v>
      </c>
      <c r="G182" s="27">
        <f t="shared" si="23"/>
        <v>44.98</v>
      </c>
      <c r="J182" s="28">
        <f t="array" ref="J182">IF(ROW(J182)&lt;=COUNTA(D:D)*2,IF(MOD(ROW(J182),2)=1,INDEX(D:D,(ROW(J182)+1)/2),INDEX(F:F,ROW(J182)/2)),"")</f>
        <v>-179.9</v>
      </c>
      <c r="K182" s="28">
        <f t="array" ref="K182">IF(ROW(K182)&lt;=COUNTA(E:E)*2,IF(MOD(ROW(K182),2)=1,INDEX(E:E,(ROW(K182)+1)/2),INDEX(G:G,ROW(K182)/2)),"")</f>
        <v>44.98</v>
      </c>
    </row>
    <row r="183" spans="1:11" x14ac:dyDescent="0.25">
      <c r="A183" s="25"/>
      <c r="B183" s="25"/>
      <c r="D183" s="26">
        <f t="shared" ref="D183:D214" si="24">0-A182</f>
        <v>-361.9</v>
      </c>
      <c r="E183" s="27">
        <f t="shared" ref="E183:E214" si="25">41+(B183/100)*4</f>
        <v>44.98</v>
      </c>
      <c r="F183" s="26">
        <f t="shared" ref="F183:F214" si="26">0-A183</f>
        <v>-363.9</v>
      </c>
      <c r="G183" s="27">
        <f t="shared" ref="G183:G214" si="27">41+(B183/100)*4</f>
        <v>44.98</v>
      </c>
      <c r="J183" s="28">
        <f t="array" ref="J183">IF(ROW(J183)&lt;=COUNTA(D:D)*2,IF(MOD(ROW(J183),2)=1,INDEX(D:D,(ROW(J183)+1)/2),INDEX(F:F,ROW(J183)/2)),"")</f>
        <v>-179.9</v>
      </c>
      <c r="K183" s="28">
        <f t="array" ref="K183">IF(ROW(K183)&lt;=COUNTA(E:E)*2,IF(MOD(ROW(K183),2)=1,INDEX(E:E,(ROW(K183)+1)/2),INDEX(G:G,ROW(K183)/2)),"")</f>
        <v>44.98</v>
      </c>
    </row>
    <row r="184" spans="1:11" x14ac:dyDescent="0.25">
      <c r="A184" s="25"/>
      <c r="B184" s="25"/>
      <c r="D184" s="26">
        <f t="shared" si="24"/>
        <v>-363.9</v>
      </c>
      <c r="E184" s="27">
        <f t="shared" si="25"/>
        <v>44.98</v>
      </c>
      <c r="F184" s="26">
        <f t="shared" si="26"/>
        <v>-365.9</v>
      </c>
      <c r="G184" s="27">
        <f t="shared" si="27"/>
        <v>44.98</v>
      </c>
      <c r="J184" s="28">
        <f t="array" ref="J184">IF(ROW(J184)&lt;=COUNTA(D:D)*2,IF(MOD(ROW(J184),2)=1,INDEX(D:D,(ROW(J184)+1)/2),INDEX(F:F,ROW(J184)/2)),"")</f>
        <v>-181.9</v>
      </c>
      <c r="K184" s="28">
        <f t="array" ref="K184">IF(ROW(K184)&lt;=COUNTA(E:E)*2,IF(MOD(ROW(K184),2)=1,INDEX(E:E,(ROW(K184)+1)/2),INDEX(G:G,ROW(K184)/2)),"")</f>
        <v>44.98</v>
      </c>
    </row>
    <row r="185" spans="1:11" x14ac:dyDescent="0.25">
      <c r="A185" s="25"/>
      <c r="B185" s="25"/>
      <c r="D185" s="26">
        <f t="shared" si="24"/>
        <v>-365.9</v>
      </c>
      <c r="E185" s="27">
        <f t="shared" si="25"/>
        <v>44.98</v>
      </c>
      <c r="F185" s="26">
        <f t="shared" si="26"/>
        <v>-367.9</v>
      </c>
      <c r="G185" s="27">
        <f t="shared" si="27"/>
        <v>44.98</v>
      </c>
      <c r="J185" s="28">
        <f t="array" ref="J185">IF(ROW(J185)&lt;=COUNTA(D:D)*2,IF(MOD(ROW(J185),2)=1,INDEX(D:D,(ROW(J185)+1)/2),INDEX(F:F,ROW(J185)/2)),"")</f>
        <v>-181.9</v>
      </c>
      <c r="K185" s="28">
        <f t="array" ref="K185">IF(ROW(K185)&lt;=COUNTA(E:E)*2,IF(MOD(ROW(K185),2)=1,INDEX(E:E,(ROW(K185)+1)/2),INDEX(G:G,ROW(K185)/2)),"")</f>
        <v>44.98</v>
      </c>
    </row>
    <row r="186" spans="1:11" x14ac:dyDescent="0.25">
      <c r="A186" s="25"/>
      <c r="B186" s="25"/>
      <c r="D186" s="26">
        <f t="shared" si="24"/>
        <v>-367.9</v>
      </c>
      <c r="E186" s="27">
        <f t="shared" si="25"/>
        <v>44.98</v>
      </c>
      <c r="F186" s="26">
        <f t="shared" si="26"/>
        <v>-369.9</v>
      </c>
      <c r="G186" s="27">
        <f t="shared" si="27"/>
        <v>44.98</v>
      </c>
      <c r="J186" s="28">
        <f t="array" ref="J186">IF(ROW(J186)&lt;=COUNTA(D:D)*2,IF(MOD(ROW(J186),2)=1,INDEX(D:D,(ROW(J186)+1)/2),INDEX(F:F,ROW(J186)/2)),"")</f>
        <v>-183.9</v>
      </c>
      <c r="K186" s="28">
        <f t="array" ref="K186">IF(ROW(K186)&lt;=COUNTA(E:E)*2,IF(MOD(ROW(K186),2)=1,INDEX(E:E,(ROW(K186)+1)/2),INDEX(G:G,ROW(K186)/2)),"")</f>
        <v>44.98</v>
      </c>
    </row>
    <row r="187" spans="1:11" x14ac:dyDescent="0.25">
      <c r="A187" s="25"/>
      <c r="B187" s="25"/>
      <c r="D187" s="26">
        <f t="shared" si="24"/>
        <v>-369.9</v>
      </c>
      <c r="E187" s="27">
        <f t="shared" si="25"/>
        <v>44.98</v>
      </c>
      <c r="F187" s="26">
        <f t="shared" si="26"/>
        <v>-371.9</v>
      </c>
      <c r="G187" s="27">
        <f t="shared" si="27"/>
        <v>44.98</v>
      </c>
      <c r="J187" s="28">
        <f t="array" ref="J187">IF(ROW(J187)&lt;=COUNTA(D:D)*2,IF(MOD(ROW(J187),2)=1,INDEX(D:D,(ROW(J187)+1)/2),INDEX(F:F,ROW(J187)/2)),"")</f>
        <v>-183.9</v>
      </c>
      <c r="K187" s="28">
        <f t="array" ref="K187">IF(ROW(K187)&lt;=COUNTA(E:E)*2,IF(MOD(ROW(K187),2)=1,INDEX(E:E,(ROW(K187)+1)/2),INDEX(G:G,ROW(K187)/2)),"")</f>
        <v>44.98</v>
      </c>
    </row>
    <row r="188" spans="1:11" x14ac:dyDescent="0.25">
      <c r="A188" s="25"/>
      <c r="B188" s="25"/>
      <c r="D188" s="26">
        <f t="shared" si="24"/>
        <v>-371.9</v>
      </c>
      <c r="E188" s="27">
        <f t="shared" si="25"/>
        <v>44.88</v>
      </c>
      <c r="F188" s="26">
        <f t="shared" si="26"/>
        <v>-373.9</v>
      </c>
      <c r="G188" s="27">
        <f t="shared" si="27"/>
        <v>44.88</v>
      </c>
      <c r="J188" s="28">
        <f t="array" ref="J188">IF(ROW(J188)&lt;=COUNTA(D:D)*2,IF(MOD(ROW(J188),2)=1,INDEX(D:D,(ROW(J188)+1)/2),INDEX(F:F,ROW(J188)/2)),"")</f>
        <v>-185.9</v>
      </c>
      <c r="K188" s="28">
        <f t="array" ref="K188">IF(ROW(K188)&lt;=COUNTA(E:E)*2,IF(MOD(ROW(K188),2)=1,INDEX(E:E,(ROW(K188)+1)/2),INDEX(G:G,ROW(K188)/2)),"")</f>
        <v>44.98</v>
      </c>
    </row>
    <row r="189" spans="1:11" x14ac:dyDescent="0.25">
      <c r="A189" s="25"/>
      <c r="B189" s="25"/>
      <c r="D189" s="26">
        <f t="shared" si="24"/>
        <v>-373.9</v>
      </c>
      <c r="E189" s="27">
        <f t="shared" si="25"/>
        <v>44.94</v>
      </c>
      <c r="F189" s="26">
        <f t="shared" si="26"/>
        <v>-375.9</v>
      </c>
      <c r="G189" s="27">
        <f t="shared" si="27"/>
        <v>44.94</v>
      </c>
      <c r="J189" s="28">
        <f t="array" ref="J189">IF(ROW(J189)&lt;=COUNTA(D:D)*2,IF(MOD(ROW(J189),2)=1,INDEX(D:D,(ROW(J189)+1)/2),INDEX(F:F,ROW(J189)/2)),"")</f>
        <v>-185.9</v>
      </c>
      <c r="K189" s="28">
        <f t="array" ref="K189">IF(ROW(K189)&lt;=COUNTA(E:E)*2,IF(MOD(ROW(K189),2)=1,INDEX(E:E,(ROW(K189)+1)/2),INDEX(G:G,ROW(K189)/2)),"")</f>
        <v>44.98</v>
      </c>
    </row>
    <row r="190" spans="1:11" x14ac:dyDescent="0.25">
      <c r="A190" s="25"/>
      <c r="B190" s="25"/>
      <c r="D190" s="26">
        <f t="shared" si="24"/>
        <v>-375.9</v>
      </c>
      <c r="E190" s="27">
        <f t="shared" si="25"/>
        <v>44.94</v>
      </c>
      <c r="F190" s="26">
        <f t="shared" si="26"/>
        <v>-377.9</v>
      </c>
      <c r="G190" s="27">
        <f t="shared" si="27"/>
        <v>44.94</v>
      </c>
      <c r="J190" s="28">
        <f t="array" ref="J190">IF(ROW(J190)&lt;=COUNTA(D:D)*2,IF(MOD(ROW(J190),2)=1,INDEX(D:D,(ROW(J190)+1)/2),INDEX(F:F,ROW(J190)/2)),"")</f>
        <v>-187.9</v>
      </c>
      <c r="K190" s="28">
        <f t="array" ref="K190">IF(ROW(K190)&lt;=COUNTA(E:E)*2,IF(MOD(ROW(K190),2)=1,INDEX(E:E,(ROW(K190)+1)/2),INDEX(G:G,ROW(K190)/2)),"")</f>
        <v>44.98</v>
      </c>
    </row>
    <row r="191" spans="1:11" x14ac:dyDescent="0.25">
      <c r="A191" s="25"/>
      <c r="B191" s="25"/>
      <c r="D191" s="26">
        <f t="shared" si="24"/>
        <v>-377.9</v>
      </c>
      <c r="E191" s="27">
        <f t="shared" si="25"/>
        <v>44.94</v>
      </c>
      <c r="F191" s="26">
        <f t="shared" si="26"/>
        <v>-379.9</v>
      </c>
      <c r="G191" s="27">
        <f t="shared" si="27"/>
        <v>44.94</v>
      </c>
      <c r="J191" s="28">
        <f t="array" ref="J191">IF(ROW(J191)&lt;=COUNTA(D:D)*2,IF(MOD(ROW(J191),2)=1,INDEX(D:D,(ROW(J191)+1)/2),INDEX(F:F,ROW(J191)/2)),"")</f>
        <v>-187.9</v>
      </c>
      <c r="K191" s="28">
        <f t="array" ref="K191">IF(ROW(K191)&lt;=COUNTA(E:E)*2,IF(MOD(ROW(K191),2)=1,INDEX(E:E,(ROW(K191)+1)/2),INDEX(G:G,ROW(K191)/2)),"")</f>
        <v>44.98</v>
      </c>
    </row>
    <row r="192" spans="1:11" x14ac:dyDescent="0.25">
      <c r="A192" s="25"/>
      <c r="B192" s="25"/>
      <c r="D192" s="26">
        <f t="shared" si="24"/>
        <v>-379.9</v>
      </c>
      <c r="E192" s="27">
        <f t="shared" si="25"/>
        <v>44.86</v>
      </c>
      <c r="F192" s="26">
        <f t="shared" si="26"/>
        <v>-381.9</v>
      </c>
      <c r="G192" s="27">
        <f t="shared" si="27"/>
        <v>44.86</v>
      </c>
      <c r="J192" s="28">
        <f t="array" ref="J192">IF(ROW(J192)&lt;=COUNTA(D:D)*2,IF(MOD(ROW(J192),2)=1,INDEX(D:D,(ROW(J192)+1)/2),INDEX(F:F,ROW(J192)/2)),"")</f>
        <v>-189.9</v>
      </c>
      <c r="K192" s="28">
        <f t="array" ref="K192">IF(ROW(K192)&lt;=COUNTA(E:E)*2,IF(MOD(ROW(K192),2)=1,INDEX(E:E,(ROW(K192)+1)/2),INDEX(G:G,ROW(K192)/2)),"")</f>
        <v>44.98</v>
      </c>
    </row>
    <row r="193" spans="1:11" x14ac:dyDescent="0.25">
      <c r="A193" s="25"/>
      <c r="B193" s="25"/>
      <c r="D193" s="26">
        <f t="shared" si="24"/>
        <v>-381.9</v>
      </c>
      <c r="E193" s="27">
        <f t="shared" si="25"/>
        <v>44.92</v>
      </c>
      <c r="F193" s="26">
        <f t="shared" si="26"/>
        <v>-383.9</v>
      </c>
      <c r="G193" s="27">
        <f t="shared" si="27"/>
        <v>44.92</v>
      </c>
      <c r="J193" s="28">
        <f t="array" ref="J193">IF(ROW(J193)&lt;=COUNTA(D:D)*2,IF(MOD(ROW(J193),2)=1,INDEX(D:D,(ROW(J193)+1)/2),INDEX(F:F,ROW(J193)/2)),"")</f>
        <v>-189.9</v>
      </c>
      <c r="K193" s="28">
        <f t="array" ref="K193">IF(ROW(K193)&lt;=COUNTA(E:E)*2,IF(MOD(ROW(K193),2)=1,INDEX(E:E,(ROW(K193)+1)/2),INDEX(G:G,ROW(K193)/2)),"")</f>
        <v>44.98</v>
      </c>
    </row>
    <row r="194" spans="1:11" x14ac:dyDescent="0.25">
      <c r="A194" s="25"/>
      <c r="B194" s="25"/>
      <c r="D194" s="26">
        <f t="shared" si="24"/>
        <v>-383.9</v>
      </c>
      <c r="E194" s="27">
        <f t="shared" si="25"/>
        <v>44.92</v>
      </c>
      <c r="F194" s="26">
        <f t="shared" si="26"/>
        <v>-385.9</v>
      </c>
      <c r="G194" s="27">
        <f t="shared" si="27"/>
        <v>44.92</v>
      </c>
      <c r="J194" s="28">
        <f t="array" ref="J194">IF(ROW(J194)&lt;=COUNTA(D:D)*2,IF(MOD(ROW(J194),2)=1,INDEX(D:D,(ROW(J194)+1)/2),INDEX(F:F,ROW(J194)/2)),"")</f>
        <v>-191.9</v>
      </c>
      <c r="K194" s="28">
        <f t="array" ref="K194">IF(ROW(K194)&lt;=COUNTA(E:E)*2,IF(MOD(ROW(K194),2)=1,INDEX(E:E,(ROW(K194)+1)/2),INDEX(G:G,ROW(K194)/2)),"")</f>
        <v>44.98</v>
      </c>
    </row>
    <row r="195" spans="1:11" x14ac:dyDescent="0.25">
      <c r="A195" s="25"/>
      <c r="B195" s="25"/>
      <c r="D195" s="26">
        <f t="shared" si="24"/>
        <v>-385.9</v>
      </c>
      <c r="E195" s="27">
        <f t="shared" si="25"/>
        <v>44.94</v>
      </c>
      <c r="F195" s="26">
        <f t="shared" si="26"/>
        <v>-387.9</v>
      </c>
      <c r="G195" s="27">
        <f t="shared" si="27"/>
        <v>44.94</v>
      </c>
      <c r="J195" s="28">
        <f t="array" ref="J195">IF(ROW(J195)&lt;=COUNTA(D:D)*2,IF(MOD(ROW(J195),2)=1,INDEX(D:D,(ROW(J195)+1)/2),INDEX(F:F,ROW(J195)/2)),"")</f>
        <v>-191.9</v>
      </c>
      <c r="K195" s="28">
        <f t="array" ref="K195">IF(ROW(K195)&lt;=COUNTA(E:E)*2,IF(MOD(ROW(K195),2)=1,INDEX(E:E,(ROW(K195)+1)/2),INDEX(G:G,ROW(K195)/2)),"")</f>
        <v>44.98</v>
      </c>
    </row>
    <row r="196" spans="1:11" x14ac:dyDescent="0.25">
      <c r="A196" s="25"/>
      <c r="B196" s="25"/>
      <c r="D196" s="26">
        <f t="shared" si="24"/>
        <v>-387.9</v>
      </c>
      <c r="E196" s="27">
        <f t="shared" si="25"/>
        <v>44.9</v>
      </c>
      <c r="F196" s="26">
        <f t="shared" si="26"/>
        <v>-389.9</v>
      </c>
      <c r="G196" s="27">
        <f t="shared" si="27"/>
        <v>44.9</v>
      </c>
      <c r="J196" s="28">
        <f t="array" ref="J196">IF(ROW(J196)&lt;=COUNTA(D:D)*2,IF(MOD(ROW(J196),2)=1,INDEX(D:D,(ROW(J196)+1)/2),INDEX(F:F,ROW(J196)/2)),"")</f>
        <v>-193.9</v>
      </c>
      <c r="K196" s="28">
        <f t="array" ref="K196">IF(ROW(K196)&lt;=COUNTA(E:E)*2,IF(MOD(ROW(K196),2)=1,INDEX(E:E,(ROW(K196)+1)/2),INDEX(G:G,ROW(K196)/2)),"")</f>
        <v>44.98</v>
      </c>
    </row>
    <row r="197" spans="1:11" x14ac:dyDescent="0.25">
      <c r="A197" s="25"/>
      <c r="B197" s="25"/>
      <c r="D197" s="26">
        <f t="shared" si="24"/>
        <v>-389.9</v>
      </c>
      <c r="E197" s="27">
        <f t="shared" si="25"/>
        <v>44.9</v>
      </c>
      <c r="F197" s="26">
        <f t="shared" si="26"/>
        <v>-391.9</v>
      </c>
      <c r="G197" s="27">
        <f t="shared" si="27"/>
        <v>44.9</v>
      </c>
      <c r="J197" s="28">
        <f t="array" ref="J197">IF(ROW(J197)&lt;=COUNTA(D:D)*2,IF(MOD(ROW(J197),2)=1,INDEX(D:D,(ROW(J197)+1)/2),INDEX(F:F,ROW(J197)/2)),"")</f>
        <v>-193.9</v>
      </c>
      <c r="K197" s="28">
        <f t="array" ref="K197">IF(ROW(K197)&lt;=COUNTA(E:E)*2,IF(MOD(ROW(K197),2)=1,INDEX(E:E,(ROW(K197)+1)/2),INDEX(G:G,ROW(K197)/2)),"")</f>
        <v>44.82</v>
      </c>
    </row>
    <row r="198" spans="1:11" x14ac:dyDescent="0.25">
      <c r="A198" s="25"/>
      <c r="B198" s="25"/>
      <c r="D198" s="26">
        <f t="shared" si="24"/>
        <v>-391.9</v>
      </c>
      <c r="E198" s="27">
        <f t="shared" si="25"/>
        <v>44.86</v>
      </c>
      <c r="F198" s="26">
        <f t="shared" si="26"/>
        <v>-393.9</v>
      </c>
      <c r="G198" s="27">
        <f t="shared" si="27"/>
        <v>44.86</v>
      </c>
      <c r="J198" s="28">
        <f t="array" ref="J198">IF(ROW(J198)&lt;=COUNTA(D:D)*2,IF(MOD(ROW(J198),2)=1,INDEX(D:D,(ROW(J198)+1)/2),INDEX(F:F,ROW(J198)/2)),"")</f>
        <v>-195.9</v>
      </c>
      <c r="K198" s="28">
        <f t="array" ref="K198">IF(ROW(K198)&lt;=COUNTA(E:E)*2,IF(MOD(ROW(K198),2)=1,INDEX(E:E,(ROW(K198)+1)/2),INDEX(G:G,ROW(K198)/2)),"")</f>
        <v>44.82</v>
      </c>
    </row>
    <row r="199" spans="1:11" x14ac:dyDescent="0.25">
      <c r="A199" s="25"/>
      <c r="B199" s="25"/>
      <c r="D199" s="26">
        <f t="shared" si="24"/>
        <v>-393.9</v>
      </c>
      <c r="E199" s="27">
        <f t="shared" si="25"/>
        <v>44.96</v>
      </c>
      <c r="F199" s="26">
        <f t="shared" si="26"/>
        <v>-395.9</v>
      </c>
      <c r="G199" s="27">
        <f t="shared" si="27"/>
        <v>44.96</v>
      </c>
      <c r="J199" s="28">
        <f t="array" ref="J199">IF(ROW(J199)&lt;=COUNTA(D:D)*2,IF(MOD(ROW(J199),2)=1,INDEX(D:D,(ROW(J199)+1)/2),INDEX(F:F,ROW(J199)/2)),"")</f>
        <v>-195.9</v>
      </c>
      <c r="K199" s="28">
        <f t="array" ref="K199">IF(ROW(K199)&lt;=COUNTA(E:E)*2,IF(MOD(ROW(K199),2)=1,INDEX(E:E,(ROW(K199)+1)/2),INDEX(G:G,ROW(K199)/2)),"")</f>
        <v>44.84</v>
      </c>
    </row>
    <row r="200" spans="1:11" x14ac:dyDescent="0.25">
      <c r="A200" s="25"/>
      <c r="B200" s="25"/>
      <c r="D200" s="26">
        <f t="shared" si="24"/>
        <v>-395.9</v>
      </c>
      <c r="E200" s="27">
        <f t="shared" si="25"/>
        <v>44.88</v>
      </c>
      <c r="F200" s="26">
        <f t="shared" si="26"/>
        <v>-397.9</v>
      </c>
      <c r="G200" s="27">
        <f t="shared" si="27"/>
        <v>44.88</v>
      </c>
      <c r="J200" s="28">
        <f t="array" ref="J200">IF(ROW(J200)&lt;=COUNTA(D:D)*2,IF(MOD(ROW(J200),2)=1,INDEX(D:D,(ROW(J200)+1)/2),INDEX(F:F,ROW(J200)/2)),"")</f>
        <v>-197.9</v>
      </c>
      <c r="K200" s="28">
        <f t="array" ref="K200">IF(ROW(K200)&lt;=COUNTA(E:E)*2,IF(MOD(ROW(K200),2)=1,INDEX(E:E,(ROW(K200)+1)/2),INDEX(G:G,ROW(K200)/2)),"")</f>
        <v>44.84</v>
      </c>
    </row>
    <row r="201" spans="1:11" x14ac:dyDescent="0.25">
      <c r="A201" s="25"/>
      <c r="B201" s="25"/>
      <c r="D201" s="26">
        <f t="shared" si="24"/>
        <v>-397.9</v>
      </c>
      <c r="E201" s="27">
        <f t="shared" si="25"/>
        <v>44.96</v>
      </c>
      <c r="F201" s="26">
        <f t="shared" si="26"/>
        <v>-399.9</v>
      </c>
      <c r="G201" s="27">
        <f t="shared" si="27"/>
        <v>44.96</v>
      </c>
      <c r="J201" s="28">
        <f t="array" ref="J201">IF(ROW(J201)&lt;=COUNTA(D:D)*2,IF(MOD(ROW(J201),2)=1,INDEX(D:D,(ROW(J201)+1)/2),INDEX(F:F,ROW(J201)/2)),"")</f>
        <v>-197.9</v>
      </c>
      <c r="K201" s="28">
        <f t="array" ref="K201">IF(ROW(K201)&lt;=COUNTA(E:E)*2,IF(MOD(ROW(K201),2)=1,INDEX(E:E,(ROW(K201)+1)/2),INDEX(G:G,ROW(K201)/2)),"")</f>
        <v>44.98</v>
      </c>
    </row>
    <row r="202" spans="1:11" x14ac:dyDescent="0.25">
      <c r="A202" s="25"/>
      <c r="B202" s="25"/>
      <c r="D202" s="26">
        <f t="shared" si="24"/>
        <v>-399.9</v>
      </c>
      <c r="E202" s="27">
        <f t="shared" si="25"/>
        <v>44.98</v>
      </c>
      <c r="F202" s="26">
        <f t="shared" si="26"/>
        <v>-401.9</v>
      </c>
      <c r="G202" s="27">
        <f t="shared" si="27"/>
        <v>44.98</v>
      </c>
      <c r="J202" s="28">
        <f t="array" ref="J202">IF(ROW(J202)&lt;=COUNTA(D:D)*2,IF(MOD(ROW(J202),2)=1,INDEX(D:D,(ROW(J202)+1)/2),INDEX(F:F,ROW(J202)/2)),"")</f>
        <v>-199.9</v>
      </c>
      <c r="K202" s="28">
        <f t="array" ref="K202">IF(ROW(K202)&lt;=COUNTA(E:E)*2,IF(MOD(ROW(K202),2)=1,INDEX(E:E,(ROW(K202)+1)/2),INDEX(G:G,ROW(K202)/2)),"")</f>
        <v>44.98</v>
      </c>
    </row>
    <row r="203" spans="1:11" x14ac:dyDescent="0.25">
      <c r="A203" s="25"/>
      <c r="B203" s="25"/>
      <c r="D203" s="26">
        <f t="shared" si="24"/>
        <v>-401.9</v>
      </c>
      <c r="E203" s="27">
        <f t="shared" si="25"/>
        <v>44.98</v>
      </c>
      <c r="F203" s="26">
        <f t="shared" si="26"/>
        <v>-403.9</v>
      </c>
      <c r="G203" s="27">
        <f t="shared" si="27"/>
        <v>44.98</v>
      </c>
      <c r="J203" s="28">
        <f t="array" ref="J203">IF(ROW(J203)&lt;=COUNTA(D:D)*2,IF(MOD(ROW(J203),2)=1,INDEX(D:D,(ROW(J203)+1)/2),INDEX(F:F,ROW(J203)/2)),"")</f>
        <v>-199.9</v>
      </c>
      <c r="K203" s="28">
        <f t="array" ref="K203">IF(ROW(K203)&lt;=COUNTA(E:E)*2,IF(MOD(ROW(K203),2)=1,INDEX(E:E,(ROW(K203)+1)/2),INDEX(G:G,ROW(K203)/2)),"")</f>
        <v>44.88</v>
      </c>
    </row>
    <row r="204" spans="1:11" x14ac:dyDescent="0.25">
      <c r="A204" s="25"/>
      <c r="B204" s="25"/>
      <c r="D204" s="26">
        <f t="shared" si="24"/>
        <v>-403.9</v>
      </c>
      <c r="E204" s="27">
        <f t="shared" si="25"/>
        <v>44.98</v>
      </c>
      <c r="F204" s="26">
        <f t="shared" si="26"/>
        <v>-405.9</v>
      </c>
      <c r="G204" s="27">
        <f t="shared" si="27"/>
        <v>44.98</v>
      </c>
      <c r="J204" s="28">
        <f t="array" ref="J204">IF(ROW(J204)&lt;=COUNTA(D:D)*2,IF(MOD(ROW(J204),2)=1,INDEX(D:D,(ROW(J204)+1)/2),INDEX(F:F,ROW(J204)/2)),"")</f>
        <v>-201.9</v>
      </c>
      <c r="K204" s="28">
        <f t="array" ref="K204">IF(ROW(K204)&lt;=COUNTA(E:E)*2,IF(MOD(ROW(K204),2)=1,INDEX(E:E,(ROW(K204)+1)/2),INDEX(G:G,ROW(K204)/2)),"")</f>
        <v>44.88</v>
      </c>
    </row>
    <row r="205" spans="1:11" x14ac:dyDescent="0.25">
      <c r="A205" s="25"/>
      <c r="B205" s="25"/>
      <c r="D205" s="26">
        <f t="shared" si="24"/>
        <v>-405.9</v>
      </c>
      <c r="E205" s="27">
        <f t="shared" si="25"/>
        <v>44.98</v>
      </c>
      <c r="F205" s="26">
        <f t="shared" si="26"/>
        <v>-407.9</v>
      </c>
      <c r="G205" s="27">
        <f t="shared" si="27"/>
        <v>44.98</v>
      </c>
      <c r="J205" s="28">
        <f t="array" ref="J205">IF(ROW(J205)&lt;=COUNTA(D:D)*2,IF(MOD(ROW(J205),2)=1,INDEX(D:D,(ROW(J205)+1)/2),INDEX(F:F,ROW(J205)/2)),"")</f>
        <v>-201.9</v>
      </c>
      <c r="K205" s="28">
        <f t="array" ref="K205">IF(ROW(K205)&lt;=COUNTA(E:E)*2,IF(MOD(ROW(K205),2)=1,INDEX(E:E,(ROW(K205)+1)/2),INDEX(G:G,ROW(K205)/2)),"")</f>
        <v>44.8</v>
      </c>
    </row>
    <row r="206" spans="1:11" x14ac:dyDescent="0.25">
      <c r="A206" s="25"/>
      <c r="B206" s="25"/>
      <c r="D206" s="26">
        <f t="shared" si="24"/>
        <v>-407.9</v>
      </c>
      <c r="E206" s="27">
        <f t="shared" si="25"/>
        <v>44.98</v>
      </c>
      <c r="F206" s="26">
        <f t="shared" si="26"/>
        <v>-409.9</v>
      </c>
      <c r="G206" s="27">
        <f t="shared" si="27"/>
        <v>44.98</v>
      </c>
      <c r="J206" s="28">
        <f t="array" ref="J206">IF(ROW(J206)&lt;=COUNTA(D:D)*2,IF(MOD(ROW(J206),2)=1,INDEX(D:D,(ROW(J206)+1)/2),INDEX(F:F,ROW(J206)/2)),"")</f>
        <v>-203.9</v>
      </c>
      <c r="K206" s="28">
        <f t="array" ref="K206">IF(ROW(K206)&lt;=COUNTA(E:E)*2,IF(MOD(ROW(K206),2)=1,INDEX(E:E,(ROW(K206)+1)/2),INDEX(G:G,ROW(K206)/2)),"")</f>
        <v>44.8</v>
      </c>
    </row>
    <row r="207" spans="1:11" x14ac:dyDescent="0.25">
      <c r="A207" s="25"/>
      <c r="B207" s="25"/>
      <c r="D207" s="26">
        <f t="shared" si="24"/>
        <v>-409.9</v>
      </c>
      <c r="E207" s="27">
        <f t="shared" si="25"/>
        <v>44.98</v>
      </c>
      <c r="F207" s="26">
        <f t="shared" si="26"/>
        <v>-411.9</v>
      </c>
      <c r="G207" s="27">
        <f t="shared" si="27"/>
        <v>44.98</v>
      </c>
      <c r="J207" s="28">
        <f t="array" ref="J207">IF(ROW(J207)&lt;=COUNTA(D:D)*2,IF(MOD(ROW(J207),2)=1,INDEX(D:D,(ROW(J207)+1)/2),INDEX(F:F,ROW(J207)/2)),"")</f>
        <v>-203.9</v>
      </c>
      <c r="K207" s="28">
        <f t="array" ref="K207">IF(ROW(K207)&lt;=COUNTA(E:E)*2,IF(MOD(ROW(K207),2)=1,INDEX(E:E,(ROW(K207)+1)/2),INDEX(G:G,ROW(K207)/2)),"")</f>
        <v>44.8</v>
      </c>
    </row>
    <row r="208" spans="1:11" x14ac:dyDescent="0.25">
      <c r="A208" s="25"/>
      <c r="B208" s="25"/>
      <c r="D208" s="26">
        <f t="shared" si="24"/>
        <v>-411.9</v>
      </c>
      <c r="E208" s="27">
        <f t="shared" si="25"/>
        <v>44.98</v>
      </c>
      <c r="F208" s="26">
        <f t="shared" si="26"/>
        <v>-413.9</v>
      </c>
      <c r="G208" s="27">
        <f t="shared" si="27"/>
        <v>44.98</v>
      </c>
      <c r="J208" s="28">
        <f t="array" ref="J208">IF(ROW(J208)&lt;=COUNTA(D:D)*2,IF(MOD(ROW(J208),2)=1,INDEX(D:D,(ROW(J208)+1)/2),INDEX(F:F,ROW(J208)/2)),"")</f>
        <v>-205.9</v>
      </c>
      <c r="K208" s="28">
        <f t="array" ref="K208">IF(ROW(K208)&lt;=COUNTA(E:E)*2,IF(MOD(ROW(K208),2)=1,INDEX(E:E,(ROW(K208)+1)/2),INDEX(G:G,ROW(K208)/2)),"")</f>
        <v>44.8</v>
      </c>
    </row>
    <row r="209" spans="1:11" x14ac:dyDescent="0.25">
      <c r="A209" s="25"/>
      <c r="B209" s="25"/>
      <c r="D209" s="26">
        <f t="shared" si="24"/>
        <v>-413.9</v>
      </c>
      <c r="E209" s="27">
        <f t="shared" si="25"/>
        <v>44.98</v>
      </c>
      <c r="F209" s="26">
        <f t="shared" si="26"/>
        <v>-415.9</v>
      </c>
      <c r="G209" s="27">
        <f t="shared" si="27"/>
        <v>44.98</v>
      </c>
      <c r="J209" s="28">
        <f t="array" ref="J209">IF(ROW(J209)&lt;=COUNTA(D:D)*2,IF(MOD(ROW(J209),2)=1,INDEX(D:D,(ROW(J209)+1)/2),INDEX(F:F,ROW(J209)/2)),"")</f>
        <v>-205.9</v>
      </c>
      <c r="K209" s="28">
        <f t="array" ref="K209">IF(ROW(K209)&lt;=COUNTA(E:E)*2,IF(MOD(ROW(K209),2)=1,INDEX(E:E,(ROW(K209)+1)/2),INDEX(G:G,ROW(K209)/2)),"")</f>
        <v>44.98</v>
      </c>
    </row>
    <row r="210" spans="1:11" x14ac:dyDescent="0.25">
      <c r="A210" s="25"/>
      <c r="B210" s="25"/>
      <c r="D210" s="26">
        <f t="shared" si="24"/>
        <v>-415.9</v>
      </c>
      <c r="E210" s="27">
        <f t="shared" si="25"/>
        <v>44.98</v>
      </c>
      <c r="F210" s="26">
        <f t="shared" si="26"/>
        <v>-417.9</v>
      </c>
      <c r="G210" s="27">
        <f t="shared" si="27"/>
        <v>44.98</v>
      </c>
      <c r="J210" s="28">
        <f t="array" ref="J210">IF(ROW(J210)&lt;=COUNTA(D:D)*2,IF(MOD(ROW(J210),2)=1,INDEX(D:D,(ROW(J210)+1)/2),INDEX(F:F,ROW(J210)/2)),"")</f>
        <v>-207.9</v>
      </c>
      <c r="K210" s="28">
        <f t="array" ref="K210">IF(ROW(K210)&lt;=COUNTA(E:E)*2,IF(MOD(ROW(K210),2)=1,INDEX(E:E,(ROW(K210)+1)/2),INDEX(G:G,ROW(K210)/2)),"")</f>
        <v>44.98</v>
      </c>
    </row>
    <row r="211" spans="1:11" x14ac:dyDescent="0.25">
      <c r="A211" s="25"/>
      <c r="B211" s="25"/>
      <c r="D211" s="26">
        <f t="shared" si="24"/>
        <v>-417.9</v>
      </c>
      <c r="E211" s="27">
        <f t="shared" si="25"/>
        <v>44.98</v>
      </c>
      <c r="F211" s="26">
        <f t="shared" si="26"/>
        <v>-419.9</v>
      </c>
      <c r="G211" s="27">
        <f t="shared" si="27"/>
        <v>44.98</v>
      </c>
      <c r="J211" s="28">
        <f t="array" ref="J211">IF(ROW(J211)&lt;=COUNTA(D:D)*2,IF(MOD(ROW(J211),2)=1,INDEX(D:D,(ROW(J211)+1)/2),INDEX(F:F,ROW(J211)/2)),"")</f>
        <v>-207.9</v>
      </c>
      <c r="K211" s="28">
        <f t="array" ref="K211">IF(ROW(K211)&lt;=COUNTA(E:E)*2,IF(MOD(ROW(K211),2)=1,INDEX(E:E,(ROW(K211)+1)/2),INDEX(G:G,ROW(K211)/2)),"")</f>
        <v>44.98</v>
      </c>
    </row>
    <row r="212" spans="1:11" x14ac:dyDescent="0.25">
      <c r="A212" s="25"/>
      <c r="B212" s="25"/>
      <c r="D212" s="26">
        <f t="shared" si="24"/>
        <v>-419.9</v>
      </c>
      <c r="E212" s="27">
        <f t="shared" si="25"/>
        <v>44.98</v>
      </c>
      <c r="F212" s="26">
        <f t="shared" si="26"/>
        <v>-421.9</v>
      </c>
      <c r="G212" s="27">
        <f t="shared" si="27"/>
        <v>44.98</v>
      </c>
      <c r="J212" s="28">
        <f t="array" ref="J212">IF(ROW(J212)&lt;=COUNTA(D:D)*2,IF(MOD(ROW(J212),2)=1,INDEX(D:D,(ROW(J212)+1)/2),INDEX(F:F,ROW(J212)/2)),"")</f>
        <v>-209.9</v>
      </c>
      <c r="K212" s="28">
        <f t="array" ref="K212">IF(ROW(K212)&lt;=COUNTA(E:E)*2,IF(MOD(ROW(K212),2)=1,INDEX(E:E,(ROW(K212)+1)/2),INDEX(G:G,ROW(K212)/2)),"")</f>
        <v>44.98</v>
      </c>
    </row>
    <row r="213" spans="1:11" x14ac:dyDescent="0.25">
      <c r="A213" s="25"/>
      <c r="B213" s="25"/>
      <c r="D213" s="26">
        <f t="shared" si="24"/>
        <v>-421.9</v>
      </c>
      <c r="E213" s="27">
        <f t="shared" si="25"/>
        <v>44.86</v>
      </c>
      <c r="F213" s="26">
        <f t="shared" si="26"/>
        <v>-423.9</v>
      </c>
      <c r="G213" s="27">
        <f t="shared" si="27"/>
        <v>44.86</v>
      </c>
      <c r="J213" s="28">
        <f t="array" ref="J213">IF(ROW(J213)&lt;=COUNTA(D:D)*2,IF(MOD(ROW(J213),2)=1,INDEX(D:D,(ROW(J213)+1)/2),INDEX(F:F,ROW(J213)/2)),"")</f>
        <v>-209.9</v>
      </c>
      <c r="K213" s="28">
        <f t="array" ref="K213">IF(ROW(K213)&lt;=COUNTA(E:E)*2,IF(MOD(ROW(K213),2)=1,INDEX(E:E,(ROW(K213)+1)/2),INDEX(G:G,ROW(K213)/2)),"")</f>
        <v>44.98</v>
      </c>
    </row>
    <row r="214" spans="1:11" x14ac:dyDescent="0.25">
      <c r="A214" s="25"/>
      <c r="B214" s="25"/>
      <c r="D214" s="26">
        <f t="shared" si="24"/>
        <v>-423.9</v>
      </c>
      <c r="E214" s="27">
        <f t="shared" si="25"/>
        <v>44.98</v>
      </c>
      <c r="F214" s="26">
        <f t="shared" si="26"/>
        <v>-425.9</v>
      </c>
      <c r="G214" s="27">
        <f t="shared" si="27"/>
        <v>44.98</v>
      </c>
      <c r="J214" s="28">
        <f t="array" ref="J214">IF(ROW(J214)&lt;=COUNTA(D:D)*2,IF(MOD(ROW(J214),2)=1,INDEX(D:D,(ROW(J214)+1)/2),INDEX(F:F,ROW(J214)/2)),"")</f>
        <v>-211.9</v>
      </c>
      <c r="K214" s="28">
        <f t="array" ref="K214">IF(ROW(K214)&lt;=COUNTA(E:E)*2,IF(MOD(ROW(K214),2)=1,INDEX(E:E,(ROW(K214)+1)/2),INDEX(G:G,ROW(K214)/2)),"")</f>
        <v>44.98</v>
      </c>
    </row>
    <row r="215" spans="1:11" x14ac:dyDescent="0.25">
      <c r="A215" s="25"/>
      <c r="B215" s="25"/>
      <c r="D215" s="26">
        <f t="shared" ref="D215:D259" si="28">0-A214</f>
        <v>-425.9</v>
      </c>
      <c r="E215" s="27">
        <f t="shared" ref="E215:E259" si="29">41+(B215/100)*4</f>
        <v>44.98</v>
      </c>
      <c r="F215" s="26">
        <f t="shared" ref="F215:F259" si="30">0-A215</f>
        <v>-427.9</v>
      </c>
      <c r="G215" s="27">
        <f t="shared" ref="G215:G259" si="31">41+(B215/100)*4</f>
        <v>44.98</v>
      </c>
      <c r="J215" s="28">
        <f t="array" ref="J215">IF(ROW(J215)&lt;=COUNTA(D:D)*2,IF(MOD(ROW(J215),2)=1,INDEX(D:D,(ROW(J215)+1)/2),INDEX(F:F,ROW(J215)/2)),"")</f>
        <v>-211.9</v>
      </c>
      <c r="K215" s="28">
        <f t="array" ref="K215">IF(ROW(K215)&lt;=COUNTA(E:E)*2,IF(MOD(ROW(K215),2)=1,INDEX(E:E,(ROW(K215)+1)/2),INDEX(G:G,ROW(K215)/2)),"")</f>
        <v>44.98</v>
      </c>
    </row>
    <row r="216" spans="1:11" x14ac:dyDescent="0.25">
      <c r="A216" s="25"/>
      <c r="B216" s="25"/>
      <c r="D216" s="26">
        <f t="shared" si="28"/>
        <v>-427.9</v>
      </c>
      <c r="E216" s="27">
        <f t="shared" si="29"/>
        <v>44.94</v>
      </c>
      <c r="F216" s="26">
        <f t="shared" si="30"/>
        <v>-429.9</v>
      </c>
      <c r="G216" s="27">
        <f t="shared" si="31"/>
        <v>44.94</v>
      </c>
      <c r="J216" s="28">
        <f t="array" ref="J216">IF(ROW(J216)&lt;=COUNTA(D:D)*2,IF(MOD(ROW(J216),2)=1,INDEX(D:D,(ROW(J216)+1)/2),INDEX(F:F,ROW(J216)/2)),"")</f>
        <v>-213.9</v>
      </c>
      <c r="K216" s="28">
        <f t="array" ref="K216">IF(ROW(K216)&lt;=COUNTA(E:E)*2,IF(MOD(ROW(K216),2)=1,INDEX(E:E,(ROW(K216)+1)/2),INDEX(G:G,ROW(K216)/2)),"")</f>
        <v>44.98</v>
      </c>
    </row>
    <row r="217" spans="1:11" x14ac:dyDescent="0.25">
      <c r="A217" s="25"/>
      <c r="B217" s="25"/>
      <c r="D217" s="26">
        <f t="shared" si="28"/>
        <v>-429.9</v>
      </c>
      <c r="E217" s="27">
        <f t="shared" si="29"/>
        <v>44.8</v>
      </c>
      <c r="F217" s="26">
        <f t="shared" si="30"/>
        <v>-431.9</v>
      </c>
      <c r="G217" s="27">
        <f t="shared" si="31"/>
        <v>44.8</v>
      </c>
      <c r="J217" s="28">
        <f t="array" ref="J217">IF(ROW(J217)&lt;=COUNTA(D:D)*2,IF(MOD(ROW(J217),2)=1,INDEX(D:D,(ROW(J217)+1)/2),INDEX(F:F,ROW(J217)/2)),"")</f>
        <v>-213.9</v>
      </c>
      <c r="K217" s="28">
        <f t="array" ref="K217">IF(ROW(K217)&lt;=COUNTA(E:E)*2,IF(MOD(ROW(K217),2)=1,INDEX(E:E,(ROW(K217)+1)/2),INDEX(G:G,ROW(K217)/2)),"")</f>
        <v>44.98</v>
      </c>
    </row>
    <row r="218" spans="1:11" x14ac:dyDescent="0.25">
      <c r="A218" s="25"/>
      <c r="B218" s="25"/>
      <c r="D218" s="26">
        <f t="shared" si="28"/>
        <v>-431.9</v>
      </c>
      <c r="E218" s="27">
        <f t="shared" si="29"/>
        <v>44.98</v>
      </c>
      <c r="F218" s="26">
        <f t="shared" si="30"/>
        <v>-433.9</v>
      </c>
      <c r="G218" s="27">
        <f t="shared" si="31"/>
        <v>44.98</v>
      </c>
      <c r="J218" s="28">
        <f t="array" ref="J218">IF(ROW(J218)&lt;=COUNTA(D:D)*2,IF(MOD(ROW(J218),2)=1,INDEX(D:D,(ROW(J218)+1)/2),INDEX(F:F,ROW(J218)/2)),"")</f>
        <v>-215.9</v>
      </c>
      <c r="K218" s="28">
        <f t="array" ref="K218">IF(ROW(K218)&lt;=COUNTA(E:E)*2,IF(MOD(ROW(K218),2)=1,INDEX(E:E,(ROW(K218)+1)/2),INDEX(G:G,ROW(K218)/2)),"")</f>
        <v>44.98</v>
      </c>
    </row>
    <row r="219" spans="1:11" x14ac:dyDescent="0.25">
      <c r="A219" s="25"/>
      <c r="B219" s="25"/>
      <c r="D219" s="26">
        <f t="shared" si="28"/>
        <v>-433.9</v>
      </c>
      <c r="E219" s="27">
        <f t="shared" si="29"/>
        <v>44.94</v>
      </c>
      <c r="F219" s="26">
        <f t="shared" si="30"/>
        <v>-435.9</v>
      </c>
      <c r="G219" s="27">
        <f t="shared" si="31"/>
        <v>44.94</v>
      </c>
      <c r="J219" s="28">
        <f t="array" ref="J219">IF(ROW(J219)&lt;=COUNTA(D:D)*2,IF(MOD(ROW(J219),2)=1,INDEX(D:D,(ROW(J219)+1)/2),INDEX(F:F,ROW(J219)/2)),"")</f>
        <v>-215.9</v>
      </c>
      <c r="K219" s="28">
        <f t="array" ref="K219">IF(ROW(K219)&lt;=COUNTA(E:E)*2,IF(MOD(ROW(K219),2)=1,INDEX(E:E,(ROW(K219)+1)/2),INDEX(G:G,ROW(K219)/2)),"")</f>
        <v>44.94</v>
      </c>
    </row>
    <row r="220" spans="1:11" x14ac:dyDescent="0.25">
      <c r="A220" s="25"/>
      <c r="B220" s="25"/>
      <c r="D220" s="26">
        <f t="shared" si="28"/>
        <v>-435.9</v>
      </c>
      <c r="E220" s="27">
        <f t="shared" si="29"/>
        <v>44.98</v>
      </c>
      <c r="F220" s="26">
        <f t="shared" si="30"/>
        <v>-437.9</v>
      </c>
      <c r="G220" s="27">
        <f t="shared" si="31"/>
        <v>44.98</v>
      </c>
      <c r="J220" s="28">
        <f t="array" ref="J220">IF(ROW(J220)&lt;=COUNTA(D:D)*2,IF(MOD(ROW(J220),2)=1,INDEX(D:D,(ROW(J220)+1)/2),INDEX(F:F,ROW(J220)/2)),"")</f>
        <v>-217.9</v>
      </c>
      <c r="K220" s="28">
        <f t="array" ref="K220">IF(ROW(K220)&lt;=COUNTA(E:E)*2,IF(MOD(ROW(K220),2)=1,INDEX(E:E,(ROW(K220)+1)/2),INDEX(G:G,ROW(K220)/2)),"")</f>
        <v>44.94</v>
      </c>
    </row>
    <row r="221" spans="1:11" x14ac:dyDescent="0.25">
      <c r="A221" s="25"/>
      <c r="B221" s="25"/>
      <c r="D221" s="26">
        <f t="shared" si="28"/>
        <v>-437.9</v>
      </c>
      <c r="E221" s="27">
        <f t="shared" si="29"/>
        <v>44.94</v>
      </c>
      <c r="F221" s="26">
        <f t="shared" si="30"/>
        <v>-439.9</v>
      </c>
      <c r="G221" s="27">
        <f t="shared" si="31"/>
        <v>44.94</v>
      </c>
      <c r="J221" s="28">
        <f t="array" ref="J221">IF(ROW(J221)&lt;=COUNTA(D:D)*2,IF(MOD(ROW(J221),2)=1,INDEX(D:D,(ROW(J221)+1)/2),INDEX(F:F,ROW(J221)/2)),"")</f>
        <v>-217.9</v>
      </c>
      <c r="K221" s="28">
        <f t="array" ref="K221">IF(ROW(K221)&lt;=COUNTA(E:E)*2,IF(MOD(ROW(K221),2)=1,INDEX(E:E,(ROW(K221)+1)/2),INDEX(G:G,ROW(K221)/2)),"")</f>
        <v>44.9</v>
      </c>
    </row>
    <row r="222" spans="1:11" x14ac:dyDescent="0.25">
      <c r="A222" s="25"/>
      <c r="B222" s="25"/>
      <c r="D222" s="26">
        <f t="shared" si="28"/>
        <v>-439.9</v>
      </c>
      <c r="E222" s="27">
        <f t="shared" si="29"/>
        <v>44.98</v>
      </c>
      <c r="F222" s="26">
        <f t="shared" si="30"/>
        <v>-441.9</v>
      </c>
      <c r="G222" s="27">
        <f t="shared" si="31"/>
        <v>44.98</v>
      </c>
      <c r="J222" s="28">
        <f t="array" ref="J222">IF(ROW(J222)&lt;=COUNTA(D:D)*2,IF(MOD(ROW(J222),2)=1,INDEX(D:D,(ROW(J222)+1)/2),INDEX(F:F,ROW(J222)/2)),"")</f>
        <v>-219.9</v>
      </c>
      <c r="K222" s="28">
        <f t="array" ref="K222">IF(ROW(K222)&lt;=COUNTA(E:E)*2,IF(MOD(ROW(K222),2)=1,INDEX(E:E,(ROW(K222)+1)/2),INDEX(G:G,ROW(K222)/2)),"")</f>
        <v>44.9</v>
      </c>
    </row>
    <row r="223" spans="1:11" x14ac:dyDescent="0.25">
      <c r="A223" s="25"/>
      <c r="B223" s="25"/>
      <c r="D223" s="26">
        <f t="shared" si="28"/>
        <v>-441.9</v>
      </c>
      <c r="E223" s="27">
        <f t="shared" si="29"/>
        <v>44.98</v>
      </c>
      <c r="F223" s="26">
        <f t="shared" si="30"/>
        <v>-443.9</v>
      </c>
      <c r="G223" s="27">
        <f t="shared" si="31"/>
        <v>44.98</v>
      </c>
      <c r="J223" s="28">
        <f t="array" ref="J223">IF(ROW(J223)&lt;=COUNTA(D:D)*2,IF(MOD(ROW(J223),2)=1,INDEX(D:D,(ROW(J223)+1)/2),INDEX(F:F,ROW(J223)/2)),"")</f>
        <v>-219.9</v>
      </c>
      <c r="K223" s="28">
        <f t="array" ref="K223">IF(ROW(K223)&lt;=COUNTA(E:E)*2,IF(MOD(ROW(K223),2)=1,INDEX(E:E,(ROW(K223)+1)/2),INDEX(G:G,ROW(K223)/2)),"")</f>
        <v>44.96</v>
      </c>
    </row>
    <row r="224" spans="1:11" x14ac:dyDescent="0.25">
      <c r="A224" s="25"/>
      <c r="B224" s="25"/>
      <c r="D224" s="26">
        <f t="shared" si="28"/>
        <v>-443.9</v>
      </c>
      <c r="E224" s="27">
        <f t="shared" si="29"/>
        <v>44.92</v>
      </c>
      <c r="F224" s="26">
        <f t="shared" si="30"/>
        <v>-445.9</v>
      </c>
      <c r="G224" s="27">
        <f t="shared" si="31"/>
        <v>44.92</v>
      </c>
      <c r="J224" s="28">
        <f t="array" ref="J224">IF(ROW(J224)&lt;=COUNTA(D:D)*2,IF(MOD(ROW(J224),2)=1,INDEX(D:D,(ROW(J224)+1)/2),INDEX(F:F,ROW(J224)/2)),"")</f>
        <v>-221.9</v>
      </c>
      <c r="K224" s="28">
        <f t="array" ref="K224">IF(ROW(K224)&lt;=COUNTA(E:E)*2,IF(MOD(ROW(K224),2)=1,INDEX(E:E,(ROW(K224)+1)/2),INDEX(G:G,ROW(K224)/2)),"")</f>
        <v>44.96</v>
      </c>
    </row>
    <row r="225" spans="1:11" x14ac:dyDescent="0.25">
      <c r="A225" s="25"/>
      <c r="B225" s="25"/>
      <c r="D225" s="26">
        <f t="shared" si="28"/>
        <v>-445.9</v>
      </c>
      <c r="E225" s="27">
        <f t="shared" si="29"/>
        <v>44.94</v>
      </c>
      <c r="F225" s="26">
        <f t="shared" si="30"/>
        <v>-447.9</v>
      </c>
      <c r="G225" s="27">
        <f t="shared" si="31"/>
        <v>44.94</v>
      </c>
      <c r="J225" s="28">
        <f t="array" ref="J225">IF(ROW(J225)&lt;=COUNTA(D:D)*2,IF(MOD(ROW(J225),2)=1,INDEX(D:D,(ROW(J225)+1)/2),INDEX(F:F,ROW(J225)/2)),"")</f>
        <v>-221.9</v>
      </c>
      <c r="K225" s="28">
        <f t="array" ref="K225">IF(ROW(K225)&lt;=COUNTA(E:E)*2,IF(MOD(ROW(K225),2)=1,INDEX(E:E,(ROW(K225)+1)/2),INDEX(G:G,ROW(K225)/2)),"")</f>
        <v>44.88</v>
      </c>
    </row>
    <row r="226" spans="1:11" x14ac:dyDescent="0.25">
      <c r="A226" s="25"/>
      <c r="B226" s="25"/>
      <c r="D226" s="26">
        <f t="shared" si="28"/>
        <v>-447.9</v>
      </c>
      <c r="E226" s="27">
        <f t="shared" si="29"/>
        <v>44.9</v>
      </c>
      <c r="F226" s="26">
        <f t="shared" si="30"/>
        <v>-449.9</v>
      </c>
      <c r="G226" s="27">
        <f t="shared" si="31"/>
        <v>44.9</v>
      </c>
      <c r="J226" s="28">
        <f t="array" ref="J226">IF(ROW(J226)&lt;=COUNTA(D:D)*2,IF(MOD(ROW(J226),2)=1,INDEX(D:D,(ROW(J226)+1)/2),INDEX(F:F,ROW(J226)/2)),"")</f>
        <v>-223.9</v>
      </c>
      <c r="K226" s="28">
        <f t="array" ref="K226">IF(ROW(K226)&lt;=COUNTA(E:E)*2,IF(MOD(ROW(K226),2)=1,INDEX(E:E,(ROW(K226)+1)/2),INDEX(G:G,ROW(K226)/2)),"")</f>
        <v>44.88</v>
      </c>
    </row>
    <row r="227" spans="1:11" x14ac:dyDescent="0.25">
      <c r="A227" s="25"/>
      <c r="B227" s="25"/>
      <c r="D227" s="26">
        <f t="shared" si="28"/>
        <v>-449.9</v>
      </c>
      <c r="E227" s="27">
        <f t="shared" si="29"/>
        <v>44.88</v>
      </c>
      <c r="F227" s="26">
        <f t="shared" si="30"/>
        <v>-451.9</v>
      </c>
      <c r="G227" s="27">
        <f t="shared" si="31"/>
        <v>44.88</v>
      </c>
      <c r="J227" s="28">
        <f t="array" ref="J227">IF(ROW(J227)&lt;=COUNTA(D:D)*2,IF(MOD(ROW(J227),2)=1,INDEX(D:D,(ROW(J227)+1)/2),INDEX(F:F,ROW(J227)/2)),"")</f>
        <v>-223.9</v>
      </c>
      <c r="K227" s="28">
        <f t="array" ref="K227">IF(ROW(K227)&lt;=COUNTA(E:E)*2,IF(MOD(ROW(K227),2)=1,INDEX(E:E,(ROW(K227)+1)/2),INDEX(G:G,ROW(K227)/2)),"")</f>
        <v>44.9</v>
      </c>
    </row>
    <row r="228" spans="1:11" x14ac:dyDescent="0.25">
      <c r="A228" s="25"/>
      <c r="B228" s="25"/>
      <c r="D228" s="26">
        <f t="shared" si="28"/>
        <v>-451.9</v>
      </c>
      <c r="E228" s="27">
        <f t="shared" si="29"/>
        <v>44.86</v>
      </c>
      <c r="F228" s="26">
        <f t="shared" si="30"/>
        <v>-453.9</v>
      </c>
      <c r="G228" s="27">
        <f t="shared" si="31"/>
        <v>44.86</v>
      </c>
      <c r="J228" s="28">
        <f t="array" ref="J228">IF(ROW(J228)&lt;=COUNTA(D:D)*2,IF(MOD(ROW(J228),2)=1,INDEX(D:D,(ROW(J228)+1)/2),INDEX(F:F,ROW(J228)/2)),"")</f>
        <v>-225.9</v>
      </c>
      <c r="K228" s="28">
        <f t="array" ref="K228">IF(ROW(K228)&lt;=COUNTA(E:E)*2,IF(MOD(ROW(K228),2)=1,INDEX(E:E,(ROW(K228)+1)/2),INDEX(G:G,ROW(K228)/2)),"")</f>
        <v>44.9</v>
      </c>
    </row>
    <row r="229" spans="1:11" x14ac:dyDescent="0.25">
      <c r="A229" s="25"/>
      <c r="B229" s="25"/>
      <c r="D229" s="26">
        <f t="shared" si="28"/>
        <v>-453.9</v>
      </c>
      <c r="E229" s="27">
        <f t="shared" si="29"/>
        <v>44.9</v>
      </c>
      <c r="F229" s="26">
        <f t="shared" si="30"/>
        <v>-455.9</v>
      </c>
      <c r="G229" s="27">
        <f t="shared" si="31"/>
        <v>44.9</v>
      </c>
      <c r="J229" s="28">
        <f t="array" ref="J229">IF(ROW(J229)&lt;=COUNTA(D:D)*2,IF(MOD(ROW(J229),2)=1,INDEX(D:D,(ROW(J229)+1)/2),INDEX(F:F,ROW(J229)/2)),"")</f>
        <v>-225.9</v>
      </c>
      <c r="K229" s="28">
        <f t="array" ref="K229">IF(ROW(K229)&lt;=COUNTA(E:E)*2,IF(MOD(ROW(K229),2)=1,INDEX(E:E,(ROW(K229)+1)/2),INDEX(G:G,ROW(K229)/2)),"")</f>
        <v>44.92</v>
      </c>
    </row>
    <row r="230" spans="1:11" x14ac:dyDescent="0.25">
      <c r="A230" s="25"/>
      <c r="B230" s="25"/>
      <c r="D230" s="26">
        <f t="shared" si="28"/>
        <v>-455.9</v>
      </c>
      <c r="E230" s="27">
        <f t="shared" si="29"/>
        <v>44.98</v>
      </c>
      <c r="F230" s="26">
        <f t="shared" si="30"/>
        <v>-457.9</v>
      </c>
      <c r="G230" s="27">
        <f t="shared" si="31"/>
        <v>44.98</v>
      </c>
      <c r="J230" s="28">
        <f t="array" ref="J230">IF(ROW(J230)&lt;=COUNTA(D:D)*2,IF(MOD(ROW(J230),2)=1,INDEX(D:D,(ROW(J230)+1)/2),INDEX(F:F,ROW(J230)/2)),"")</f>
        <v>-227.9</v>
      </c>
      <c r="K230" s="28">
        <f t="array" ref="K230">IF(ROW(K230)&lt;=COUNTA(E:E)*2,IF(MOD(ROW(K230),2)=1,INDEX(E:E,(ROW(K230)+1)/2),INDEX(G:G,ROW(K230)/2)),"")</f>
        <v>44.92</v>
      </c>
    </row>
    <row r="231" spans="1:11" x14ac:dyDescent="0.25">
      <c r="A231" s="25"/>
      <c r="B231" s="25"/>
      <c r="D231" s="26">
        <f t="shared" si="28"/>
        <v>-457.9</v>
      </c>
      <c r="E231" s="27">
        <f t="shared" si="29"/>
        <v>44.98</v>
      </c>
      <c r="F231" s="26">
        <f t="shared" si="30"/>
        <v>-459.9</v>
      </c>
      <c r="G231" s="27">
        <f t="shared" si="31"/>
        <v>44.98</v>
      </c>
      <c r="J231" s="28">
        <f t="array" ref="J231">IF(ROW(J231)&lt;=COUNTA(D:D)*2,IF(MOD(ROW(J231),2)=1,INDEX(D:D,(ROW(J231)+1)/2),INDEX(F:F,ROW(J231)/2)),"")</f>
        <v>-227.9</v>
      </c>
      <c r="K231" s="28">
        <f t="array" ref="K231">IF(ROW(K231)&lt;=COUNTA(E:E)*2,IF(MOD(ROW(K231),2)=1,INDEX(E:E,(ROW(K231)+1)/2),INDEX(G:G,ROW(K231)/2)),"")</f>
        <v>44.92</v>
      </c>
    </row>
    <row r="232" spans="1:11" x14ac:dyDescent="0.25">
      <c r="A232" s="25"/>
      <c r="B232" s="25"/>
      <c r="D232" s="26">
        <f t="shared" si="28"/>
        <v>-459.9</v>
      </c>
      <c r="E232" s="27">
        <f t="shared" si="29"/>
        <v>44.98</v>
      </c>
      <c r="F232" s="26">
        <f t="shared" si="30"/>
        <v>-461.9</v>
      </c>
      <c r="G232" s="27">
        <f t="shared" si="31"/>
        <v>44.98</v>
      </c>
      <c r="J232" s="28">
        <f t="array" ref="J232">IF(ROW(J232)&lt;=COUNTA(D:D)*2,IF(MOD(ROW(J232),2)=1,INDEX(D:D,(ROW(J232)+1)/2),INDEX(F:F,ROW(J232)/2)),"")</f>
        <v>-229.9</v>
      </c>
      <c r="K232" s="28">
        <f t="array" ref="K232">IF(ROW(K232)&lt;=COUNTA(E:E)*2,IF(MOD(ROW(K232),2)=1,INDEX(E:E,(ROW(K232)+1)/2),INDEX(G:G,ROW(K232)/2)),"")</f>
        <v>44.92</v>
      </c>
    </row>
    <row r="233" spans="1:11" x14ac:dyDescent="0.25">
      <c r="A233" s="25"/>
      <c r="B233" s="25"/>
      <c r="D233" s="26">
        <f t="shared" si="28"/>
        <v>-461.9</v>
      </c>
      <c r="E233" s="27">
        <f t="shared" si="29"/>
        <v>44.98</v>
      </c>
      <c r="F233" s="26">
        <f t="shared" si="30"/>
        <v>-463.9</v>
      </c>
      <c r="G233" s="27">
        <f t="shared" si="31"/>
        <v>44.98</v>
      </c>
      <c r="J233" s="28">
        <f t="array" ref="J233">IF(ROW(J233)&lt;=COUNTA(D:D)*2,IF(MOD(ROW(J233),2)=1,INDEX(D:D,(ROW(J233)+1)/2),INDEX(F:F,ROW(J233)/2)),"")</f>
        <v>-229.9</v>
      </c>
      <c r="K233" s="28">
        <f t="array" ref="K233">IF(ROW(K233)&lt;=COUNTA(E:E)*2,IF(MOD(ROW(K233),2)=1,INDEX(E:E,(ROW(K233)+1)/2),INDEX(G:G,ROW(K233)/2)),"")</f>
        <v>44.88</v>
      </c>
    </row>
    <row r="234" spans="1:11" x14ac:dyDescent="0.25">
      <c r="A234" s="25"/>
      <c r="B234" s="25"/>
      <c r="D234" s="26">
        <f t="shared" si="28"/>
        <v>-463.9</v>
      </c>
      <c r="E234" s="27">
        <f t="shared" si="29"/>
        <v>44.98</v>
      </c>
      <c r="F234" s="26">
        <f t="shared" si="30"/>
        <v>-465.9</v>
      </c>
      <c r="G234" s="27">
        <f t="shared" si="31"/>
        <v>44.98</v>
      </c>
      <c r="J234" s="28">
        <f t="array" ref="J234">IF(ROW(J234)&lt;=COUNTA(D:D)*2,IF(MOD(ROW(J234),2)=1,INDEX(D:D,(ROW(J234)+1)/2),INDEX(F:F,ROW(J234)/2)),"")</f>
        <v>-231.9</v>
      </c>
      <c r="K234" s="28">
        <f t="array" ref="K234">IF(ROW(K234)&lt;=COUNTA(E:E)*2,IF(MOD(ROW(K234),2)=1,INDEX(E:E,(ROW(K234)+1)/2),INDEX(G:G,ROW(K234)/2)),"")</f>
        <v>44.88</v>
      </c>
    </row>
    <row r="235" spans="1:11" x14ac:dyDescent="0.25">
      <c r="A235" s="25"/>
      <c r="B235" s="25"/>
      <c r="D235" s="26">
        <f t="shared" si="28"/>
        <v>-465.9</v>
      </c>
      <c r="E235" s="27">
        <f t="shared" si="29"/>
        <v>44.92</v>
      </c>
      <c r="F235" s="26">
        <f t="shared" si="30"/>
        <v>-467.9</v>
      </c>
      <c r="G235" s="27">
        <f t="shared" si="31"/>
        <v>44.92</v>
      </c>
      <c r="J235" s="28">
        <f t="array" ref="J235">IF(ROW(J235)&lt;=COUNTA(D:D)*2,IF(MOD(ROW(J235),2)=1,INDEX(D:D,(ROW(J235)+1)/2),INDEX(F:F,ROW(J235)/2)),"")</f>
        <v>-231.9</v>
      </c>
      <c r="K235" s="28">
        <f t="array" ref="K235">IF(ROW(K235)&lt;=COUNTA(E:E)*2,IF(MOD(ROW(K235),2)=1,INDEX(E:E,(ROW(K235)+1)/2),INDEX(G:G,ROW(K235)/2)),"")</f>
        <v>44.94</v>
      </c>
    </row>
    <row r="236" spans="1:11" x14ac:dyDescent="0.25">
      <c r="A236" s="25"/>
      <c r="B236" s="25"/>
      <c r="D236" s="26">
        <f t="shared" si="28"/>
        <v>-467.9</v>
      </c>
      <c r="E236" s="27">
        <f t="shared" si="29"/>
        <v>44.98</v>
      </c>
      <c r="F236" s="26">
        <f t="shared" si="30"/>
        <v>-469.9</v>
      </c>
      <c r="G236" s="27">
        <f t="shared" si="31"/>
        <v>44.98</v>
      </c>
      <c r="J236" s="28">
        <f t="array" ref="J236">IF(ROW(J236)&lt;=COUNTA(D:D)*2,IF(MOD(ROW(J236),2)=1,INDEX(D:D,(ROW(J236)+1)/2),INDEX(F:F,ROW(J236)/2)),"")</f>
        <v>-233.9</v>
      </c>
      <c r="K236" s="28">
        <f t="array" ref="K236">IF(ROW(K236)&lt;=COUNTA(E:E)*2,IF(MOD(ROW(K236),2)=1,INDEX(E:E,(ROW(K236)+1)/2),INDEX(G:G,ROW(K236)/2)),"")</f>
        <v>44.94</v>
      </c>
    </row>
    <row r="237" spans="1:11" x14ac:dyDescent="0.25">
      <c r="A237" s="25"/>
      <c r="B237" s="25"/>
      <c r="D237" s="26">
        <f t="shared" si="28"/>
        <v>-469.9</v>
      </c>
      <c r="E237" s="27">
        <f t="shared" si="29"/>
        <v>44.96</v>
      </c>
      <c r="F237" s="26">
        <f t="shared" si="30"/>
        <v>-471.9</v>
      </c>
      <c r="G237" s="27">
        <f t="shared" si="31"/>
        <v>44.96</v>
      </c>
      <c r="J237" s="28">
        <f t="array" ref="J237">IF(ROW(J237)&lt;=COUNTA(D:D)*2,IF(MOD(ROW(J237),2)=1,INDEX(D:D,(ROW(J237)+1)/2),INDEX(F:F,ROW(J237)/2)),"")</f>
        <v>-233.9</v>
      </c>
      <c r="K237" s="28">
        <f t="array" ref="K237">IF(ROW(K237)&lt;=COUNTA(E:E)*2,IF(MOD(ROW(K237),2)=1,INDEX(E:E,(ROW(K237)+1)/2),INDEX(G:G,ROW(K237)/2)),"")</f>
        <v>44.94</v>
      </c>
    </row>
    <row r="238" spans="1:11" x14ac:dyDescent="0.25">
      <c r="A238" s="25"/>
      <c r="B238" s="25"/>
      <c r="D238" s="26">
        <f t="shared" si="28"/>
        <v>-471.9</v>
      </c>
      <c r="E238" s="27">
        <f t="shared" si="29"/>
        <v>44.98</v>
      </c>
      <c r="F238" s="26">
        <f t="shared" si="30"/>
        <v>-473.9</v>
      </c>
      <c r="G238" s="27">
        <f t="shared" si="31"/>
        <v>44.98</v>
      </c>
      <c r="J238" s="28">
        <f t="array" ref="J238">IF(ROW(J238)&lt;=COUNTA(D:D)*2,IF(MOD(ROW(J238),2)=1,INDEX(D:D,(ROW(J238)+1)/2),INDEX(F:F,ROW(J238)/2)),"")</f>
        <v>-235.9</v>
      </c>
      <c r="K238" s="28">
        <f t="array" ref="K238">IF(ROW(K238)&lt;=COUNTA(E:E)*2,IF(MOD(ROW(K238),2)=1,INDEX(E:E,(ROW(K238)+1)/2),INDEX(G:G,ROW(K238)/2)),"")</f>
        <v>44.94</v>
      </c>
    </row>
    <row r="239" spans="1:11" x14ac:dyDescent="0.25">
      <c r="A239" s="25"/>
      <c r="B239" s="25"/>
      <c r="D239" s="26">
        <f t="shared" si="28"/>
        <v>-473.9</v>
      </c>
      <c r="E239" s="27">
        <f t="shared" si="29"/>
        <v>44.98</v>
      </c>
      <c r="F239" s="26">
        <f t="shared" si="30"/>
        <v>-475.9</v>
      </c>
      <c r="G239" s="27">
        <f t="shared" si="31"/>
        <v>44.98</v>
      </c>
      <c r="J239" s="28">
        <f t="array" ref="J239">IF(ROW(J239)&lt;=COUNTA(D:D)*2,IF(MOD(ROW(J239),2)=1,INDEX(D:D,(ROW(J239)+1)/2),INDEX(F:F,ROW(J239)/2)),"")</f>
        <v>-235.9</v>
      </c>
      <c r="K239" s="28">
        <f t="array" ref="K239">IF(ROW(K239)&lt;=COUNTA(E:E)*2,IF(MOD(ROW(K239),2)=1,INDEX(E:E,(ROW(K239)+1)/2),INDEX(G:G,ROW(K239)/2)),"")</f>
        <v>44.98</v>
      </c>
    </row>
    <row r="240" spans="1:11" x14ac:dyDescent="0.25">
      <c r="A240" s="25"/>
      <c r="B240" s="25"/>
      <c r="D240" s="26">
        <f t="shared" si="28"/>
        <v>-475.9</v>
      </c>
      <c r="E240" s="27">
        <f t="shared" si="29"/>
        <v>44.98</v>
      </c>
      <c r="F240" s="26">
        <f t="shared" si="30"/>
        <v>-477.9</v>
      </c>
      <c r="G240" s="27">
        <f t="shared" si="31"/>
        <v>44.98</v>
      </c>
      <c r="J240" s="28">
        <f t="array" ref="J240">IF(ROW(J240)&lt;=COUNTA(D:D)*2,IF(MOD(ROW(J240),2)=1,INDEX(D:D,(ROW(J240)+1)/2),INDEX(F:F,ROW(J240)/2)),"")</f>
        <v>-237.9</v>
      </c>
      <c r="K240" s="28">
        <f t="array" ref="K240">IF(ROW(K240)&lt;=COUNTA(E:E)*2,IF(MOD(ROW(K240),2)=1,INDEX(E:E,(ROW(K240)+1)/2),INDEX(G:G,ROW(K240)/2)),"")</f>
        <v>44.98</v>
      </c>
    </row>
    <row r="241" spans="1:11" x14ac:dyDescent="0.25">
      <c r="A241" s="25"/>
      <c r="B241" s="25"/>
      <c r="D241" s="26">
        <f t="shared" si="28"/>
        <v>-477.9</v>
      </c>
      <c r="E241" s="27">
        <f t="shared" si="29"/>
        <v>44.98</v>
      </c>
      <c r="F241" s="26">
        <f t="shared" si="30"/>
        <v>-479.9</v>
      </c>
      <c r="G241" s="27">
        <f t="shared" si="31"/>
        <v>44.98</v>
      </c>
      <c r="J241" s="28">
        <f t="array" ref="J241">IF(ROW(J241)&lt;=COUNTA(D:D)*2,IF(MOD(ROW(J241),2)=1,INDEX(D:D,(ROW(J241)+1)/2),INDEX(F:F,ROW(J241)/2)),"")</f>
        <v>-237.9</v>
      </c>
      <c r="K241" s="28">
        <f t="array" ref="K241">IF(ROW(K241)&lt;=COUNTA(E:E)*2,IF(MOD(ROW(K241),2)=1,INDEX(E:E,(ROW(K241)+1)/2),INDEX(G:G,ROW(K241)/2)),"")</f>
        <v>44.98</v>
      </c>
    </row>
    <row r="242" spans="1:11" x14ac:dyDescent="0.25">
      <c r="A242" s="25"/>
      <c r="B242" s="25"/>
      <c r="D242" s="26">
        <f t="shared" si="28"/>
        <v>-479.9</v>
      </c>
      <c r="E242" s="27">
        <f t="shared" si="29"/>
        <v>44.98</v>
      </c>
      <c r="F242" s="26">
        <f t="shared" si="30"/>
        <v>-481.9</v>
      </c>
      <c r="G242" s="27">
        <f t="shared" si="31"/>
        <v>44.98</v>
      </c>
      <c r="J242" s="28">
        <f t="array" ref="J242">IF(ROW(J242)&lt;=COUNTA(D:D)*2,IF(MOD(ROW(J242),2)=1,INDEX(D:D,(ROW(J242)+1)/2),INDEX(F:F,ROW(J242)/2)),"")</f>
        <v>-239.9</v>
      </c>
      <c r="K242" s="28">
        <f t="array" ref="K242">IF(ROW(K242)&lt;=COUNTA(E:E)*2,IF(MOD(ROW(K242),2)=1,INDEX(E:E,(ROW(K242)+1)/2),INDEX(G:G,ROW(K242)/2)),"")</f>
        <v>44.98</v>
      </c>
    </row>
    <row r="243" spans="1:11" x14ac:dyDescent="0.25">
      <c r="A243" s="25"/>
      <c r="B243" s="25"/>
      <c r="D243" s="26">
        <f t="shared" si="28"/>
        <v>-481.9</v>
      </c>
      <c r="E243" s="27">
        <f t="shared" si="29"/>
        <v>44.98</v>
      </c>
      <c r="F243" s="26">
        <f t="shared" si="30"/>
        <v>-483.9</v>
      </c>
      <c r="G243" s="27">
        <f t="shared" si="31"/>
        <v>44.98</v>
      </c>
      <c r="J243" s="28">
        <f t="array" ref="J243">IF(ROW(J243)&lt;=COUNTA(D:D)*2,IF(MOD(ROW(J243),2)=1,INDEX(D:D,(ROW(J243)+1)/2),INDEX(F:F,ROW(J243)/2)),"")</f>
        <v>-239.9</v>
      </c>
      <c r="K243" s="28">
        <f t="array" ref="K243">IF(ROW(K243)&lt;=COUNTA(E:E)*2,IF(MOD(ROW(K243),2)=1,INDEX(E:E,(ROW(K243)+1)/2),INDEX(G:G,ROW(K243)/2)),"")</f>
        <v>44.92</v>
      </c>
    </row>
    <row r="244" spans="1:11" x14ac:dyDescent="0.25">
      <c r="A244" s="25"/>
      <c r="B244" s="25"/>
      <c r="D244" s="26">
        <f t="shared" si="28"/>
        <v>-483.9</v>
      </c>
      <c r="E244" s="27">
        <f t="shared" si="29"/>
        <v>44.98</v>
      </c>
      <c r="F244" s="26">
        <f t="shared" si="30"/>
        <v>-485.9</v>
      </c>
      <c r="G244" s="27">
        <f t="shared" si="31"/>
        <v>44.98</v>
      </c>
      <c r="J244" s="28">
        <f t="array" ref="J244">IF(ROW(J244)&lt;=COUNTA(D:D)*2,IF(MOD(ROW(J244),2)=1,INDEX(D:D,(ROW(J244)+1)/2),INDEX(F:F,ROW(J244)/2)),"")</f>
        <v>-241.9</v>
      </c>
      <c r="K244" s="28">
        <f t="array" ref="K244">IF(ROW(K244)&lt;=COUNTA(E:E)*2,IF(MOD(ROW(K244),2)=1,INDEX(E:E,(ROW(K244)+1)/2),INDEX(G:G,ROW(K244)/2)),"")</f>
        <v>44.92</v>
      </c>
    </row>
    <row r="245" spans="1:11" x14ac:dyDescent="0.25">
      <c r="A245" s="25"/>
      <c r="B245" s="25"/>
      <c r="D245" s="26">
        <f t="shared" si="28"/>
        <v>-485.9</v>
      </c>
      <c r="E245" s="27">
        <f t="shared" si="29"/>
        <v>44.98</v>
      </c>
      <c r="F245" s="26">
        <f t="shared" si="30"/>
        <v>-487.9</v>
      </c>
      <c r="G245" s="27">
        <f t="shared" si="31"/>
        <v>44.98</v>
      </c>
      <c r="J245" s="28">
        <f t="array" ref="J245">IF(ROW(J245)&lt;=COUNTA(D:D)*2,IF(MOD(ROW(J245),2)=1,INDEX(D:D,(ROW(J245)+1)/2),INDEX(F:F,ROW(J245)/2)),"")</f>
        <v>-241.9</v>
      </c>
      <c r="K245" s="28">
        <f t="array" ref="K245">IF(ROW(K245)&lt;=COUNTA(E:E)*2,IF(MOD(ROW(K245),2)=1,INDEX(E:E,(ROW(K245)+1)/2),INDEX(G:G,ROW(K245)/2)),"")</f>
        <v>44.96</v>
      </c>
    </row>
    <row r="246" spans="1:11" x14ac:dyDescent="0.25">
      <c r="A246" s="25"/>
      <c r="B246" s="25"/>
      <c r="D246" s="26">
        <f t="shared" si="28"/>
        <v>-487.9</v>
      </c>
      <c r="E246" s="27">
        <f t="shared" si="29"/>
        <v>44.98</v>
      </c>
      <c r="F246" s="26">
        <f t="shared" si="30"/>
        <v>-489.9</v>
      </c>
      <c r="G246" s="27">
        <f t="shared" si="31"/>
        <v>44.98</v>
      </c>
      <c r="J246" s="28">
        <f t="array" ref="J246">IF(ROW(J246)&lt;=COUNTA(D:D)*2,IF(MOD(ROW(J246),2)=1,INDEX(D:D,(ROW(J246)+1)/2),INDEX(F:F,ROW(J246)/2)),"")</f>
        <v>-243.9</v>
      </c>
      <c r="K246" s="28">
        <f t="array" ref="K246">IF(ROW(K246)&lt;=COUNTA(E:E)*2,IF(MOD(ROW(K246),2)=1,INDEX(E:E,(ROW(K246)+1)/2),INDEX(G:G,ROW(K246)/2)),"")</f>
        <v>44.96</v>
      </c>
    </row>
    <row r="247" spans="1:11" x14ac:dyDescent="0.25">
      <c r="A247" s="25"/>
      <c r="B247" s="25"/>
      <c r="D247" s="26">
        <f t="shared" si="28"/>
        <v>-489.9</v>
      </c>
      <c r="E247" s="27">
        <f t="shared" si="29"/>
        <v>44.9</v>
      </c>
      <c r="F247" s="26">
        <f t="shared" si="30"/>
        <v>-491.9</v>
      </c>
      <c r="G247" s="27">
        <f t="shared" si="31"/>
        <v>44.9</v>
      </c>
      <c r="J247" s="28">
        <f t="array" ref="J247">IF(ROW(J247)&lt;=COUNTA(D:D)*2,IF(MOD(ROW(J247),2)=1,INDEX(D:D,(ROW(J247)+1)/2),INDEX(F:F,ROW(J247)/2)),"")</f>
        <v>-243.9</v>
      </c>
      <c r="K247" s="28">
        <f t="array" ref="K247">IF(ROW(K247)&lt;=COUNTA(E:E)*2,IF(MOD(ROW(K247),2)=1,INDEX(E:E,(ROW(K247)+1)/2),INDEX(G:G,ROW(K247)/2)),"")</f>
        <v>44.9</v>
      </c>
    </row>
    <row r="248" spans="1:11" x14ac:dyDescent="0.25">
      <c r="A248" s="25"/>
      <c r="B248" s="25"/>
      <c r="D248" s="26">
        <f t="shared" si="28"/>
        <v>-491.9</v>
      </c>
      <c r="E248" s="27">
        <f t="shared" si="29"/>
        <v>44.98</v>
      </c>
      <c r="F248" s="26">
        <f t="shared" si="30"/>
        <v>-493.9</v>
      </c>
      <c r="G248" s="27">
        <f t="shared" si="31"/>
        <v>44.98</v>
      </c>
      <c r="J248" s="28">
        <f t="array" ref="J248">IF(ROW(J248)&lt;=COUNTA(D:D)*2,IF(MOD(ROW(J248),2)=1,INDEX(D:D,(ROW(J248)+1)/2),INDEX(F:F,ROW(J248)/2)),"")</f>
        <v>-245.9</v>
      </c>
      <c r="K248" s="28">
        <f t="array" ref="K248">IF(ROW(K248)&lt;=COUNTA(E:E)*2,IF(MOD(ROW(K248),2)=1,INDEX(E:E,(ROW(K248)+1)/2),INDEX(G:G,ROW(K248)/2)),"")</f>
        <v>44.9</v>
      </c>
    </row>
    <row r="249" spans="1:11" x14ac:dyDescent="0.25">
      <c r="A249" s="25"/>
      <c r="B249" s="25"/>
      <c r="D249" s="26">
        <f t="shared" si="28"/>
        <v>-493.9</v>
      </c>
      <c r="E249" s="27">
        <f t="shared" si="29"/>
        <v>44.94</v>
      </c>
      <c r="F249" s="26">
        <f t="shared" si="30"/>
        <v>-495.9</v>
      </c>
      <c r="G249" s="27">
        <f t="shared" si="31"/>
        <v>44.94</v>
      </c>
      <c r="J249" s="28">
        <f t="array" ref="J249">IF(ROW(J249)&lt;=COUNTA(D:D)*2,IF(MOD(ROW(J249),2)=1,INDEX(D:D,(ROW(J249)+1)/2),INDEX(F:F,ROW(J249)/2)),"")</f>
        <v>-245.9</v>
      </c>
      <c r="K249" s="28">
        <f t="array" ref="K249">IF(ROW(K249)&lt;=COUNTA(E:E)*2,IF(MOD(ROW(K249),2)=1,INDEX(E:E,(ROW(K249)+1)/2),INDEX(G:G,ROW(K249)/2)),"")</f>
        <v>44.98</v>
      </c>
    </row>
    <row r="250" spans="1:11" x14ac:dyDescent="0.25">
      <c r="A250" s="25"/>
      <c r="B250" s="25"/>
      <c r="D250" s="26">
        <f t="shared" si="28"/>
        <v>-495.9</v>
      </c>
      <c r="E250" s="27">
        <f t="shared" si="29"/>
        <v>44.94</v>
      </c>
      <c r="F250" s="26">
        <f t="shared" si="30"/>
        <v>-497.9</v>
      </c>
      <c r="G250" s="27">
        <f t="shared" si="31"/>
        <v>44.94</v>
      </c>
      <c r="J250" s="28">
        <f t="array" ref="J250">IF(ROW(J250)&lt;=COUNTA(D:D)*2,IF(MOD(ROW(J250),2)=1,INDEX(D:D,(ROW(J250)+1)/2),INDEX(F:F,ROW(J250)/2)),"")</f>
        <v>-247.9</v>
      </c>
      <c r="K250" s="28">
        <f t="array" ref="K250">IF(ROW(K250)&lt;=COUNTA(E:E)*2,IF(MOD(ROW(K250),2)=1,INDEX(E:E,(ROW(K250)+1)/2),INDEX(G:G,ROW(K250)/2)),"")</f>
        <v>44.98</v>
      </c>
    </row>
    <row r="251" spans="1:11" x14ac:dyDescent="0.25">
      <c r="A251" s="25"/>
      <c r="B251" s="25"/>
      <c r="D251" s="26">
        <f t="shared" si="28"/>
        <v>-497.9</v>
      </c>
      <c r="E251" s="27">
        <f t="shared" si="29"/>
        <v>44.92</v>
      </c>
      <c r="F251" s="26">
        <f t="shared" si="30"/>
        <v>-499.9</v>
      </c>
      <c r="G251" s="27">
        <f t="shared" si="31"/>
        <v>44.92</v>
      </c>
      <c r="J251" s="28">
        <f t="array" ref="J251">IF(ROW(J251)&lt;=COUNTA(D:D)*2,IF(MOD(ROW(J251),2)=1,INDEX(D:D,(ROW(J251)+1)/2),INDEX(F:F,ROW(J251)/2)),"")</f>
        <v>-247.9</v>
      </c>
      <c r="K251" s="28">
        <f t="array" ref="K251">IF(ROW(K251)&lt;=COUNTA(E:E)*2,IF(MOD(ROW(K251),2)=1,INDEX(E:E,(ROW(K251)+1)/2),INDEX(G:G,ROW(K251)/2)),"")</f>
        <v>44.98</v>
      </c>
    </row>
    <row r="252" spans="1:11" x14ac:dyDescent="0.25">
      <c r="A252" s="25"/>
      <c r="B252" s="25"/>
      <c r="D252" s="26">
        <f t="shared" si="28"/>
        <v>-499.9</v>
      </c>
      <c r="E252" s="27">
        <f t="shared" si="29"/>
        <v>44.98</v>
      </c>
      <c r="F252" s="26">
        <f t="shared" si="30"/>
        <v>-501.9</v>
      </c>
      <c r="G252" s="27">
        <f t="shared" si="31"/>
        <v>44.98</v>
      </c>
      <c r="J252" s="28">
        <f t="array" ref="J252">IF(ROW(J252)&lt;=COUNTA(D:D)*2,IF(MOD(ROW(J252),2)=1,INDEX(D:D,(ROW(J252)+1)/2),INDEX(F:F,ROW(J252)/2)),"")</f>
        <v>-249.9</v>
      </c>
      <c r="K252" s="28">
        <f t="array" ref="K252">IF(ROW(K252)&lt;=COUNTA(E:E)*2,IF(MOD(ROW(K252),2)=1,INDEX(E:E,(ROW(K252)+1)/2),INDEX(G:G,ROW(K252)/2)),"")</f>
        <v>44.98</v>
      </c>
    </row>
    <row r="253" spans="1:11" x14ac:dyDescent="0.25">
      <c r="A253" s="25"/>
      <c r="B253" s="25"/>
      <c r="D253" s="26">
        <f t="shared" si="28"/>
        <v>-501.9</v>
      </c>
      <c r="E253" s="27">
        <f t="shared" si="29"/>
        <v>44.98</v>
      </c>
      <c r="F253" s="26">
        <f t="shared" si="30"/>
        <v>-503.9</v>
      </c>
      <c r="G253" s="27">
        <f t="shared" si="31"/>
        <v>44.98</v>
      </c>
      <c r="J253" s="28">
        <f t="array" ref="J253">IF(ROW(J253)&lt;=COUNTA(D:D)*2,IF(MOD(ROW(J253),2)=1,INDEX(D:D,(ROW(J253)+1)/2),INDEX(F:F,ROW(J253)/2)),"")</f>
        <v>-249.9</v>
      </c>
      <c r="K253" s="28">
        <f t="array" ref="K253">IF(ROW(K253)&lt;=COUNTA(E:E)*2,IF(MOD(ROW(K253),2)=1,INDEX(E:E,(ROW(K253)+1)/2),INDEX(G:G,ROW(K253)/2)),"")</f>
        <v>44.98</v>
      </c>
    </row>
    <row r="254" spans="1:11" x14ac:dyDescent="0.25">
      <c r="A254" s="25"/>
      <c r="B254" s="25"/>
      <c r="D254" s="26">
        <f t="shared" si="28"/>
        <v>-503.9</v>
      </c>
      <c r="E254" s="27">
        <f t="shared" si="29"/>
        <v>44.98</v>
      </c>
      <c r="F254" s="26">
        <f t="shared" si="30"/>
        <v>-505.9</v>
      </c>
      <c r="G254" s="27">
        <f t="shared" si="31"/>
        <v>44.98</v>
      </c>
      <c r="J254" s="28">
        <f t="array" ref="J254">IF(ROW(J254)&lt;=COUNTA(D:D)*2,IF(MOD(ROW(J254),2)=1,INDEX(D:D,(ROW(J254)+1)/2),INDEX(F:F,ROW(J254)/2)),"")</f>
        <v>-251.9</v>
      </c>
      <c r="K254" s="28">
        <f t="array" ref="K254">IF(ROW(K254)&lt;=COUNTA(E:E)*2,IF(MOD(ROW(K254),2)=1,INDEX(E:E,(ROW(K254)+1)/2),INDEX(G:G,ROW(K254)/2)),"")</f>
        <v>44.98</v>
      </c>
    </row>
    <row r="255" spans="1:11" x14ac:dyDescent="0.25">
      <c r="A255" s="25"/>
      <c r="B255" s="25"/>
      <c r="D255" s="26">
        <f t="shared" si="28"/>
        <v>-505.9</v>
      </c>
      <c r="E255" s="27">
        <f t="shared" si="29"/>
        <v>44.92</v>
      </c>
      <c r="F255" s="26">
        <f t="shared" si="30"/>
        <v>-507.9</v>
      </c>
      <c r="G255" s="27">
        <f t="shared" si="31"/>
        <v>44.92</v>
      </c>
      <c r="J255" s="28">
        <f t="array" ref="J255">IF(ROW(J255)&lt;=COUNTA(D:D)*2,IF(MOD(ROW(J255),2)=1,INDEX(D:D,(ROW(J255)+1)/2),INDEX(F:F,ROW(J255)/2)),"")</f>
        <v>-251.9</v>
      </c>
      <c r="K255" s="28">
        <f t="array" ref="K255">IF(ROW(K255)&lt;=COUNTA(E:E)*2,IF(MOD(ROW(K255),2)=1,INDEX(E:E,(ROW(K255)+1)/2),INDEX(G:G,ROW(K255)/2)),"")</f>
        <v>44.98</v>
      </c>
    </row>
    <row r="256" spans="1:11" x14ac:dyDescent="0.25">
      <c r="A256" s="25"/>
      <c r="B256" s="25"/>
      <c r="D256" s="26">
        <f t="shared" si="28"/>
        <v>-507.9</v>
      </c>
      <c r="E256" s="27">
        <f t="shared" si="29"/>
        <v>44.98</v>
      </c>
      <c r="F256" s="26">
        <f t="shared" si="30"/>
        <v>-509.9</v>
      </c>
      <c r="G256" s="27">
        <f t="shared" si="31"/>
        <v>44.98</v>
      </c>
      <c r="J256" s="28">
        <f t="array" ref="J256">IF(ROW(J256)&lt;=COUNTA(D:D)*2,IF(MOD(ROW(J256),2)=1,INDEX(D:D,(ROW(J256)+1)/2),INDEX(F:F,ROW(J256)/2)),"")</f>
        <v>-253.9</v>
      </c>
      <c r="K256" s="28">
        <f t="array" ref="K256">IF(ROW(K256)&lt;=COUNTA(E:E)*2,IF(MOD(ROW(K256),2)=1,INDEX(E:E,(ROW(K256)+1)/2),INDEX(G:G,ROW(K256)/2)),"")</f>
        <v>44.98</v>
      </c>
    </row>
    <row r="257" spans="1:11" x14ac:dyDescent="0.25">
      <c r="A257" s="25"/>
      <c r="B257" s="25"/>
      <c r="D257" s="26">
        <f t="shared" si="28"/>
        <v>-509.9</v>
      </c>
      <c r="E257" s="27">
        <f t="shared" si="29"/>
        <v>44.98</v>
      </c>
      <c r="F257" s="26">
        <f t="shared" si="30"/>
        <v>-511.9</v>
      </c>
      <c r="G257" s="27">
        <f t="shared" si="31"/>
        <v>44.98</v>
      </c>
      <c r="J257" s="28">
        <f t="array" ref="J257">IF(ROW(J257)&lt;=COUNTA(D:D)*2,IF(MOD(ROW(J257),2)=1,INDEX(D:D,(ROW(J257)+1)/2),INDEX(F:F,ROW(J257)/2)),"")</f>
        <v>-253.9</v>
      </c>
      <c r="K257" s="28">
        <f t="array" ref="K257">IF(ROW(K257)&lt;=COUNTA(E:E)*2,IF(MOD(ROW(K257),2)=1,INDEX(E:E,(ROW(K257)+1)/2),INDEX(G:G,ROW(K257)/2)),"")</f>
        <v>44.98</v>
      </c>
    </row>
    <row r="258" spans="1:11" x14ac:dyDescent="0.25">
      <c r="A258" s="25"/>
      <c r="B258" s="25"/>
      <c r="D258" s="26">
        <f t="shared" si="28"/>
        <v>-511.9</v>
      </c>
      <c r="E258" s="27">
        <f t="shared" si="29"/>
        <v>44.9</v>
      </c>
      <c r="F258" s="26">
        <f t="shared" si="30"/>
        <v>-513.9</v>
      </c>
      <c r="G258" s="27">
        <f t="shared" si="31"/>
        <v>44.9</v>
      </c>
      <c r="J258" s="28">
        <f t="array" ref="J258">IF(ROW(J258)&lt;=COUNTA(D:D)*2,IF(MOD(ROW(J258),2)=1,INDEX(D:D,(ROW(J258)+1)/2),INDEX(F:F,ROW(J258)/2)),"")</f>
        <v>-255.9</v>
      </c>
      <c r="K258" s="28">
        <f t="array" ref="K258">IF(ROW(K258)&lt;=COUNTA(E:E)*2,IF(MOD(ROW(K258),2)=1,INDEX(E:E,(ROW(K258)+1)/2),INDEX(G:G,ROW(K258)/2)),"")</f>
        <v>44.98</v>
      </c>
    </row>
    <row r="259" spans="1:11" x14ac:dyDescent="0.25">
      <c r="A259" s="25"/>
      <c r="B259" s="25"/>
      <c r="D259" s="26">
        <f t="shared" si="28"/>
        <v>-513.9</v>
      </c>
      <c r="E259" s="27">
        <f t="shared" si="29"/>
        <v>44.94</v>
      </c>
      <c r="F259" s="26">
        <f t="shared" si="30"/>
        <v>-515.9</v>
      </c>
      <c r="G259" s="27">
        <f t="shared" si="31"/>
        <v>44.94</v>
      </c>
      <c r="J259" s="28">
        <f t="array" ref="J259">IF(ROW(J259)&lt;=COUNTA(D:D)*2,IF(MOD(ROW(J259),2)=1,INDEX(D:D,(ROW(J259)+1)/2),INDEX(F:F,ROW(J259)/2)),"")</f>
        <v>-255.9</v>
      </c>
      <c r="K259" s="28">
        <f t="array" ref="K259">IF(ROW(K259)&lt;=COUNTA(E:E)*2,IF(MOD(ROW(K259),2)=1,INDEX(E:E,(ROW(K259)+1)/2),INDEX(G:G,ROW(K259)/2)),"")</f>
        <v>44.9800000000001</v>
      </c>
    </row>
    <row r="260" spans="1:11" x14ac:dyDescent="0.25">
      <c r="A260" s="25"/>
      <c r="B260" s="25"/>
      <c r="D260" s="26">
        <f t="shared" ref="D260:D291" si="32">0-A259</f>
        <v>-515.9</v>
      </c>
      <c r="E260" s="27">
        <f t="shared" ref="E260:E291" si="33">41+(B260/100)*4</f>
        <v>44.94</v>
      </c>
      <c r="F260" s="26">
        <f t="shared" ref="F260:F291" si="34">0-A260</f>
        <v>-517.9</v>
      </c>
      <c r="G260" s="27">
        <f t="shared" ref="G260:G291" si="35">41+(B260/100)*4</f>
        <v>44.94</v>
      </c>
      <c r="J260" s="28">
        <f t="array" ref="J260">IF(ROW(J260)&lt;=COUNTA(D:D)*2,IF(MOD(ROW(J260),2)=1,INDEX(D:D,(ROW(J260)+1)/2),INDEX(F:F,ROW(J260)/2)),"")</f>
        <v>-257.9</v>
      </c>
      <c r="K260" s="28">
        <f t="array" ref="K260">IF(ROW(K260)&lt;=COUNTA(E:E)*2,IF(MOD(ROW(K260),2)=1,INDEX(E:E,(ROW(K260)+1)/2),INDEX(G:G,ROW(K260)/2)),"")</f>
        <v>44.9800000000001</v>
      </c>
    </row>
    <row r="261" spans="1:11" x14ac:dyDescent="0.25">
      <c r="A261" s="25"/>
      <c r="B261" s="25"/>
      <c r="D261" s="26">
        <f t="shared" si="32"/>
        <v>-517.9</v>
      </c>
      <c r="E261" s="27">
        <f t="shared" si="33"/>
        <v>44.92</v>
      </c>
      <c r="F261" s="26">
        <f t="shared" si="34"/>
        <v>-519.9</v>
      </c>
      <c r="G261" s="27">
        <f t="shared" si="35"/>
        <v>44.92</v>
      </c>
      <c r="J261" s="28">
        <f t="array" ref="J261">IF(ROW(J261)&lt;=COUNTA(D:D)*2,IF(MOD(ROW(J261),2)=1,INDEX(D:D,(ROW(J261)+1)/2),INDEX(F:F,ROW(J261)/2)),"")</f>
        <v>-257.9</v>
      </c>
      <c r="K261" s="28">
        <f t="array" ref="K261">IF(ROW(K261)&lt;=COUNTA(E:E)*2,IF(MOD(ROW(K261),2)=1,INDEX(E:E,(ROW(K261)+1)/2),INDEX(G:G,ROW(K261)/2)),"")</f>
        <v>44.98</v>
      </c>
    </row>
    <row r="262" spans="1:11" x14ac:dyDescent="0.25">
      <c r="A262" s="25"/>
      <c r="B262" s="25"/>
      <c r="D262" s="26">
        <f t="shared" si="32"/>
        <v>-519.9</v>
      </c>
      <c r="E262" s="27">
        <f t="shared" si="33"/>
        <v>44.88</v>
      </c>
      <c r="F262" s="26">
        <f t="shared" si="34"/>
        <v>-521.9</v>
      </c>
      <c r="G262" s="27">
        <f t="shared" si="35"/>
        <v>44.88</v>
      </c>
      <c r="J262" s="28">
        <f t="array" ref="J262">IF(ROW(J262)&lt;=COUNTA(D:D)*2,IF(MOD(ROW(J262),2)=1,INDEX(D:D,(ROW(J262)+1)/2),INDEX(F:F,ROW(J262)/2)),"")</f>
        <v>-259.9</v>
      </c>
      <c r="K262" s="28">
        <f t="array" ref="K262">IF(ROW(K262)&lt;=COUNTA(E:E)*2,IF(MOD(ROW(K262),2)=1,INDEX(E:E,(ROW(K262)+1)/2),INDEX(G:G,ROW(K262)/2)),"")</f>
        <v>44.98</v>
      </c>
    </row>
    <row r="263" spans="1:11" x14ac:dyDescent="0.25">
      <c r="A263" s="25"/>
      <c r="B263" s="25"/>
      <c r="D263" s="26">
        <f t="shared" si="32"/>
        <v>-521.9</v>
      </c>
      <c r="E263" s="27">
        <f t="shared" si="33"/>
        <v>44.98</v>
      </c>
      <c r="F263" s="26">
        <f t="shared" si="34"/>
        <v>-523.9</v>
      </c>
      <c r="G263" s="27">
        <f t="shared" si="35"/>
        <v>44.98</v>
      </c>
      <c r="J263" s="28">
        <f t="array" ref="J263">IF(ROW(J263)&lt;=COUNTA(D:D)*2,IF(MOD(ROW(J263),2)=1,INDEX(D:D,(ROW(J263)+1)/2),INDEX(F:F,ROW(J263)/2)),"")</f>
        <v>-259.9</v>
      </c>
      <c r="K263" s="28">
        <f t="array" ref="K263">IF(ROW(K263)&lt;=COUNTA(E:E)*2,IF(MOD(ROW(K263),2)=1,INDEX(E:E,(ROW(K263)+1)/2),INDEX(G:G,ROW(K263)/2)),"")</f>
        <v>44.98</v>
      </c>
    </row>
    <row r="264" spans="1:11" x14ac:dyDescent="0.25">
      <c r="A264" s="25"/>
      <c r="B264" s="25"/>
      <c r="D264" s="26">
        <f t="shared" si="32"/>
        <v>-523.9</v>
      </c>
      <c r="E264" s="27">
        <f t="shared" si="33"/>
        <v>44.98</v>
      </c>
      <c r="F264" s="26">
        <f t="shared" si="34"/>
        <v>-525.9</v>
      </c>
      <c r="G264" s="27">
        <f t="shared" si="35"/>
        <v>44.98</v>
      </c>
      <c r="J264" s="28">
        <f t="array" ref="J264">IF(ROW(J264)&lt;=COUNTA(D:D)*2,IF(MOD(ROW(J264),2)=1,INDEX(D:D,(ROW(J264)+1)/2),INDEX(F:F,ROW(J264)/2)),"")</f>
        <v>-261.9</v>
      </c>
      <c r="K264" s="28">
        <f t="array" ref="K264">IF(ROW(K264)&lt;=COUNTA(E:E)*2,IF(MOD(ROW(K264),2)=1,INDEX(E:E,(ROW(K264)+1)/2),INDEX(G:G,ROW(K264)/2)),"")</f>
        <v>44.98</v>
      </c>
    </row>
    <row r="265" spans="1:11" x14ac:dyDescent="0.25">
      <c r="A265" s="25"/>
      <c r="B265" s="25"/>
      <c r="D265" s="26">
        <f t="shared" si="32"/>
        <v>-525.9</v>
      </c>
      <c r="E265" s="27">
        <f t="shared" si="33"/>
        <v>44.98</v>
      </c>
      <c r="F265" s="26">
        <f t="shared" si="34"/>
        <v>-527.9</v>
      </c>
      <c r="G265" s="27">
        <f t="shared" si="35"/>
        <v>44.98</v>
      </c>
      <c r="J265" s="28">
        <f t="array" ref="J265">IF(ROW(J265)&lt;=COUNTA(D:D)*2,IF(MOD(ROW(J265),2)=1,INDEX(D:D,(ROW(J265)+1)/2),INDEX(F:F,ROW(J265)/2)),"")</f>
        <v>-261.9</v>
      </c>
      <c r="K265" s="28">
        <f t="array" ref="K265">IF(ROW(K265)&lt;=COUNTA(E:E)*2,IF(MOD(ROW(K265),2)=1,INDEX(E:E,(ROW(K265)+1)/2),INDEX(G:G,ROW(K265)/2)),"")</f>
        <v>44.98</v>
      </c>
    </row>
    <row r="266" spans="1:11" x14ac:dyDescent="0.25">
      <c r="A266" s="25"/>
      <c r="B266" s="25"/>
      <c r="D266" s="26">
        <f t="shared" si="32"/>
        <v>-527.9</v>
      </c>
      <c r="E266" s="27">
        <f t="shared" si="33"/>
        <v>44.98</v>
      </c>
      <c r="F266" s="26">
        <f t="shared" si="34"/>
        <v>-529.9</v>
      </c>
      <c r="G266" s="27">
        <f t="shared" si="35"/>
        <v>44.98</v>
      </c>
      <c r="J266" s="28">
        <f t="array" ref="J266">IF(ROW(J266)&lt;=COUNTA(D:D)*2,IF(MOD(ROW(J266),2)=1,INDEX(D:D,(ROW(J266)+1)/2),INDEX(F:F,ROW(J266)/2)),"")</f>
        <v>-263.9</v>
      </c>
      <c r="K266" s="28">
        <f t="array" ref="K266">IF(ROW(K266)&lt;=COUNTA(E:E)*2,IF(MOD(ROW(K266),2)=1,INDEX(E:E,(ROW(K266)+1)/2),INDEX(G:G,ROW(K266)/2)),"")</f>
        <v>44.98</v>
      </c>
    </row>
    <row r="267" spans="1:11" x14ac:dyDescent="0.25">
      <c r="A267" s="25"/>
      <c r="B267" s="25"/>
      <c r="D267" s="26">
        <f t="shared" si="32"/>
        <v>-529.9</v>
      </c>
      <c r="E267" s="27">
        <f t="shared" si="33"/>
        <v>44.98</v>
      </c>
      <c r="F267" s="26">
        <f t="shared" si="34"/>
        <v>-531.9</v>
      </c>
      <c r="G267" s="27">
        <f t="shared" si="35"/>
        <v>44.98</v>
      </c>
      <c r="J267" s="28">
        <f t="array" ref="J267">IF(ROW(J267)&lt;=COUNTA(D:D)*2,IF(MOD(ROW(J267),2)=1,INDEX(D:D,(ROW(J267)+1)/2),INDEX(F:F,ROW(J267)/2)),"")</f>
        <v>-263.9</v>
      </c>
      <c r="K267" s="28">
        <f t="array" ref="K267">IF(ROW(K267)&lt;=COUNTA(E:E)*2,IF(MOD(ROW(K267),2)=1,INDEX(E:E,(ROW(K267)+1)/2),INDEX(G:G,ROW(K267)/2)),"")</f>
        <v>44.98</v>
      </c>
    </row>
    <row r="268" spans="1:11" x14ac:dyDescent="0.25">
      <c r="A268" s="25"/>
      <c r="B268" s="25"/>
      <c r="D268" s="26">
        <f t="shared" si="32"/>
        <v>-531.9</v>
      </c>
      <c r="E268" s="27">
        <f t="shared" si="33"/>
        <v>44.92</v>
      </c>
      <c r="F268" s="26">
        <f t="shared" si="34"/>
        <v>-533.9</v>
      </c>
      <c r="G268" s="27">
        <f t="shared" si="35"/>
        <v>44.92</v>
      </c>
      <c r="J268" s="28">
        <f t="array" ref="J268">IF(ROW(J268)&lt;=COUNTA(D:D)*2,IF(MOD(ROW(J268),2)=1,INDEX(D:D,(ROW(J268)+1)/2),INDEX(F:F,ROW(J268)/2)),"")</f>
        <v>-265.9</v>
      </c>
      <c r="K268" s="28">
        <f t="array" ref="K268">IF(ROW(K268)&lt;=COUNTA(E:E)*2,IF(MOD(ROW(K268),2)=1,INDEX(E:E,(ROW(K268)+1)/2),INDEX(G:G,ROW(K268)/2)),"")</f>
        <v>44.98</v>
      </c>
    </row>
    <row r="269" spans="1:11" x14ac:dyDescent="0.25">
      <c r="A269" s="25"/>
      <c r="B269" s="25"/>
      <c r="D269" s="26">
        <f t="shared" si="32"/>
        <v>-533.9</v>
      </c>
      <c r="E269" s="27">
        <f t="shared" si="33"/>
        <v>44.9</v>
      </c>
      <c r="F269" s="26">
        <f t="shared" si="34"/>
        <v>-535.9</v>
      </c>
      <c r="G269" s="27">
        <f t="shared" si="35"/>
        <v>44.9</v>
      </c>
      <c r="J269" s="28">
        <f t="array" ref="J269">IF(ROW(J269)&lt;=COUNTA(D:D)*2,IF(MOD(ROW(J269),2)=1,INDEX(D:D,(ROW(J269)+1)/2),INDEX(F:F,ROW(J269)/2)),"")</f>
        <v>-265.9</v>
      </c>
      <c r="K269" s="28">
        <f t="array" ref="K269">IF(ROW(K269)&lt;=COUNTA(E:E)*2,IF(MOD(ROW(K269),2)=1,INDEX(E:E,(ROW(K269)+1)/2),INDEX(G:G,ROW(K269)/2)),"")</f>
        <v>44.88</v>
      </c>
    </row>
    <row r="270" spans="1:11" x14ac:dyDescent="0.25">
      <c r="A270" s="25"/>
      <c r="B270" s="25"/>
      <c r="D270" s="26">
        <f t="shared" si="32"/>
        <v>-535.9</v>
      </c>
      <c r="E270" s="27">
        <f t="shared" si="33"/>
        <v>44.98</v>
      </c>
      <c r="F270" s="26">
        <f t="shared" si="34"/>
        <v>-537.9</v>
      </c>
      <c r="G270" s="27">
        <f t="shared" si="35"/>
        <v>44.98</v>
      </c>
      <c r="J270" s="28">
        <f t="array" ref="J270">IF(ROW(J270)&lt;=COUNTA(D:D)*2,IF(MOD(ROW(J270),2)=1,INDEX(D:D,(ROW(J270)+1)/2),INDEX(F:F,ROW(J270)/2)),"")</f>
        <v>-267.9</v>
      </c>
      <c r="K270" s="28">
        <f t="array" ref="K270">IF(ROW(K270)&lt;=COUNTA(E:E)*2,IF(MOD(ROW(K270),2)=1,INDEX(E:E,(ROW(K270)+1)/2),INDEX(G:G,ROW(K270)/2)),"")</f>
        <v>44.88</v>
      </c>
    </row>
    <row r="271" spans="1:11" x14ac:dyDescent="0.25">
      <c r="A271" s="25"/>
      <c r="B271" s="25"/>
      <c r="D271" s="26">
        <f t="shared" si="32"/>
        <v>-537.9</v>
      </c>
      <c r="E271" s="27">
        <f t="shared" si="33"/>
        <v>44.96</v>
      </c>
      <c r="F271" s="26">
        <f t="shared" si="34"/>
        <v>-539.9</v>
      </c>
      <c r="G271" s="27">
        <f t="shared" si="35"/>
        <v>44.96</v>
      </c>
      <c r="J271" s="28">
        <f t="array" ref="J271">IF(ROW(J271)&lt;=COUNTA(D:D)*2,IF(MOD(ROW(J271),2)=1,INDEX(D:D,(ROW(J271)+1)/2),INDEX(F:F,ROW(J271)/2)),"")</f>
        <v>-267.9</v>
      </c>
      <c r="K271" s="28">
        <f t="array" ref="K271">IF(ROW(K271)&lt;=COUNTA(E:E)*2,IF(MOD(ROW(K271),2)=1,INDEX(E:E,(ROW(K271)+1)/2),INDEX(G:G,ROW(K271)/2)),"")</f>
        <v>44.98</v>
      </c>
    </row>
    <row r="272" spans="1:11" x14ac:dyDescent="0.25">
      <c r="A272" s="25"/>
      <c r="B272" s="25"/>
      <c r="D272" s="26">
        <f t="shared" si="32"/>
        <v>-539.9</v>
      </c>
      <c r="E272" s="27">
        <f t="shared" si="33"/>
        <v>44.98</v>
      </c>
      <c r="F272" s="26">
        <f t="shared" si="34"/>
        <v>-541.9</v>
      </c>
      <c r="G272" s="27">
        <f t="shared" si="35"/>
        <v>44.98</v>
      </c>
      <c r="J272" s="28">
        <f t="array" ref="J272">IF(ROW(J272)&lt;=COUNTA(D:D)*2,IF(MOD(ROW(J272),2)=1,INDEX(D:D,(ROW(J272)+1)/2),INDEX(F:F,ROW(J272)/2)),"")</f>
        <v>-269.9</v>
      </c>
      <c r="K272" s="28">
        <f t="array" ref="K272">IF(ROW(K272)&lt;=COUNTA(E:E)*2,IF(MOD(ROW(K272),2)=1,INDEX(E:E,(ROW(K272)+1)/2),INDEX(G:G,ROW(K272)/2)),"")</f>
        <v>44.98</v>
      </c>
    </row>
    <row r="273" spans="1:11" x14ac:dyDescent="0.25">
      <c r="A273" s="25"/>
      <c r="B273" s="25"/>
      <c r="D273" s="26">
        <f t="shared" si="32"/>
        <v>-541.9</v>
      </c>
      <c r="E273" s="27">
        <f t="shared" si="33"/>
        <v>44.98</v>
      </c>
      <c r="F273" s="26">
        <f t="shared" si="34"/>
        <v>-543.9</v>
      </c>
      <c r="G273" s="27">
        <f t="shared" si="35"/>
        <v>44.98</v>
      </c>
      <c r="J273" s="28">
        <f t="array" ref="J273">IF(ROW(J273)&lt;=COUNTA(D:D)*2,IF(MOD(ROW(J273),2)=1,INDEX(D:D,(ROW(J273)+1)/2),INDEX(F:F,ROW(J273)/2)),"")</f>
        <v>-269.9</v>
      </c>
      <c r="K273" s="28">
        <f t="array" ref="K273">IF(ROW(K273)&lt;=COUNTA(E:E)*2,IF(MOD(ROW(K273),2)=1,INDEX(E:E,(ROW(K273)+1)/2),INDEX(G:G,ROW(K273)/2)),"")</f>
        <v>44.98</v>
      </c>
    </row>
    <row r="274" spans="1:11" x14ac:dyDescent="0.25">
      <c r="A274" s="25"/>
      <c r="B274" s="25"/>
      <c r="D274" s="26">
        <f t="shared" si="32"/>
        <v>-543.9</v>
      </c>
      <c r="E274" s="27">
        <f t="shared" si="33"/>
        <v>44.94</v>
      </c>
      <c r="F274" s="26">
        <f t="shared" si="34"/>
        <v>-545.9</v>
      </c>
      <c r="G274" s="27">
        <f t="shared" si="35"/>
        <v>44.94</v>
      </c>
      <c r="J274" s="28">
        <f t="array" ref="J274">IF(ROW(J274)&lt;=COUNTA(D:D)*2,IF(MOD(ROW(J274),2)=1,INDEX(D:D,(ROW(J274)+1)/2),INDEX(F:F,ROW(J274)/2)),"")</f>
        <v>-271.9</v>
      </c>
      <c r="K274" s="28">
        <f t="array" ref="K274">IF(ROW(K274)&lt;=COUNTA(E:E)*2,IF(MOD(ROW(K274),2)=1,INDEX(E:E,(ROW(K274)+1)/2),INDEX(G:G,ROW(K274)/2)),"")</f>
        <v>44.98</v>
      </c>
    </row>
    <row r="275" spans="1:11" x14ac:dyDescent="0.25">
      <c r="A275" s="25"/>
      <c r="B275" s="25"/>
      <c r="D275" s="26">
        <f t="shared" si="32"/>
        <v>-545.9</v>
      </c>
      <c r="E275" s="27">
        <f t="shared" si="33"/>
        <v>44.96</v>
      </c>
      <c r="F275" s="26">
        <f t="shared" si="34"/>
        <v>-547.9</v>
      </c>
      <c r="G275" s="27">
        <f t="shared" si="35"/>
        <v>44.96</v>
      </c>
      <c r="J275" s="28">
        <f t="array" ref="J275">IF(ROW(J275)&lt;=COUNTA(D:D)*2,IF(MOD(ROW(J275),2)=1,INDEX(D:D,(ROW(J275)+1)/2),INDEX(F:F,ROW(J275)/2)),"")</f>
        <v>-271.9</v>
      </c>
      <c r="K275" s="28">
        <f t="array" ref="K275">IF(ROW(K275)&lt;=COUNTA(E:E)*2,IF(MOD(ROW(K275),2)=1,INDEX(E:E,(ROW(K275)+1)/2),INDEX(G:G,ROW(K275)/2)),"")</f>
        <v>44.98</v>
      </c>
    </row>
    <row r="276" spans="1:11" x14ac:dyDescent="0.25">
      <c r="A276" s="25"/>
      <c r="B276" s="25"/>
      <c r="D276" s="26">
        <f t="shared" si="32"/>
        <v>-547.9</v>
      </c>
      <c r="E276" s="27">
        <f t="shared" si="33"/>
        <v>44.96</v>
      </c>
      <c r="F276" s="26">
        <f t="shared" si="34"/>
        <v>-549.9</v>
      </c>
      <c r="G276" s="27">
        <f t="shared" si="35"/>
        <v>44.96</v>
      </c>
      <c r="J276" s="28">
        <f t="array" ref="J276">IF(ROW(J276)&lt;=COUNTA(D:D)*2,IF(MOD(ROW(J276),2)=1,INDEX(D:D,(ROW(J276)+1)/2),INDEX(F:F,ROW(J276)/2)),"")</f>
        <v>-273.9</v>
      </c>
      <c r="K276" s="28">
        <f t="array" ref="K276">IF(ROW(K276)&lt;=COUNTA(E:E)*2,IF(MOD(ROW(K276),2)=1,INDEX(E:E,(ROW(K276)+1)/2),INDEX(G:G,ROW(K276)/2)),"")</f>
        <v>44.98</v>
      </c>
    </row>
    <row r="277" spans="1:11" x14ac:dyDescent="0.25">
      <c r="A277" s="25"/>
      <c r="B277" s="25"/>
      <c r="D277" s="26">
        <f t="shared" si="32"/>
        <v>-549.9</v>
      </c>
      <c r="E277" s="27">
        <f t="shared" si="33"/>
        <v>44.98</v>
      </c>
      <c r="F277" s="26">
        <f t="shared" si="34"/>
        <v>-551.9</v>
      </c>
      <c r="G277" s="27">
        <f t="shared" si="35"/>
        <v>44.98</v>
      </c>
      <c r="J277" s="28">
        <f t="array" ref="J277">IF(ROW(J277)&lt;=COUNTA(D:D)*2,IF(MOD(ROW(J277),2)=1,INDEX(D:D,(ROW(J277)+1)/2),INDEX(F:F,ROW(J277)/2)),"")</f>
        <v>-273.9</v>
      </c>
      <c r="K277" s="28">
        <f t="array" ref="K277">IF(ROW(K277)&lt;=COUNTA(E:E)*2,IF(MOD(ROW(K277),2)=1,INDEX(E:E,(ROW(K277)+1)/2),INDEX(G:G,ROW(K277)/2)),"")</f>
        <v>44.88</v>
      </c>
    </row>
    <row r="278" spans="1:11" x14ac:dyDescent="0.25">
      <c r="A278" s="25"/>
      <c r="B278" s="25"/>
      <c r="D278" s="26">
        <f t="shared" si="32"/>
        <v>-551.9</v>
      </c>
      <c r="E278" s="27">
        <f t="shared" si="33"/>
        <v>44.98</v>
      </c>
      <c r="F278" s="26">
        <f t="shared" si="34"/>
        <v>-553.9</v>
      </c>
      <c r="G278" s="27">
        <f t="shared" si="35"/>
        <v>44.98</v>
      </c>
      <c r="J278" s="28">
        <f t="array" ref="J278">IF(ROW(J278)&lt;=COUNTA(D:D)*2,IF(MOD(ROW(J278),2)=1,INDEX(D:D,(ROW(J278)+1)/2),INDEX(F:F,ROW(J278)/2)),"")</f>
        <v>-275.9</v>
      </c>
      <c r="K278" s="28">
        <f t="array" ref="K278">IF(ROW(K278)&lt;=COUNTA(E:E)*2,IF(MOD(ROW(K278),2)=1,INDEX(E:E,(ROW(K278)+1)/2),INDEX(G:G,ROW(K278)/2)),"")</f>
        <v>44.88</v>
      </c>
    </row>
    <row r="279" spans="1:11" x14ac:dyDescent="0.25">
      <c r="A279" s="25"/>
      <c r="B279" s="25"/>
      <c r="D279" s="26">
        <f t="shared" si="32"/>
        <v>-553.9</v>
      </c>
      <c r="E279" s="27">
        <f t="shared" si="33"/>
        <v>44.8</v>
      </c>
      <c r="F279" s="26">
        <f t="shared" si="34"/>
        <v>-555.9</v>
      </c>
      <c r="G279" s="27">
        <f t="shared" si="35"/>
        <v>44.8</v>
      </c>
      <c r="J279" s="28">
        <f t="array" ref="J279">IF(ROW(J279)&lt;=COUNTA(D:D)*2,IF(MOD(ROW(J279),2)=1,INDEX(D:D,(ROW(J279)+1)/2),INDEX(F:F,ROW(J279)/2)),"")</f>
        <v>-275.9</v>
      </c>
      <c r="K279" s="28">
        <f t="array" ref="K279">IF(ROW(K279)&lt;=COUNTA(E:E)*2,IF(MOD(ROW(K279),2)=1,INDEX(E:E,(ROW(K279)+1)/2),INDEX(G:G,ROW(K279)/2)),"")</f>
        <v>44.98</v>
      </c>
    </row>
    <row r="280" spans="1:11" x14ac:dyDescent="0.25">
      <c r="A280" s="25"/>
      <c r="B280" s="25"/>
      <c r="D280" s="26">
        <f t="shared" si="32"/>
        <v>-555.9</v>
      </c>
      <c r="E280" s="27">
        <f t="shared" si="33"/>
        <v>44.98</v>
      </c>
      <c r="F280" s="26">
        <f t="shared" si="34"/>
        <v>-557.9</v>
      </c>
      <c r="G280" s="27">
        <f t="shared" si="35"/>
        <v>44.98</v>
      </c>
      <c r="J280" s="28">
        <f t="array" ref="J280">IF(ROW(J280)&lt;=COUNTA(D:D)*2,IF(MOD(ROW(J280),2)=1,INDEX(D:D,(ROW(J280)+1)/2),INDEX(F:F,ROW(J280)/2)),"")</f>
        <v>-277.9</v>
      </c>
      <c r="K280" s="28">
        <f t="array" ref="K280">IF(ROW(K280)&lt;=COUNTA(E:E)*2,IF(MOD(ROW(K280),2)=1,INDEX(E:E,(ROW(K280)+1)/2),INDEX(G:G,ROW(K280)/2)),"")</f>
        <v>44.98</v>
      </c>
    </row>
    <row r="281" spans="1:11" x14ac:dyDescent="0.25">
      <c r="A281" s="25"/>
      <c r="B281" s="25"/>
      <c r="D281" s="26">
        <f t="shared" si="32"/>
        <v>-557.9</v>
      </c>
      <c r="E281" s="27">
        <f t="shared" si="33"/>
        <v>44.92</v>
      </c>
      <c r="F281" s="26">
        <f t="shared" si="34"/>
        <v>-559.9</v>
      </c>
      <c r="G281" s="27">
        <f t="shared" si="35"/>
        <v>44.92</v>
      </c>
      <c r="J281" s="28">
        <f t="array" ref="J281">IF(ROW(J281)&lt;=COUNTA(D:D)*2,IF(MOD(ROW(J281),2)=1,INDEX(D:D,(ROW(J281)+1)/2),INDEX(F:F,ROW(J281)/2)),"")</f>
        <v>-277.9</v>
      </c>
      <c r="K281" s="28">
        <f t="array" ref="K281">IF(ROW(K281)&lt;=COUNTA(E:E)*2,IF(MOD(ROW(K281),2)=1,INDEX(E:E,(ROW(K281)+1)/2),INDEX(G:G,ROW(K281)/2)),"")</f>
        <v>44.92</v>
      </c>
    </row>
    <row r="282" spans="1:11" x14ac:dyDescent="0.25">
      <c r="A282" s="25"/>
      <c r="B282" s="25"/>
      <c r="D282" s="26">
        <f t="shared" si="32"/>
        <v>-559.9</v>
      </c>
      <c r="E282" s="27">
        <f t="shared" si="33"/>
        <v>44.98</v>
      </c>
      <c r="F282" s="26">
        <f t="shared" si="34"/>
        <v>-561.9</v>
      </c>
      <c r="G282" s="27">
        <f t="shared" si="35"/>
        <v>44.98</v>
      </c>
      <c r="J282" s="28">
        <f t="array" ref="J282">IF(ROW(J282)&lt;=COUNTA(D:D)*2,IF(MOD(ROW(J282),2)=1,INDEX(D:D,(ROW(J282)+1)/2),INDEX(F:F,ROW(J282)/2)),"")</f>
        <v>-279.9</v>
      </c>
      <c r="K282" s="28">
        <f t="array" ref="K282">IF(ROW(K282)&lt;=COUNTA(E:E)*2,IF(MOD(ROW(K282),2)=1,INDEX(E:E,(ROW(K282)+1)/2),INDEX(G:G,ROW(K282)/2)),"")</f>
        <v>44.92</v>
      </c>
    </row>
    <row r="283" spans="1:11" x14ac:dyDescent="0.25">
      <c r="A283" s="25"/>
      <c r="B283" s="25"/>
      <c r="D283" s="26">
        <f t="shared" si="32"/>
        <v>-561.9</v>
      </c>
      <c r="E283" s="27">
        <f t="shared" si="33"/>
        <v>44.9</v>
      </c>
      <c r="F283" s="26">
        <f t="shared" si="34"/>
        <v>-563.9</v>
      </c>
      <c r="G283" s="27">
        <f t="shared" si="35"/>
        <v>44.9</v>
      </c>
      <c r="J283" s="28">
        <f t="array" ref="J283">IF(ROW(J283)&lt;=COUNTA(D:D)*2,IF(MOD(ROW(J283),2)=1,INDEX(D:D,(ROW(J283)+1)/2),INDEX(F:F,ROW(J283)/2)),"")</f>
        <v>-279.9</v>
      </c>
      <c r="K283" s="28">
        <f t="array" ref="K283">IF(ROW(K283)&lt;=COUNTA(E:E)*2,IF(MOD(ROW(K283),2)=1,INDEX(E:E,(ROW(K283)+1)/2),INDEX(G:G,ROW(K283)/2)),"")</f>
        <v>44.9</v>
      </c>
    </row>
    <row r="284" spans="1:11" x14ac:dyDescent="0.25">
      <c r="A284" s="25"/>
      <c r="B284" s="25"/>
      <c r="D284" s="26">
        <f t="shared" si="32"/>
        <v>-563.9</v>
      </c>
      <c r="E284" s="27">
        <f t="shared" si="33"/>
        <v>44.98</v>
      </c>
      <c r="F284" s="26">
        <f t="shared" si="34"/>
        <v>-565.9</v>
      </c>
      <c r="G284" s="27">
        <f t="shared" si="35"/>
        <v>44.98</v>
      </c>
      <c r="J284" s="28">
        <f t="array" ref="J284">IF(ROW(J284)&lt;=COUNTA(D:D)*2,IF(MOD(ROW(J284),2)=1,INDEX(D:D,(ROW(J284)+1)/2),INDEX(F:F,ROW(J284)/2)),"")</f>
        <v>-281.9</v>
      </c>
      <c r="K284" s="28">
        <f t="array" ref="K284">IF(ROW(K284)&lt;=COUNTA(E:E)*2,IF(MOD(ROW(K284),2)=1,INDEX(E:E,(ROW(K284)+1)/2),INDEX(G:G,ROW(K284)/2)),"")</f>
        <v>44.9</v>
      </c>
    </row>
    <row r="285" spans="1:11" x14ac:dyDescent="0.25">
      <c r="A285" s="25"/>
      <c r="B285" s="25"/>
      <c r="D285" s="26">
        <f t="shared" si="32"/>
        <v>-565.9</v>
      </c>
      <c r="E285" s="27">
        <f t="shared" si="33"/>
        <v>44.94</v>
      </c>
      <c r="F285" s="26">
        <f t="shared" si="34"/>
        <v>-567.9</v>
      </c>
      <c r="G285" s="27">
        <f t="shared" si="35"/>
        <v>44.94</v>
      </c>
      <c r="J285" s="28">
        <f t="array" ref="J285">IF(ROW(J285)&lt;=COUNTA(D:D)*2,IF(MOD(ROW(J285),2)=1,INDEX(D:D,(ROW(J285)+1)/2),INDEX(F:F,ROW(J285)/2)),"")</f>
        <v>-281.9</v>
      </c>
      <c r="K285" s="28">
        <f t="array" ref="K285">IF(ROW(K285)&lt;=COUNTA(E:E)*2,IF(MOD(ROW(K285),2)=1,INDEX(E:E,(ROW(K285)+1)/2),INDEX(G:G,ROW(K285)/2)),"")</f>
        <v>44.8</v>
      </c>
    </row>
    <row r="286" spans="1:11" x14ac:dyDescent="0.25">
      <c r="A286" s="25"/>
      <c r="B286" s="25"/>
      <c r="D286" s="26">
        <f t="shared" si="32"/>
        <v>-567.9</v>
      </c>
      <c r="E286" s="27">
        <f t="shared" si="33"/>
        <v>44.94</v>
      </c>
      <c r="F286" s="26">
        <f t="shared" si="34"/>
        <v>-569.9</v>
      </c>
      <c r="G286" s="27">
        <f t="shared" si="35"/>
        <v>44.94</v>
      </c>
      <c r="J286" s="28">
        <f t="array" ref="J286">IF(ROW(J286)&lt;=COUNTA(D:D)*2,IF(MOD(ROW(J286),2)=1,INDEX(D:D,(ROW(J286)+1)/2),INDEX(F:F,ROW(J286)/2)),"")</f>
        <v>-283.9</v>
      </c>
      <c r="K286" s="28">
        <f t="array" ref="K286">IF(ROW(K286)&lt;=COUNTA(E:E)*2,IF(MOD(ROW(K286),2)=1,INDEX(E:E,(ROW(K286)+1)/2),INDEX(G:G,ROW(K286)/2)),"")</f>
        <v>44.8</v>
      </c>
    </row>
    <row r="287" spans="1:11" x14ac:dyDescent="0.25">
      <c r="A287" s="25"/>
      <c r="B287" s="25"/>
      <c r="D287" s="26">
        <f t="shared" si="32"/>
        <v>-569.9</v>
      </c>
      <c r="E287" s="27">
        <f t="shared" si="33"/>
        <v>44.98</v>
      </c>
      <c r="F287" s="26">
        <f t="shared" si="34"/>
        <v>-571.9</v>
      </c>
      <c r="G287" s="27">
        <f t="shared" si="35"/>
        <v>44.98</v>
      </c>
      <c r="J287" s="28">
        <f t="array" ref="J287">IF(ROW(J287)&lt;=COUNTA(D:D)*2,IF(MOD(ROW(J287),2)=1,INDEX(D:D,(ROW(J287)+1)/2),INDEX(F:F,ROW(J287)/2)),"")</f>
        <v>-283.9</v>
      </c>
      <c r="K287" s="28">
        <f t="array" ref="K287">IF(ROW(K287)&lt;=COUNTA(E:E)*2,IF(MOD(ROW(K287),2)=1,INDEX(E:E,(ROW(K287)+1)/2),INDEX(G:G,ROW(K287)/2)),"")</f>
        <v>44.9</v>
      </c>
    </row>
    <row r="288" spans="1:11" x14ac:dyDescent="0.25">
      <c r="A288" s="25"/>
      <c r="B288" s="25"/>
      <c r="D288" s="26">
        <f t="shared" si="32"/>
        <v>-571.9</v>
      </c>
      <c r="E288" s="27">
        <f t="shared" si="33"/>
        <v>44.98</v>
      </c>
      <c r="F288" s="26">
        <f t="shared" si="34"/>
        <v>-573.9</v>
      </c>
      <c r="G288" s="27">
        <f t="shared" si="35"/>
        <v>44.98</v>
      </c>
      <c r="J288" s="28">
        <f t="array" ref="J288">IF(ROW(J288)&lt;=COUNTA(D:D)*2,IF(MOD(ROW(J288),2)=1,INDEX(D:D,(ROW(J288)+1)/2),INDEX(F:F,ROW(J288)/2)),"")</f>
        <v>-285.9</v>
      </c>
      <c r="K288" s="28">
        <f t="array" ref="K288">IF(ROW(K288)&lt;=COUNTA(E:E)*2,IF(MOD(ROW(K288),2)=1,INDEX(E:E,(ROW(K288)+1)/2),INDEX(G:G,ROW(K288)/2)),"")</f>
        <v>44.9</v>
      </c>
    </row>
    <row r="289" spans="1:11" x14ac:dyDescent="0.25">
      <c r="A289" s="25"/>
      <c r="B289" s="25"/>
      <c r="D289" s="26">
        <f t="shared" si="32"/>
        <v>-573.9</v>
      </c>
      <c r="E289" s="27">
        <f t="shared" si="33"/>
        <v>44.98</v>
      </c>
      <c r="F289" s="26">
        <f t="shared" si="34"/>
        <v>-575.9</v>
      </c>
      <c r="G289" s="27">
        <f t="shared" si="35"/>
        <v>44.98</v>
      </c>
      <c r="J289" s="28">
        <f t="array" ref="J289">IF(ROW(J289)&lt;=COUNTA(D:D)*2,IF(MOD(ROW(J289),2)=1,INDEX(D:D,(ROW(J289)+1)/2),INDEX(F:F,ROW(J289)/2)),"")</f>
        <v>-285.9</v>
      </c>
      <c r="K289" s="28">
        <f t="array" ref="K289">IF(ROW(K289)&lt;=COUNTA(E:E)*2,IF(MOD(ROW(K289),2)=1,INDEX(E:E,(ROW(K289)+1)/2),INDEX(G:G,ROW(K289)/2)),"")</f>
        <v>44.98</v>
      </c>
    </row>
    <row r="290" spans="1:11" x14ac:dyDescent="0.25">
      <c r="A290" s="25"/>
      <c r="B290" s="25"/>
      <c r="D290" s="26">
        <f t="shared" si="32"/>
        <v>-575.9</v>
      </c>
      <c r="E290" s="27">
        <f t="shared" si="33"/>
        <v>44.98</v>
      </c>
      <c r="F290" s="26">
        <f t="shared" si="34"/>
        <v>-577.9</v>
      </c>
      <c r="G290" s="27">
        <f t="shared" si="35"/>
        <v>44.98</v>
      </c>
      <c r="J290" s="28">
        <f t="array" ref="J290">IF(ROW(J290)&lt;=COUNTA(D:D)*2,IF(MOD(ROW(J290),2)=1,INDEX(D:D,(ROW(J290)+1)/2),INDEX(F:F,ROW(J290)/2)),"")</f>
        <v>-287.9</v>
      </c>
      <c r="K290" s="28">
        <f t="array" ref="K290">IF(ROW(K290)&lt;=COUNTA(E:E)*2,IF(MOD(ROW(K290),2)=1,INDEX(E:E,(ROW(K290)+1)/2),INDEX(G:G,ROW(K290)/2)),"")</f>
        <v>44.98</v>
      </c>
    </row>
    <row r="291" spans="1:11" x14ac:dyDescent="0.25">
      <c r="A291" s="25"/>
      <c r="B291" s="25"/>
      <c r="D291" s="26">
        <f t="shared" si="32"/>
        <v>-577.9</v>
      </c>
      <c r="E291" s="27">
        <f t="shared" si="33"/>
        <v>44.98</v>
      </c>
      <c r="F291" s="26">
        <f t="shared" si="34"/>
        <v>-579.9</v>
      </c>
      <c r="G291" s="27">
        <f t="shared" si="35"/>
        <v>44.98</v>
      </c>
      <c r="J291" s="28">
        <f t="array" ref="J291">IF(ROW(J291)&lt;=COUNTA(D:D)*2,IF(MOD(ROW(J291),2)=1,INDEX(D:D,(ROW(J291)+1)/2),INDEX(F:F,ROW(J291)/2)),"")</f>
        <v>-287.9</v>
      </c>
      <c r="K291" s="28">
        <f t="array" ref="K291">IF(ROW(K291)&lt;=COUNTA(E:E)*2,IF(MOD(ROW(K291),2)=1,INDEX(E:E,(ROW(K291)+1)/2),INDEX(G:G,ROW(K291)/2)),"")</f>
        <v>44.94</v>
      </c>
    </row>
    <row r="292" spans="1:11" x14ac:dyDescent="0.25">
      <c r="A292" s="25"/>
      <c r="B292" s="25"/>
      <c r="D292" s="26">
        <f t="shared" ref="D292:D323" si="36">0-A291</f>
        <v>-579.9</v>
      </c>
      <c r="E292" s="27">
        <f t="shared" ref="E292:E323" si="37">41+(B292/100)*4</f>
        <v>44.92</v>
      </c>
      <c r="F292" s="26">
        <f t="shared" ref="F292:F323" si="38">0-A292</f>
        <v>-581.9</v>
      </c>
      <c r="G292" s="27">
        <f t="shared" ref="G292:G323" si="39">41+(B292/100)*4</f>
        <v>44.92</v>
      </c>
      <c r="J292" s="28">
        <f t="array" ref="J292">IF(ROW(J292)&lt;=COUNTA(D:D)*2,IF(MOD(ROW(J292),2)=1,INDEX(D:D,(ROW(J292)+1)/2),INDEX(F:F,ROW(J292)/2)),"")</f>
        <v>-289.9</v>
      </c>
      <c r="K292" s="28">
        <f t="array" ref="K292">IF(ROW(K292)&lt;=COUNTA(E:E)*2,IF(MOD(ROW(K292),2)=1,INDEX(E:E,(ROW(K292)+1)/2),INDEX(G:G,ROW(K292)/2)),"")</f>
        <v>44.94</v>
      </c>
    </row>
    <row r="293" spans="1:11" x14ac:dyDescent="0.25">
      <c r="A293" s="25"/>
      <c r="B293" s="25"/>
      <c r="D293" s="26">
        <f t="shared" si="36"/>
        <v>-581.9</v>
      </c>
      <c r="E293" s="27">
        <f t="shared" si="37"/>
        <v>44.92</v>
      </c>
      <c r="F293" s="26">
        <f t="shared" si="38"/>
        <v>-583.9</v>
      </c>
      <c r="G293" s="27">
        <f t="shared" si="39"/>
        <v>44.92</v>
      </c>
      <c r="J293" s="28">
        <f t="array" ref="J293">IF(ROW(J293)&lt;=COUNTA(D:D)*2,IF(MOD(ROW(J293),2)=1,INDEX(D:D,(ROW(J293)+1)/2),INDEX(F:F,ROW(J293)/2)),"")</f>
        <v>-289.9</v>
      </c>
      <c r="K293" s="28">
        <f t="array" ref="K293">IF(ROW(K293)&lt;=COUNTA(E:E)*2,IF(MOD(ROW(K293),2)=1,INDEX(E:E,(ROW(K293)+1)/2),INDEX(G:G,ROW(K293)/2)),"")</f>
        <v>44.92</v>
      </c>
    </row>
    <row r="294" spans="1:11" x14ac:dyDescent="0.25">
      <c r="A294" s="25"/>
      <c r="B294" s="25"/>
      <c r="D294" s="26">
        <f t="shared" si="36"/>
        <v>-583.9</v>
      </c>
      <c r="E294" s="27">
        <f t="shared" si="37"/>
        <v>44.98</v>
      </c>
      <c r="F294" s="26">
        <f t="shared" si="38"/>
        <v>-585.9</v>
      </c>
      <c r="G294" s="27">
        <f t="shared" si="39"/>
        <v>44.98</v>
      </c>
      <c r="J294" s="28">
        <f t="array" ref="J294">IF(ROW(J294)&lt;=COUNTA(D:D)*2,IF(MOD(ROW(J294),2)=1,INDEX(D:D,(ROW(J294)+1)/2),INDEX(F:F,ROW(J294)/2)),"")</f>
        <v>-291.9</v>
      </c>
      <c r="K294" s="28">
        <f t="array" ref="K294">IF(ROW(K294)&lt;=COUNTA(E:E)*2,IF(MOD(ROW(K294),2)=1,INDEX(E:E,(ROW(K294)+1)/2),INDEX(G:G,ROW(K294)/2)),"")</f>
        <v>44.92</v>
      </c>
    </row>
    <row r="295" spans="1:11" x14ac:dyDescent="0.25">
      <c r="A295" s="25"/>
      <c r="B295" s="25"/>
      <c r="D295" s="26">
        <f t="shared" si="36"/>
        <v>-585.9</v>
      </c>
      <c r="E295" s="27">
        <f t="shared" si="37"/>
        <v>44.98</v>
      </c>
      <c r="F295" s="26">
        <f t="shared" si="38"/>
        <v>-587.9</v>
      </c>
      <c r="G295" s="27">
        <f t="shared" si="39"/>
        <v>44.98</v>
      </c>
      <c r="J295" s="28">
        <f t="array" ref="J295">IF(ROW(J295)&lt;=COUNTA(D:D)*2,IF(MOD(ROW(J295),2)=1,INDEX(D:D,(ROW(J295)+1)/2),INDEX(F:F,ROW(J295)/2)),"")</f>
        <v>-291.9</v>
      </c>
      <c r="K295" s="28">
        <f t="array" ref="K295">IF(ROW(K295)&lt;=COUNTA(E:E)*2,IF(MOD(ROW(K295),2)=1,INDEX(E:E,(ROW(K295)+1)/2),INDEX(G:G,ROW(K295)/2)),"")</f>
        <v>44.94</v>
      </c>
    </row>
    <row r="296" spans="1:11" x14ac:dyDescent="0.25">
      <c r="A296" s="25"/>
      <c r="B296" s="25"/>
      <c r="D296" s="26">
        <f t="shared" si="36"/>
        <v>-587.9</v>
      </c>
      <c r="E296" s="27">
        <f t="shared" si="37"/>
        <v>44.98</v>
      </c>
      <c r="F296" s="26">
        <f t="shared" si="38"/>
        <v>-589.9</v>
      </c>
      <c r="G296" s="27">
        <f t="shared" si="39"/>
        <v>44.98</v>
      </c>
      <c r="J296" s="28">
        <f t="array" ref="J296">IF(ROW(J296)&lt;=COUNTA(D:D)*2,IF(MOD(ROW(J296),2)=1,INDEX(D:D,(ROW(J296)+1)/2),INDEX(F:F,ROW(J296)/2)),"")</f>
        <v>-293.9</v>
      </c>
      <c r="K296" s="28">
        <f t="array" ref="K296">IF(ROW(K296)&lt;=COUNTA(E:E)*2,IF(MOD(ROW(K296),2)=1,INDEX(E:E,(ROW(K296)+1)/2),INDEX(G:G,ROW(K296)/2)),"")</f>
        <v>44.94</v>
      </c>
    </row>
    <row r="297" spans="1:11" x14ac:dyDescent="0.25">
      <c r="A297" s="25"/>
      <c r="B297" s="25"/>
      <c r="D297" s="26">
        <f t="shared" si="36"/>
        <v>-589.9</v>
      </c>
      <c r="E297" s="27">
        <f t="shared" si="37"/>
        <v>44.98</v>
      </c>
      <c r="F297" s="26">
        <f t="shared" si="38"/>
        <v>-591.9</v>
      </c>
      <c r="G297" s="27">
        <f t="shared" si="39"/>
        <v>44.98</v>
      </c>
      <c r="J297" s="28">
        <f t="array" ref="J297">IF(ROW(J297)&lt;=COUNTA(D:D)*2,IF(MOD(ROW(J297),2)=1,INDEX(D:D,(ROW(J297)+1)/2),INDEX(F:F,ROW(J297)/2)),"")</f>
        <v>-293.9</v>
      </c>
      <c r="K297" s="28">
        <f t="array" ref="K297">IF(ROW(K297)&lt;=COUNTA(E:E)*2,IF(MOD(ROW(K297),2)=1,INDEX(E:E,(ROW(K297)+1)/2),INDEX(G:G,ROW(K297)/2)),"")</f>
        <v>44.96</v>
      </c>
    </row>
    <row r="298" spans="1:11" x14ac:dyDescent="0.25">
      <c r="A298" s="25"/>
      <c r="B298" s="25"/>
      <c r="D298" s="26">
        <f t="shared" si="36"/>
        <v>-591.9</v>
      </c>
      <c r="E298" s="27">
        <f t="shared" si="37"/>
        <v>44.9</v>
      </c>
      <c r="F298" s="26">
        <f t="shared" si="38"/>
        <v>-593.9</v>
      </c>
      <c r="G298" s="27">
        <f t="shared" si="39"/>
        <v>44.9</v>
      </c>
      <c r="J298" s="28">
        <f t="array" ref="J298">IF(ROW(J298)&lt;=COUNTA(D:D)*2,IF(MOD(ROW(J298),2)=1,INDEX(D:D,(ROW(J298)+1)/2),INDEX(F:F,ROW(J298)/2)),"")</f>
        <v>-295.9</v>
      </c>
      <c r="K298" s="28">
        <f t="array" ref="K298">IF(ROW(K298)&lt;=COUNTA(E:E)*2,IF(MOD(ROW(K298),2)=1,INDEX(E:E,(ROW(K298)+1)/2),INDEX(G:G,ROW(K298)/2)),"")</f>
        <v>44.96</v>
      </c>
    </row>
    <row r="299" spans="1:11" x14ac:dyDescent="0.25">
      <c r="A299" s="25"/>
      <c r="B299" s="25"/>
      <c r="D299" s="26">
        <f t="shared" si="36"/>
        <v>-593.9</v>
      </c>
      <c r="E299" s="27">
        <f t="shared" si="37"/>
        <v>44.98</v>
      </c>
      <c r="F299" s="26">
        <f t="shared" si="38"/>
        <v>-595.9</v>
      </c>
      <c r="G299" s="27">
        <f t="shared" si="39"/>
        <v>44.98</v>
      </c>
      <c r="J299" s="28">
        <f t="array" ref="J299">IF(ROW(J299)&lt;=COUNTA(D:D)*2,IF(MOD(ROW(J299),2)=1,INDEX(D:D,(ROW(J299)+1)/2),INDEX(F:F,ROW(J299)/2)),"")</f>
        <v>-295.9</v>
      </c>
      <c r="K299" s="28">
        <f t="array" ref="K299">IF(ROW(K299)&lt;=COUNTA(E:E)*2,IF(MOD(ROW(K299),2)=1,INDEX(E:E,(ROW(K299)+1)/2),INDEX(G:G,ROW(K299)/2)),"")</f>
        <v>44.96</v>
      </c>
    </row>
    <row r="300" spans="1:11" x14ac:dyDescent="0.25">
      <c r="A300" s="25"/>
      <c r="B300" s="25"/>
      <c r="D300" s="26">
        <f t="shared" si="36"/>
        <v>-595.9</v>
      </c>
      <c r="E300" s="27">
        <f t="shared" si="37"/>
        <v>44.98</v>
      </c>
      <c r="F300" s="26">
        <f t="shared" si="38"/>
        <v>-597.9</v>
      </c>
      <c r="G300" s="27">
        <f t="shared" si="39"/>
        <v>44.98</v>
      </c>
      <c r="J300" s="28">
        <f t="array" ref="J300">IF(ROW(J300)&lt;=COUNTA(D:D)*2,IF(MOD(ROW(J300),2)=1,INDEX(D:D,(ROW(J300)+1)/2),INDEX(F:F,ROW(J300)/2)),"")</f>
        <v>-297.9</v>
      </c>
      <c r="K300" s="28">
        <f t="array" ref="K300">IF(ROW(K300)&lt;=COUNTA(E:E)*2,IF(MOD(ROW(K300),2)=1,INDEX(E:E,(ROW(K300)+1)/2),INDEX(G:G,ROW(K300)/2)),"")</f>
        <v>44.96</v>
      </c>
    </row>
    <row r="301" spans="1:11" x14ac:dyDescent="0.25">
      <c r="A301" s="25"/>
      <c r="B301" s="25"/>
      <c r="D301" s="26">
        <f t="shared" si="36"/>
        <v>-597.9</v>
      </c>
      <c r="E301" s="27">
        <f t="shared" si="37"/>
        <v>44.94</v>
      </c>
      <c r="F301" s="26">
        <f t="shared" si="38"/>
        <v>-599.9</v>
      </c>
      <c r="G301" s="27">
        <f t="shared" si="39"/>
        <v>44.94</v>
      </c>
      <c r="J301" s="28">
        <f t="array" ref="J301">IF(ROW(J301)&lt;=COUNTA(D:D)*2,IF(MOD(ROW(J301),2)=1,INDEX(D:D,(ROW(J301)+1)/2),INDEX(F:F,ROW(J301)/2)),"")</f>
        <v>-297.9</v>
      </c>
      <c r="K301" s="28">
        <f t="array" ref="K301">IF(ROW(K301)&lt;=COUNTA(E:E)*2,IF(MOD(ROW(K301),2)=1,INDEX(E:E,(ROW(K301)+1)/2),INDEX(G:G,ROW(K301)/2)),"")</f>
        <v>44.98</v>
      </c>
    </row>
    <row r="302" spans="1:11" x14ac:dyDescent="0.25">
      <c r="A302" s="25"/>
      <c r="B302" s="25"/>
      <c r="D302" s="26">
        <f t="shared" si="36"/>
        <v>-599.9</v>
      </c>
      <c r="E302" s="27">
        <f t="shared" si="37"/>
        <v>44.8</v>
      </c>
      <c r="F302" s="26">
        <f t="shared" si="38"/>
        <v>-601.9</v>
      </c>
      <c r="G302" s="27">
        <f t="shared" si="39"/>
        <v>44.8</v>
      </c>
      <c r="J302" s="28">
        <f t="array" ref="J302">IF(ROW(J302)&lt;=COUNTA(D:D)*2,IF(MOD(ROW(J302),2)=1,INDEX(D:D,(ROW(J302)+1)/2),INDEX(F:F,ROW(J302)/2)),"")</f>
        <v>-299.9</v>
      </c>
      <c r="K302" s="28">
        <f t="array" ref="K302">IF(ROW(K302)&lt;=COUNTA(E:E)*2,IF(MOD(ROW(K302),2)=1,INDEX(E:E,(ROW(K302)+1)/2),INDEX(G:G,ROW(K302)/2)),"")</f>
        <v>44.98</v>
      </c>
    </row>
    <row r="303" spans="1:11" x14ac:dyDescent="0.25">
      <c r="A303" s="25"/>
      <c r="B303" s="25"/>
      <c r="D303" s="26">
        <f t="shared" si="36"/>
        <v>-601.9</v>
      </c>
      <c r="E303" s="27">
        <f t="shared" si="37"/>
        <v>44.82</v>
      </c>
      <c r="F303" s="26">
        <f t="shared" si="38"/>
        <v>-603.9</v>
      </c>
      <c r="G303" s="27">
        <f t="shared" si="39"/>
        <v>44.82</v>
      </c>
      <c r="J303" s="28">
        <f t="array" ref="J303">IF(ROW(J303)&lt;=COUNTA(D:D)*2,IF(MOD(ROW(J303),2)=1,INDEX(D:D,(ROW(J303)+1)/2),INDEX(F:F,ROW(J303)/2)),"")</f>
        <v>-299.9</v>
      </c>
      <c r="K303" s="28">
        <f t="array" ref="K303">IF(ROW(K303)&lt;=COUNTA(E:E)*2,IF(MOD(ROW(K303),2)=1,INDEX(E:E,(ROW(K303)+1)/2),INDEX(G:G,ROW(K303)/2)),"")</f>
        <v>44.92</v>
      </c>
    </row>
    <row r="304" spans="1:11" x14ac:dyDescent="0.25">
      <c r="A304" s="25"/>
      <c r="B304" s="25"/>
      <c r="D304" s="26">
        <f t="shared" si="36"/>
        <v>-603.9</v>
      </c>
      <c r="E304" s="27">
        <f t="shared" si="37"/>
        <v>44.96</v>
      </c>
      <c r="F304" s="26">
        <f t="shared" si="38"/>
        <v>-605.9</v>
      </c>
      <c r="G304" s="27">
        <f t="shared" si="39"/>
        <v>44.96</v>
      </c>
      <c r="J304" s="28">
        <f t="array" ref="J304">IF(ROW(J304)&lt;=COUNTA(D:D)*2,IF(MOD(ROW(J304),2)=1,INDEX(D:D,(ROW(J304)+1)/2),INDEX(F:F,ROW(J304)/2)),"")</f>
        <v>-301.9</v>
      </c>
      <c r="K304" s="28">
        <f t="array" ref="K304">IF(ROW(K304)&lt;=COUNTA(E:E)*2,IF(MOD(ROW(K304),2)=1,INDEX(E:E,(ROW(K304)+1)/2),INDEX(G:G,ROW(K304)/2)),"")</f>
        <v>44.92</v>
      </c>
    </row>
    <row r="305" spans="1:11" x14ac:dyDescent="0.25">
      <c r="A305" s="25"/>
      <c r="B305" s="25"/>
      <c r="D305" s="26">
        <f t="shared" si="36"/>
        <v>-605.9</v>
      </c>
      <c r="E305" s="27">
        <f t="shared" si="37"/>
        <v>44.98</v>
      </c>
      <c r="F305" s="26">
        <f t="shared" si="38"/>
        <v>-607.9</v>
      </c>
      <c r="G305" s="27">
        <f t="shared" si="39"/>
        <v>44.98</v>
      </c>
      <c r="J305" s="28">
        <f t="array" ref="J305">IF(ROW(J305)&lt;=COUNTA(D:D)*2,IF(MOD(ROW(J305),2)=1,INDEX(D:D,(ROW(J305)+1)/2),INDEX(F:F,ROW(J305)/2)),"")</f>
        <v>-301.9</v>
      </c>
      <c r="K305" s="28">
        <f t="array" ref="K305">IF(ROW(K305)&lt;=COUNTA(E:E)*2,IF(MOD(ROW(K305),2)=1,INDEX(E:E,(ROW(K305)+1)/2),INDEX(G:G,ROW(K305)/2)),"")</f>
        <v>44.96</v>
      </c>
    </row>
    <row r="306" spans="1:11" x14ac:dyDescent="0.25">
      <c r="A306" s="25"/>
      <c r="B306" s="25"/>
      <c r="D306" s="26">
        <f t="shared" si="36"/>
        <v>-607.9</v>
      </c>
      <c r="E306" s="27">
        <f t="shared" si="37"/>
        <v>44.96</v>
      </c>
      <c r="F306" s="26">
        <f t="shared" si="38"/>
        <v>-609.9</v>
      </c>
      <c r="G306" s="27">
        <f t="shared" si="39"/>
        <v>44.96</v>
      </c>
      <c r="J306" s="28">
        <f t="array" ref="J306">IF(ROW(J306)&lt;=COUNTA(D:D)*2,IF(MOD(ROW(J306),2)=1,INDEX(D:D,(ROW(J306)+1)/2),INDEX(F:F,ROW(J306)/2)),"")</f>
        <v>-303.9</v>
      </c>
      <c r="K306" s="28">
        <f t="array" ref="K306">IF(ROW(K306)&lt;=COUNTA(E:E)*2,IF(MOD(ROW(K306),2)=1,INDEX(E:E,(ROW(K306)+1)/2),INDEX(G:G,ROW(K306)/2)),"")</f>
        <v>44.96</v>
      </c>
    </row>
    <row r="307" spans="1:11" x14ac:dyDescent="0.25">
      <c r="A307" s="25"/>
      <c r="B307" s="25"/>
      <c r="D307" s="26">
        <f t="shared" si="36"/>
        <v>-609.9</v>
      </c>
      <c r="E307" s="27">
        <f t="shared" si="37"/>
        <v>44.98</v>
      </c>
      <c r="F307" s="26">
        <f t="shared" si="38"/>
        <v>-611.9</v>
      </c>
      <c r="G307" s="27">
        <f t="shared" si="39"/>
        <v>44.98</v>
      </c>
      <c r="J307" s="28">
        <f t="array" ref="J307">IF(ROW(J307)&lt;=COUNTA(D:D)*2,IF(MOD(ROW(J307),2)=1,INDEX(D:D,(ROW(J307)+1)/2),INDEX(F:F,ROW(J307)/2)),"")</f>
        <v>-303.9</v>
      </c>
      <c r="K307" s="28">
        <f t="array" ref="K307">IF(ROW(K307)&lt;=COUNTA(E:E)*2,IF(MOD(ROW(K307),2)=1,INDEX(E:E,(ROW(K307)+1)/2),INDEX(G:G,ROW(K307)/2)),"")</f>
        <v>44.86</v>
      </c>
    </row>
    <row r="308" spans="1:11" x14ac:dyDescent="0.25">
      <c r="A308" s="25"/>
      <c r="B308" s="25"/>
      <c r="D308" s="26">
        <f t="shared" si="36"/>
        <v>-611.9</v>
      </c>
      <c r="E308" s="27">
        <f t="shared" si="37"/>
        <v>44.84</v>
      </c>
      <c r="F308" s="26">
        <f t="shared" si="38"/>
        <v>-613.9</v>
      </c>
      <c r="G308" s="27">
        <f t="shared" si="39"/>
        <v>44.84</v>
      </c>
      <c r="J308" s="28">
        <f t="array" ref="J308">IF(ROW(J308)&lt;=COUNTA(D:D)*2,IF(MOD(ROW(J308),2)=1,INDEX(D:D,(ROW(J308)+1)/2),INDEX(F:F,ROW(J308)/2)),"")</f>
        <v>-305.9</v>
      </c>
      <c r="K308" s="28">
        <f t="array" ref="K308">IF(ROW(K308)&lt;=COUNTA(E:E)*2,IF(MOD(ROW(K308),2)=1,INDEX(E:E,(ROW(K308)+1)/2),INDEX(G:G,ROW(K308)/2)),"")</f>
        <v>44.86</v>
      </c>
    </row>
    <row r="309" spans="1:11" x14ac:dyDescent="0.25">
      <c r="A309" s="25"/>
      <c r="B309" s="25"/>
      <c r="D309" s="26">
        <f t="shared" si="36"/>
        <v>-613.9</v>
      </c>
      <c r="E309" s="27">
        <f t="shared" si="37"/>
        <v>44.98</v>
      </c>
      <c r="F309" s="26">
        <f t="shared" si="38"/>
        <v>-615.9</v>
      </c>
      <c r="G309" s="27">
        <f t="shared" si="39"/>
        <v>44.98</v>
      </c>
      <c r="J309" s="28">
        <f t="array" ref="J309">IF(ROW(J309)&lt;=COUNTA(D:D)*2,IF(MOD(ROW(J309),2)=1,INDEX(D:D,(ROW(J309)+1)/2),INDEX(F:F,ROW(J309)/2)),"")</f>
        <v>-305.9</v>
      </c>
      <c r="K309" s="28">
        <f t="array" ref="K309">IF(ROW(K309)&lt;=COUNTA(E:E)*2,IF(MOD(ROW(K309),2)=1,INDEX(E:E,(ROW(K309)+1)/2),INDEX(G:G,ROW(K309)/2)),"")</f>
        <v>44.98</v>
      </c>
    </row>
    <row r="310" spans="1:11" x14ac:dyDescent="0.25">
      <c r="A310" s="25"/>
      <c r="B310" s="25"/>
      <c r="D310" s="26">
        <f t="shared" si="36"/>
        <v>-615.9</v>
      </c>
      <c r="E310" s="27">
        <f t="shared" si="37"/>
        <v>44.9</v>
      </c>
      <c r="F310" s="26">
        <f t="shared" si="38"/>
        <v>-617.9</v>
      </c>
      <c r="G310" s="27">
        <f t="shared" si="39"/>
        <v>44.9</v>
      </c>
      <c r="J310" s="28">
        <f t="array" ref="J310">IF(ROW(J310)&lt;=COUNTA(D:D)*2,IF(MOD(ROW(J310),2)=1,INDEX(D:D,(ROW(J310)+1)/2),INDEX(F:F,ROW(J310)/2)),"")</f>
        <v>-307.9</v>
      </c>
      <c r="K310" s="28">
        <f t="array" ref="K310">IF(ROW(K310)&lt;=COUNTA(E:E)*2,IF(MOD(ROW(K310),2)=1,INDEX(E:E,(ROW(K310)+1)/2),INDEX(G:G,ROW(K310)/2)),"")</f>
        <v>44.98</v>
      </c>
    </row>
    <row r="311" spans="1:11" x14ac:dyDescent="0.25">
      <c r="A311" s="25"/>
      <c r="B311" s="25"/>
      <c r="D311" s="26">
        <f t="shared" si="36"/>
        <v>-617.9</v>
      </c>
      <c r="E311" s="27">
        <f t="shared" si="37"/>
        <v>44.96</v>
      </c>
      <c r="F311" s="26">
        <f t="shared" si="38"/>
        <v>-619.9</v>
      </c>
      <c r="G311" s="27">
        <f t="shared" si="39"/>
        <v>44.96</v>
      </c>
      <c r="J311" s="28">
        <f t="array" ref="J311">IF(ROW(J311)&lt;=COUNTA(D:D)*2,IF(MOD(ROW(J311),2)=1,INDEX(D:D,(ROW(J311)+1)/2),INDEX(F:F,ROW(J311)/2)),"")</f>
        <v>-307.9</v>
      </c>
      <c r="K311" s="28">
        <f t="array" ref="K311">IF(ROW(K311)&lt;=COUNTA(E:E)*2,IF(MOD(ROW(K311),2)=1,INDEX(E:E,(ROW(K311)+1)/2),INDEX(G:G,ROW(K311)/2)),"")</f>
        <v>44.98</v>
      </c>
    </row>
    <row r="312" spans="1:11" x14ac:dyDescent="0.25">
      <c r="A312" s="25"/>
      <c r="B312" s="25"/>
      <c r="D312" s="26">
        <f t="shared" si="36"/>
        <v>-619.9</v>
      </c>
      <c r="E312" s="27">
        <f t="shared" si="37"/>
        <v>44.9</v>
      </c>
      <c r="F312" s="26">
        <f t="shared" si="38"/>
        <v>-621.9</v>
      </c>
      <c r="G312" s="27">
        <f t="shared" si="39"/>
        <v>44.9</v>
      </c>
      <c r="J312" s="28">
        <f t="array" ref="J312">IF(ROW(J312)&lt;=COUNTA(D:D)*2,IF(MOD(ROW(J312),2)=1,INDEX(D:D,(ROW(J312)+1)/2),INDEX(F:F,ROW(J312)/2)),"")</f>
        <v>-309.9</v>
      </c>
      <c r="K312" s="28">
        <f t="array" ref="K312">IF(ROW(K312)&lt;=COUNTA(E:E)*2,IF(MOD(ROW(K312),2)=1,INDEX(E:E,(ROW(K312)+1)/2),INDEX(G:G,ROW(K312)/2)),"")</f>
        <v>44.98</v>
      </c>
    </row>
    <row r="313" spans="1:11" x14ac:dyDescent="0.25">
      <c r="A313" s="25"/>
      <c r="B313" s="25"/>
      <c r="D313" s="26">
        <f t="shared" si="36"/>
        <v>-621.9</v>
      </c>
      <c r="E313" s="27">
        <f t="shared" si="37"/>
        <v>44.98</v>
      </c>
      <c r="F313" s="26">
        <f t="shared" si="38"/>
        <v>-623.9</v>
      </c>
      <c r="G313" s="27">
        <f t="shared" si="39"/>
        <v>44.98</v>
      </c>
      <c r="J313" s="28">
        <f t="array" ref="J313">IF(ROW(J313)&lt;=COUNTA(D:D)*2,IF(MOD(ROW(J313),2)=1,INDEX(D:D,(ROW(J313)+1)/2),INDEX(F:F,ROW(J313)/2)),"")</f>
        <v>-309.9</v>
      </c>
      <c r="K313" s="28">
        <f t="array" ref="K313">IF(ROW(K313)&lt;=COUNTA(E:E)*2,IF(MOD(ROW(K313),2)=1,INDEX(E:E,(ROW(K313)+1)/2),INDEX(G:G,ROW(K313)/2)),"")</f>
        <v>44.94</v>
      </c>
    </row>
    <row r="314" spans="1:11" x14ac:dyDescent="0.25">
      <c r="A314" s="25"/>
      <c r="B314" s="25"/>
      <c r="D314" s="26">
        <f t="shared" si="36"/>
        <v>-623.9</v>
      </c>
      <c r="E314" s="27">
        <f t="shared" si="37"/>
        <v>44.98</v>
      </c>
      <c r="F314" s="26">
        <f t="shared" si="38"/>
        <v>-625.9</v>
      </c>
      <c r="G314" s="27">
        <f t="shared" si="39"/>
        <v>44.98</v>
      </c>
      <c r="J314" s="28">
        <f t="array" ref="J314">IF(ROW(J314)&lt;=COUNTA(D:D)*2,IF(MOD(ROW(J314),2)=1,INDEX(D:D,(ROW(J314)+1)/2),INDEX(F:F,ROW(J314)/2)),"")</f>
        <v>-311.9</v>
      </c>
      <c r="K314" s="28">
        <f t="array" ref="K314">IF(ROW(K314)&lt;=COUNTA(E:E)*2,IF(MOD(ROW(K314),2)=1,INDEX(E:E,(ROW(K314)+1)/2),INDEX(G:G,ROW(K314)/2)),"")</f>
        <v>44.94</v>
      </c>
    </row>
    <row r="315" spans="1:11" x14ac:dyDescent="0.25">
      <c r="A315" s="25"/>
      <c r="B315" s="25"/>
      <c r="D315" s="26">
        <f t="shared" si="36"/>
        <v>-625.9</v>
      </c>
      <c r="E315" s="27">
        <f t="shared" si="37"/>
        <v>44.98</v>
      </c>
      <c r="F315" s="26">
        <f t="shared" si="38"/>
        <v>-627.9</v>
      </c>
      <c r="G315" s="27">
        <f t="shared" si="39"/>
        <v>44.98</v>
      </c>
      <c r="J315" s="28">
        <f t="array" ref="J315">IF(ROW(J315)&lt;=COUNTA(D:D)*2,IF(MOD(ROW(J315),2)=1,INDEX(D:D,(ROW(J315)+1)/2),INDEX(F:F,ROW(J315)/2)),"")</f>
        <v>-311.9</v>
      </c>
      <c r="K315" s="28">
        <f t="array" ref="K315">IF(ROW(K315)&lt;=COUNTA(E:E)*2,IF(MOD(ROW(K315),2)=1,INDEX(E:E,(ROW(K315)+1)/2),INDEX(G:G,ROW(K315)/2)),"")</f>
        <v>44.88</v>
      </c>
    </row>
    <row r="316" spans="1:11" x14ac:dyDescent="0.25">
      <c r="A316" s="25"/>
      <c r="B316" s="25"/>
      <c r="D316" s="26">
        <f t="shared" si="36"/>
        <v>-627.9</v>
      </c>
      <c r="E316" s="27">
        <f t="shared" si="37"/>
        <v>44.92</v>
      </c>
      <c r="F316" s="26">
        <f t="shared" si="38"/>
        <v>-629.9</v>
      </c>
      <c r="G316" s="27">
        <f t="shared" si="39"/>
        <v>44.92</v>
      </c>
      <c r="J316" s="28">
        <f t="array" ref="J316">IF(ROW(J316)&lt;=COUNTA(D:D)*2,IF(MOD(ROW(J316),2)=1,INDEX(D:D,(ROW(J316)+1)/2),INDEX(F:F,ROW(J316)/2)),"")</f>
        <v>-313.9</v>
      </c>
      <c r="K316" s="28">
        <f t="array" ref="K316">IF(ROW(K316)&lt;=COUNTA(E:E)*2,IF(MOD(ROW(K316),2)=1,INDEX(E:E,(ROW(K316)+1)/2),INDEX(G:G,ROW(K316)/2)),"")</f>
        <v>44.88</v>
      </c>
    </row>
    <row r="317" spans="1:11" x14ac:dyDescent="0.25">
      <c r="A317" s="25"/>
      <c r="B317" s="25"/>
      <c r="D317" s="26">
        <f t="shared" si="36"/>
        <v>-629.9</v>
      </c>
      <c r="E317" s="27">
        <f t="shared" si="37"/>
        <v>44.96</v>
      </c>
      <c r="F317" s="26">
        <f t="shared" si="38"/>
        <v>-631.9</v>
      </c>
      <c r="G317" s="27">
        <f t="shared" si="39"/>
        <v>44.96</v>
      </c>
      <c r="J317" s="28">
        <f t="array" ref="J317">IF(ROW(J317)&lt;=COUNTA(D:D)*2,IF(MOD(ROW(J317),2)=1,INDEX(D:D,(ROW(J317)+1)/2),INDEX(F:F,ROW(J317)/2)),"")</f>
        <v>-313.9</v>
      </c>
      <c r="K317" s="28">
        <f t="array" ref="K317">IF(ROW(K317)&lt;=COUNTA(E:E)*2,IF(MOD(ROW(K317),2)=1,INDEX(E:E,(ROW(K317)+1)/2),INDEX(G:G,ROW(K317)/2)),"")</f>
        <v>44.9</v>
      </c>
    </row>
    <row r="318" spans="1:11" x14ac:dyDescent="0.25">
      <c r="A318" s="25"/>
      <c r="B318" s="25"/>
      <c r="D318" s="26">
        <f t="shared" si="36"/>
        <v>-631.9</v>
      </c>
      <c r="E318" s="27">
        <f t="shared" si="37"/>
        <v>44.92</v>
      </c>
      <c r="F318" s="26">
        <f t="shared" si="38"/>
        <v>-633.9</v>
      </c>
      <c r="G318" s="27">
        <f t="shared" si="39"/>
        <v>44.92</v>
      </c>
      <c r="J318" s="28">
        <f t="array" ref="J318">IF(ROW(J318)&lt;=COUNTA(D:D)*2,IF(MOD(ROW(J318),2)=1,INDEX(D:D,(ROW(J318)+1)/2),INDEX(F:F,ROW(J318)/2)),"")</f>
        <v>-315.9</v>
      </c>
      <c r="K318" s="28">
        <f t="array" ref="K318">IF(ROW(K318)&lt;=COUNTA(E:E)*2,IF(MOD(ROW(K318),2)=1,INDEX(E:E,(ROW(K318)+1)/2),INDEX(G:G,ROW(K318)/2)),"")</f>
        <v>44.9</v>
      </c>
    </row>
    <row r="319" spans="1:11" x14ac:dyDescent="0.25">
      <c r="A319" s="25"/>
      <c r="B319" s="25"/>
      <c r="D319" s="26">
        <f t="shared" si="36"/>
        <v>-633.9</v>
      </c>
      <c r="E319" s="27">
        <f t="shared" si="37"/>
        <v>44.98</v>
      </c>
      <c r="F319" s="26">
        <f t="shared" si="38"/>
        <v>-635.9</v>
      </c>
      <c r="G319" s="27">
        <f t="shared" si="39"/>
        <v>44.98</v>
      </c>
      <c r="J319" s="28">
        <f t="array" ref="J319">IF(ROW(J319)&lt;=COUNTA(D:D)*2,IF(MOD(ROW(J319),2)=1,INDEX(D:D,(ROW(J319)+1)/2),INDEX(F:F,ROW(J319)/2)),"")</f>
        <v>-315.9</v>
      </c>
      <c r="K319" s="28">
        <f t="array" ref="K319">IF(ROW(K319)&lt;=COUNTA(E:E)*2,IF(MOD(ROW(K319),2)=1,INDEX(E:E,(ROW(K319)+1)/2),INDEX(G:G,ROW(K319)/2)),"")</f>
        <v>44.94</v>
      </c>
    </row>
    <row r="320" spans="1:11" x14ac:dyDescent="0.25">
      <c r="A320" s="25"/>
      <c r="B320" s="25"/>
      <c r="D320" s="26">
        <f t="shared" si="36"/>
        <v>-635.9</v>
      </c>
      <c r="E320" s="27">
        <f t="shared" si="37"/>
        <v>44.98</v>
      </c>
      <c r="F320" s="26">
        <f t="shared" si="38"/>
        <v>-637.9</v>
      </c>
      <c r="G320" s="27">
        <f t="shared" si="39"/>
        <v>44.98</v>
      </c>
      <c r="J320" s="28">
        <f t="array" ref="J320">IF(ROW(J320)&lt;=COUNTA(D:D)*2,IF(MOD(ROW(J320),2)=1,INDEX(D:D,(ROW(J320)+1)/2),INDEX(F:F,ROW(J320)/2)),"")</f>
        <v>-317.9</v>
      </c>
      <c r="K320" s="28">
        <f t="array" ref="K320">IF(ROW(K320)&lt;=COUNTA(E:E)*2,IF(MOD(ROW(K320),2)=1,INDEX(E:E,(ROW(K320)+1)/2),INDEX(G:G,ROW(K320)/2)),"")</f>
        <v>44.94</v>
      </c>
    </row>
    <row r="321" spans="1:11" x14ac:dyDescent="0.25">
      <c r="A321" s="25"/>
      <c r="B321" s="25"/>
      <c r="D321" s="26">
        <f t="shared" si="36"/>
        <v>-637.9</v>
      </c>
      <c r="E321" s="27">
        <f t="shared" si="37"/>
        <v>44.98</v>
      </c>
      <c r="F321" s="26">
        <f t="shared" si="38"/>
        <v>-639.9</v>
      </c>
      <c r="G321" s="27">
        <f t="shared" si="39"/>
        <v>44.98</v>
      </c>
      <c r="J321" s="28">
        <f t="array" ref="J321">IF(ROW(J321)&lt;=COUNTA(D:D)*2,IF(MOD(ROW(J321),2)=1,INDEX(D:D,(ROW(J321)+1)/2),INDEX(F:F,ROW(J321)/2)),"")</f>
        <v>-317.9</v>
      </c>
      <c r="K321" s="28">
        <f t="array" ref="K321">IF(ROW(K321)&lt;=COUNTA(E:E)*2,IF(MOD(ROW(K321),2)=1,INDEX(E:E,(ROW(K321)+1)/2),INDEX(G:G,ROW(K321)/2)),"")</f>
        <v>44.96</v>
      </c>
    </row>
    <row r="322" spans="1:11" x14ac:dyDescent="0.25">
      <c r="A322" s="25"/>
      <c r="B322" s="25"/>
      <c r="D322" s="26">
        <f t="shared" si="36"/>
        <v>-639.9</v>
      </c>
      <c r="E322" s="27">
        <f t="shared" si="37"/>
        <v>44.98</v>
      </c>
      <c r="F322" s="26">
        <f t="shared" si="38"/>
        <v>-641.9</v>
      </c>
      <c r="G322" s="27">
        <f t="shared" si="39"/>
        <v>44.98</v>
      </c>
      <c r="J322" s="28">
        <f t="array" ref="J322">IF(ROW(J322)&lt;=COUNTA(D:D)*2,IF(MOD(ROW(J322),2)=1,INDEX(D:D,(ROW(J322)+1)/2),INDEX(F:F,ROW(J322)/2)),"")</f>
        <v>-319.9</v>
      </c>
      <c r="K322" s="28">
        <f t="array" ref="K322">IF(ROW(K322)&lt;=COUNTA(E:E)*2,IF(MOD(ROW(K322),2)=1,INDEX(E:E,(ROW(K322)+1)/2),INDEX(G:G,ROW(K322)/2)),"")</f>
        <v>44.96</v>
      </c>
    </row>
    <row r="323" spans="1:11" x14ac:dyDescent="0.25">
      <c r="A323" s="25"/>
      <c r="B323" s="25"/>
      <c r="D323" s="26">
        <f t="shared" si="36"/>
        <v>-641.9</v>
      </c>
      <c r="E323" s="27">
        <f t="shared" si="37"/>
        <v>44.98</v>
      </c>
      <c r="F323" s="26">
        <f t="shared" si="38"/>
        <v>-643.9</v>
      </c>
      <c r="G323" s="27">
        <f t="shared" si="39"/>
        <v>44.98</v>
      </c>
      <c r="J323" s="28">
        <f t="array" ref="J323">IF(ROW(J323)&lt;=COUNTA(D:D)*2,IF(MOD(ROW(J323),2)=1,INDEX(D:D,(ROW(J323)+1)/2),INDEX(F:F,ROW(J323)/2)),"")</f>
        <v>-319.9</v>
      </c>
      <c r="K323" s="28">
        <f t="array" ref="K323">IF(ROW(K323)&lt;=COUNTA(E:E)*2,IF(MOD(ROW(K323),2)=1,INDEX(E:E,(ROW(K323)+1)/2),INDEX(G:G,ROW(K323)/2)),"")</f>
        <v>44.94</v>
      </c>
    </row>
    <row r="324" spans="1:11" x14ac:dyDescent="0.25">
      <c r="A324" s="25"/>
      <c r="B324" s="25"/>
      <c r="D324" s="26">
        <f t="shared" ref="D324:D355" si="40">0-A323</f>
        <v>-643.9</v>
      </c>
      <c r="E324" s="27">
        <f t="shared" ref="E324:E355" si="41">41+(B324/100)*4</f>
        <v>44.98</v>
      </c>
      <c r="F324" s="26">
        <f t="shared" ref="F324:F355" si="42">0-A324</f>
        <v>-645.9</v>
      </c>
      <c r="G324" s="27">
        <f t="shared" ref="G324:G355" si="43">41+(B324/100)*4</f>
        <v>44.98</v>
      </c>
      <c r="J324" s="28">
        <f t="array" ref="J324">IF(ROW(J324)&lt;=COUNTA(D:D)*2,IF(MOD(ROW(J324),2)=1,INDEX(D:D,(ROW(J324)+1)/2),INDEX(F:F,ROW(J324)/2)),"")</f>
        <v>-321.9</v>
      </c>
      <c r="K324" s="28">
        <f t="array" ref="K324">IF(ROW(K324)&lt;=COUNTA(E:E)*2,IF(MOD(ROW(K324),2)=1,INDEX(E:E,(ROW(K324)+1)/2),INDEX(G:G,ROW(K324)/2)),"")</f>
        <v>44.94</v>
      </c>
    </row>
    <row r="325" spans="1:11" x14ac:dyDescent="0.25">
      <c r="A325" s="25"/>
      <c r="B325" s="25"/>
      <c r="D325" s="26">
        <f t="shared" si="40"/>
        <v>-645.9</v>
      </c>
      <c r="E325" s="27">
        <f t="shared" si="41"/>
        <v>44.98</v>
      </c>
      <c r="F325" s="26">
        <f t="shared" si="42"/>
        <v>-647.9</v>
      </c>
      <c r="G325" s="27">
        <f t="shared" si="43"/>
        <v>44.98</v>
      </c>
      <c r="J325" s="28">
        <f t="array" ref="J325">IF(ROW(J325)&lt;=COUNTA(D:D)*2,IF(MOD(ROW(J325),2)=1,INDEX(D:D,(ROW(J325)+1)/2),INDEX(F:F,ROW(J325)/2)),"")</f>
        <v>-321.9</v>
      </c>
      <c r="K325" s="28">
        <f t="array" ref="K325">IF(ROW(K325)&lt;=COUNTA(E:E)*2,IF(MOD(ROW(K325),2)=1,INDEX(E:E,(ROW(K325)+1)/2),INDEX(G:G,ROW(K325)/2)),"")</f>
        <v>44.96</v>
      </c>
    </row>
    <row r="326" spans="1:11" x14ac:dyDescent="0.25">
      <c r="A326" s="25"/>
      <c r="B326" s="25"/>
      <c r="D326" s="26">
        <f t="shared" si="40"/>
        <v>-647.9</v>
      </c>
      <c r="E326" s="27">
        <f t="shared" si="41"/>
        <v>44.98</v>
      </c>
      <c r="F326" s="26">
        <f t="shared" si="42"/>
        <v>-649.9</v>
      </c>
      <c r="G326" s="27">
        <f t="shared" si="43"/>
        <v>44.98</v>
      </c>
      <c r="J326" s="28">
        <f t="array" ref="J326">IF(ROW(J326)&lt;=COUNTA(D:D)*2,IF(MOD(ROW(J326),2)=1,INDEX(D:D,(ROW(J326)+1)/2),INDEX(F:F,ROW(J326)/2)),"")</f>
        <v>-323.9</v>
      </c>
      <c r="K326" s="28">
        <f t="array" ref="K326">IF(ROW(K326)&lt;=COUNTA(E:E)*2,IF(MOD(ROW(K326),2)=1,INDEX(E:E,(ROW(K326)+1)/2),INDEX(G:G,ROW(K326)/2)),"")</f>
        <v>44.96</v>
      </c>
    </row>
    <row r="327" spans="1:11" x14ac:dyDescent="0.25">
      <c r="A327" s="25"/>
      <c r="B327" s="25"/>
      <c r="D327" s="26">
        <f t="shared" si="40"/>
        <v>-649.9</v>
      </c>
      <c r="E327" s="27">
        <f t="shared" si="41"/>
        <v>44.98</v>
      </c>
      <c r="F327" s="26">
        <f t="shared" si="42"/>
        <v>-651.9</v>
      </c>
      <c r="G327" s="27">
        <f t="shared" si="43"/>
        <v>44.98</v>
      </c>
      <c r="J327" s="28">
        <f t="array" ref="J327">IF(ROW(J327)&lt;=COUNTA(D:D)*2,IF(MOD(ROW(J327),2)=1,INDEX(D:D,(ROW(J327)+1)/2),INDEX(F:F,ROW(J327)/2)),"")</f>
        <v>-323.9</v>
      </c>
      <c r="K327" s="28">
        <f t="array" ref="K327">IF(ROW(K327)&lt;=COUNTA(E:E)*2,IF(MOD(ROW(K327),2)=1,INDEX(E:E,(ROW(K327)+1)/2),INDEX(G:G,ROW(K327)/2)),"")</f>
        <v>44.96</v>
      </c>
    </row>
    <row r="328" spans="1:11" x14ac:dyDescent="0.25">
      <c r="A328" s="25"/>
      <c r="B328" s="25"/>
      <c r="D328" s="26">
        <f t="shared" si="40"/>
        <v>-651.9</v>
      </c>
      <c r="E328" s="27">
        <f t="shared" si="41"/>
        <v>44.98</v>
      </c>
      <c r="F328" s="26">
        <f t="shared" si="42"/>
        <v>-653.9</v>
      </c>
      <c r="G328" s="27">
        <f t="shared" si="43"/>
        <v>44.98</v>
      </c>
      <c r="J328" s="28">
        <f t="array" ref="J328">IF(ROW(J328)&lt;=COUNTA(D:D)*2,IF(MOD(ROW(J328),2)=1,INDEX(D:D,(ROW(J328)+1)/2),INDEX(F:F,ROW(J328)/2)),"")</f>
        <v>-325.9</v>
      </c>
      <c r="K328" s="28">
        <f t="array" ref="K328">IF(ROW(K328)&lt;=COUNTA(E:E)*2,IF(MOD(ROW(K328),2)=1,INDEX(E:E,(ROW(K328)+1)/2),INDEX(G:G,ROW(K328)/2)),"")</f>
        <v>44.96</v>
      </c>
    </row>
    <row r="329" spans="1:11" x14ac:dyDescent="0.25">
      <c r="A329" s="25"/>
      <c r="B329" s="25"/>
      <c r="D329" s="26">
        <f t="shared" si="40"/>
        <v>-653.9</v>
      </c>
      <c r="E329" s="27">
        <f t="shared" si="41"/>
        <v>44.98</v>
      </c>
      <c r="F329" s="26">
        <f t="shared" si="42"/>
        <v>-655.9</v>
      </c>
      <c r="G329" s="27">
        <f t="shared" si="43"/>
        <v>44.98</v>
      </c>
      <c r="J329" s="28">
        <f t="array" ref="J329">IF(ROW(J329)&lt;=COUNTA(D:D)*2,IF(MOD(ROW(J329),2)=1,INDEX(D:D,(ROW(J329)+1)/2),INDEX(F:F,ROW(J329)/2)),"")</f>
        <v>-325.9</v>
      </c>
      <c r="K329" s="28">
        <f t="array" ref="K329">IF(ROW(K329)&lt;=COUNTA(E:E)*2,IF(MOD(ROW(K329),2)=1,INDEX(E:E,(ROW(K329)+1)/2),INDEX(G:G,ROW(K329)/2)),"")</f>
        <v>44.96</v>
      </c>
    </row>
    <row r="330" spans="1:11" x14ac:dyDescent="0.25">
      <c r="A330" s="25"/>
      <c r="B330" s="25"/>
      <c r="D330" s="26">
        <f t="shared" si="40"/>
        <v>-655.9</v>
      </c>
      <c r="E330" s="27">
        <f t="shared" si="41"/>
        <v>44.98</v>
      </c>
      <c r="F330" s="26">
        <f t="shared" si="42"/>
        <v>-657.9</v>
      </c>
      <c r="G330" s="27">
        <f t="shared" si="43"/>
        <v>44.98</v>
      </c>
      <c r="J330" s="28">
        <f t="array" ref="J330">IF(ROW(J330)&lt;=COUNTA(D:D)*2,IF(MOD(ROW(J330),2)=1,INDEX(D:D,(ROW(J330)+1)/2),INDEX(F:F,ROW(J330)/2)),"")</f>
        <v>-327.9</v>
      </c>
      <c r="K330" s="28">
        <f t="array" ref="K330">IF(ROW(K330)&lt;=COUNTA(E:E)*2,IF(MOD(ROW(K330),2)=1,INDEX(E:E,(ROW(K330)+1)/2),INDEX(G:G,ROW(K330)/2)),"")</f>
        <v>44.96</v>
      </c>
    </row>
    <row r="331" spans="1:11" x14ac:dyDescent="0.25">
      <c r="A331" s="25"/>
      <c r="B331" s="25"/>
      <c r="D331" s="26">
        <f t="shared" si="40"/>
        <v>-657.9</v>
      </c>
      <c r="E331" s="27">
        <f t="shared" si="41"/>
        <v>44.98</v>
      </c>
      <c r="F331" s="26">
        <f t="shared" si="42"/>
        <v>-659.9</v>
      </c>
      <c r="G331" s="27">
        <f t="shared" si="43"/>
        <v>44.98</v>
      </c>
      <c r="J331" s="28">
        <f t="array" ref="J331">IF(ROW(J331)&lt;=COUNTA(D:D)*2,IF(MOD(ROW(J331),2)=1,INDEX(D:D,(ROW(J331)+1)/2),INDEX(F:F,ROW(J331)/2)),"")</f>
        <v>-327.9</v>
      </c>
      <c r="K331" s="28">
        <f t="array" ref="K331">IF(ROW(K331)&lt;=COUNTA(E:E)*2,IF(MOD(ROW(K331),2)=1,INDEX(E:E,(ROW(K331)+1)/2),INDEX(G:G,ROW(K331)/2)),"")</f>
        <v>44.98</v>
      </c>
    </row>
    <row r="332" spans="1:11" x14ac:dyDescent="0.25">
      <c r="A332" s="25"/>
      <c r="B332" s="25"/>
      <c r="D332" s="26">
        <f t="shared" si="40"/>
        <v>-659.9</v>
      </c>
      <c r="E332" s="27">
        <f t="shared" si="41"/>
        <v>44.96</v>
      </c>
      <c r="F332" s="26">
        <f t="shared" si="42"/>
        <v>-661.9</v>
      </c>
      <c r="G332" s="27">
        <f t="shared" si="43"/>
        <v>44.96</v>
      </c>
      <c r="J332" s="28">
        <f t="array" ref="J332">IF(ROW(J332)&lt;=COUNTA(D:D)*2,IF(MOD(ROW(J332),2)=1,INDEX(D:D,(ROW(J332)+1)/2),INDEX(F:F,ROW(J332)/2)),"")</f>
        <v>-329.9</v>
      </c>
      <c r="K332" s="28">
        <f t="array" ref="K332">IF(ROW(K332)&lt;=COUNTA(E:E)*2,IF(MOD(ROW(K332),2)=1,INDEX(E:E,(ROW(K332)+1)/2),INDEX(G:G,ROW(K332)/2)),"")</f>
        <v>44.98</v>
      </c>
    </row>
    <row r="333" spans="1:11" x14ac:dyDescent="0.25">
      <c r="A333" s="25"/>
      <c r="B333" s="25"/>
      <c r="D333" s="26">
        <f t="shared" si="40"/>
        <v>-661.9</v>
      </c>
      <c r="E333" s="27">
        <f t="shared" si="41"/>
        <v>44.98</v>
      </c>
      <c r="F333" s="26">
        <f t="shared" si="42"/>
        <v>-663.9</v>
      </c>
      <c r="G333" s="27">
        <f t="shared" si="43"/>
        <v>44.98</v>
      </c>
      <c r="J333" s="28">
        <f t="array" ref="J333">IF(ROW(J333)&lt;=COUNTA(D:D)*2,IF(MOD(ROW(J333),2)=1,INDEX(D:D,(ROW(J333)+1)/2),INDEX(F:F,ROW(J333)/2)),"")</f>
        <v>-329.9</v>
      </c>
      <c r="K333" s="28">
        <f t="array" ref="K333">IF(ROW(K333)&lt;=COUNTA(E:E)*2,IF(MOD(ROW(K333),2)=1,INDEX(E:E,(ROW(K333)+1)/2),INDEX(G:G,ROW(K333)/2)),"")</f>
        <v>44.94</v>
      </c>
    </row>
    <row r="334" spans="1:11" x14ac:dyDescent="0.25">
      <c r="A334" s="25"/>
      <c r="B334" s="25"/>
      <c r="D334" s="26">
        <f t="shared" si="40"/>
        <v>-663.9</v>
      </c>
      <c r="E334" s="27">
        <f t="shared" si="41"/>
        <v>44.9</v>
      </c>
      <c r="F334" s="26">
        <f t="shared" si="42"/>
        <v>-665.9</v>
      </c>
      <c r="G334" s="27">
        <f t="shared" si="43"/>
        <v>44.9</v>
      </c>
      <c r="J334" s="28">
        <f t="array" ref="J334">IF(ROW(J334)&lt;=COUNTA(D:D)*2,IF(MOD(ROW(J334),2)=1,INDEX(D:D,(ROW(J334)+1)/2),INDEX(F:F,ROW(J334)/2)),"")</f>
        <v>-331.9</v>
      </c>
      <c r="K334" s="28">
        <f t="array" ref="K334">IF(ROW(K334)&lt;=COUNTA(E:E)*2,IF(MOD(ROW(K334),2)=1,INDEX(E:E,(ROW(K334)+1)/2),INDEX(G:G,ROW(K334)/2)),"")</f>
        <v>44.94</v>
      </c>
    </row>
    <row r="335" spans="1:11" x14ac:dyDescent="0.25">
      <c r="A335" s="25"/>
      <c r="B335" s="25"/>
      <c r="D335" s="26">
        <f t="shared" si="40"/>
        <v>-665.9</v>
      </c>
      <c r="E335" s="27">
        <f t="shared" si="41"/>
        <v>44.94</v>
      </c>
      <c r="F335" s="26">
        <f t="shared" si="42"/>
        <v>-667.9</v>
      </c>
      <c r="G335" s="27">
        <f t="shared" si="43"/>
        <v>44.94</v>
      </c>
      <c r="J335" s="28">
        <f t="array" ref="J335">IF(ROW(J335)&lt;=COUNTA(D:D)*2,IF(MOD(ROW(J335),2)=1,INDEX(D:D,(ROW(J335)+1)/2),INDEX(F:F,ROW(J335)/2)),"")</f>
        <v>-331.9</v>
      </c>
      <c r="K335" s="28">
        <f t="array" ref="K335">IF(ROW(K335)&lt;=COUNTA(E:E)*2,IF(MOD(ROW(K335),2)=1,INDEX(E:E,(ROW(K335)+1)/2),INDEX(G:G,ROW(K335)/2)),"")</f>
        <v>44.98</v>
      </c>
    </row>
    <row r="336" spans="1:11" x14ac:dyDescent="0.25">
      <c r="A336" s="25"/>
      <c r="B336" s="25"/>
      <c r="D336" s="26">
        <f t="shared" si="40"/>
        <v>-667.9</v>
      </c>
      <c r="E336" s="27">
        <f t="shared" si="41"/>
        <v>44.98</v>
      </c>
      <c r="F336" s="26">
        <f t="shared" si="42"/>
        <v>-669.9</v>
      </c>
      <c r="G336" s="27">
        <f t="shared" si="43"/>
        <v>44.98</v>
      </c>
      <c r="J336" s="28">
        <f t="array" ref="J336">IF(ROW(J336)&lt;=COUNTA(D:D)*2,IF(MOD(ROW(J336),2)=1,INDEX(D:D,(ROW(J336)+1)/2),INDEX(F:F,ROW(J336)/2)),"")</f>
        <v>-333.9</v>
      </c>
      <c r="K336" s="28">
        <f t="array" ref="K336">IF(ROW(K336)&lt;=COUNTA(E:E)*2,IF(MOD(ROW(K336),2)=1,INDEX(E:E,(ROW(K336)+1)/2),INDEX(G:G,ROW(K336)/2)),"")</f>
        <v>44.98</v>
      </c>
    </row>
    <row r="337" spans="1:11" x14ac:dyDescent="0.25">
      <c r="A337" s="25"/>
      <c r="B337" s="25"/>
      <c r="D337" s="26">
        <f t="shared" si="40"/>
        <v>-669.9</v>
      </c>
      <c r="E337" s="27">
        <f t="shared" si="41"/>
        <v>44.96</v>
      </c>
      <c r="F337" s="26">
        <f t="shared" si="42"/>
        <v>-671.9</v>
      </c>
      <c r="G337" s="27">
        <f t="shared" si="43"/>
        <v>44.96</v>
      </c>
      <c r="J337" s="28">
        <f t="array" ref="J337">IF(ROW(J337)&lt;=COUNTA(D:D)*2,IF(MOD(ROW(J337),2)=1,INDEX(D:D,(ROW(J337)+1)/2),INDEX(F:F,ROW(J337)/2)),"")</f>
        <v>-333.9</v>
      </c>
      <c r="K337" s="28">
        <f t="array" ref="K337">IF(ROW(K337)&lt;=COUNTA(E:E)*2,IF(MOD(ROW(K337),2)=1,INDEX(E:E,(ROW(K337)+1)/2),INDEX(G:G,ROW(K337)/2)),"")</f>
        <v>44.96</v>
      </c>
    </row>
    <row r="338" spans="1:11" x14ac:dyDescent="0.25">
      <c r="A338" s="25"/>
      <c r="B338" s="25"/>
      <c r="D338" s="26">
        <f t="shared" si="40"/>
        <v>-671.9</v>
      </c>
      <c r="E338" s="27">
        <f t="shared" si="41"/>
        <v>44.98</v>
      </c>
      <c r="F338" s="26">
        <f t="shared" si="42"/>
        <v>-673.9</v>
      </c>
      <c r="G338" s="27">
        <f t="shared" si="43"/>
        <v>44.98</v>
      </c>
      <c r="J338" s="28">
        <f t="array" ref="J338">IF(ROW(J338)&lt;=COUNTA(D:D)*2,IF(MOD(ROW(J338),2)=1,INDEX(D:D,(ROW(J338)+1)/2),INDEX(F:F,ROW(J338)/2)),"")</f>
        <v>-335.9</v>
      </c>
      <c r="K338" s="28">
        <f t="array" ref="K338">IF(ROW(K338)&lt;=COUNTA(E:E)*2,IF(MOD(ROW(K338),2)=1,INDEX(E:E,(ROW(K338)+1)/2),INDEX(G:G,ROW(K338)/2)),"")</f>
        <v>44.96</v>
      </c>
    </row>
    <row r="339" spans="1:11" x14ac:dyDescent="0.25">
      <c r="A339" s="25"/>
      <c r="B339" s="25"/>
      <c r="D339" s="26">
        <f t="shared" si="40"/>
        <v>-673.9</v>
      </c>
      <c r="E339" s="27">
        <f t="shared" si="41"/>
        <v>44.8</v>
      </c>
      <c r="F339" s="26">
        <f t="shared" si="42"/>
        <v>-675.9</v>
      </c>
      <c r="G339" s="27">
        <f t="shared" si="43"/>
        <v>44.8</v>
      </c>
      <c r="J339" s="28">
        <f t="array" ref="J339">IF(ROW(J339)&lt;=COUNTA(D:D)*2,IF(MOD(ROW(J339),2)=1,INDEX(D:D,(ROW(J339)+1)/2),INDEX(F:F,ROW(J339)/2)),"")</f>
        <v>-335.9</v>
      </c>
      <c r="K339" s="28">
        <f t="array" ref="K339">IF(ROW(K339)&lt;=COUNTA(E:E)*2,IF(MOD(ROW(K339),2)=1,INDEX(E:E,(ROW(K339)+1)/2),INDEX(G:G,ROW(K339)/2)),"")</f>
        <v>44.96</v>
      </c>
    </row>
    <row r="340" spans="1:11" x14ac:dyDescent="0.25">
      <c r="A340" s="25"/>
      <c r="B340" s="25"/>
      <c r="D340" s="26">
        <f t="shared" si="40"/>
        <v>-675.9</v>
      </c>
      <c r="E340" s="27">
        <f t="shared" si="41"/>
        <v>44.8</v>
      </c>
      <c r="F340" s="26">
        <f t="shared" si="42"/>
        <v>-677.9</v>
      </c>
      <c r="G340" s="27">
        <f t="shared" si="43"/>
        <v>44.8</v>
      </c>
      <c r="J340" s="28">
        <f t="array" ref="J340">IF(ROW(J340)&lt;=COUNTA(D:D)*2,IF(MOD(ROW(J340),2)=1,INDEX(D:D,(ROW(J340)+1)/2),INDEX(F:F,ROW(J340)/2)),"")</f>
        <v>-337.9</v>
      </c>
      <c r="K340" s="28">
        <f t="array" ref="K340">IF(ROW(K340)&lt;=COUNTA(E:E)*2,IF(MOD(ROW(K340),2)=1,INDEX(E:E,(ROW(K340)+1)/2),INDEX(G:G,ROW(K340)/2)),"")</f>
        <v>44.96</v>
      </c>
    </row>
    <row r="341" spans="1:11" x14ac:dyDescent="0.25">
      <c r="A341" s="25"/>
      <c r="B341" s="25"/>
      <c r="D341" s="26">
        <f t="shared" si="40"/>
        <v>-677.9</v>
      </c>
      <c r="E341" s="27">
        <f t="shared" si="41"/>
        <v>41</v>
      </c>
      <c r="F341" s="26">
        <f t="shared" si="42"/>
        <v>0</v>
      </c>
      <c r="G341" s="27">
        <f t="shared" si="43"/>
        <v>41</v>
      </c>
      <c r="J341" s="28">
        <f t="array" ref="J341">IF(ROW(J341)&lt;=COUNTA(D:D)*2,IF(MOD(ROW(J341),2)=1,INDEX(D:D,(ROW(J341)+1)/2),INDEX(F:F,ROW(J341)/2)),"")</f>
        <v>-337.9</v>
      </c>
      <c r="K341" s="28">
        <f t="array" ref="K341">IF(ROW(K341)&lt;=COUNTA(E:E)*2,IF(MOD(ROW(K341),2)=1,INDEX(E:E,(ROW(K341)+1)/2),INDEX(G:G,ROW(K341)/2)),"")</f>
        <v>44.88</v>
      </c>
    </row>
    <row r="342" spans="1:11" x14ac:dyDescent="0.25">
      <c r="A342" s="25"/>
      <c r="B342" s="25"/>
      <c r="D342" s="26">
        <f t="shared" si="40"/>
        <v>0</v>
      </c>
      <c r="E342" s="27">
        <f t="shared" si="41"/>
        <v>41</v>
      </c>
      <c r="F342" s="26">
        <f t="shared" si="42"/>
        <v>0</v>
      </c>
      <c r="G342" s="27">
        <f t="shared" si="43"/>
        <v>41</v>
      </c>
      <c r="J342" s="28">
        <f t="array" ref="J342">IF(ROW(J342)&lt;=COUNTA(D:D)*2,IF(MOD(ROW(J342),2)=1,INDEX(D:D,(ROW(J342)+1)/2),INDEX(F:F,ROW(J342)/2)),"")</f>
        <v>-339.9</v>
      </c>
      <c r="K342" s="28">
        <f t="array" ref="K342">IF(ROW(K342)&lt;=COUNTA(E:E)*2,IF(MOD(ROW(K342),2)=1,INDEX(E:E,(ROW(K342)+1)/2),INDEX(G:G,ROW(K342)/2)),"")</f>
        <v>44.88</v>
      </c>
    </row>
    <row r="343" spans="1:11" x14ac:dyDescent="0.25">
      <c r="A343" s="25"/>
      <c r="B343" s="25"/>
      <c r="D343" s="26">
        <f t="shared" si="40"/>
        <v>0</v>
      </c>
      <c r="E343" s="27">
        <f t="shared" si="41"/>
        <v>41</v>
      </c>
      <c r="F343" s="26">
        <f t="shared" si="42"/>
        <v>0</v>
      </c>
      <c r="G343" s="27">
        <f t="shared" si="43"/>
        <v>41</v>
      </c>
      <c r="J343" s="28">
        <f t="array" ref="J343">IF(ROW(J343)&lt;=COUNTA(D:D)*2,IF(MOD(ROW(J343),2)=1,INDEX(D:D,(ROW(J343)+1)/2),INDEX(F:F,ROW(J343)/2)),"")</f>
        <v>-339.9</v>
      </c>
      <c r="K343" s="28">
        <f t="array" ref="K343">IF(ROW(K343)&lt;=COUNTA(E:E)*2,IF(MOD(ROW(K343),2)=1,INDEX(E:E,(ROW(K343)+1)/2),INDEX(G:G,ROW(K343)/2)),"")</f>
        <v>44.94</v>
      </c>
    </row>
    <row r="344" spans="1:11" x14ac:dyDescent="0.25">
      <c r="A344" s="25"/>
      <c r="B344" s="25"/>
      <c r="D344" s="26">
        <f t="shared" si="40"/>
        <v>0</v>
      </c>
      <c r="E344" s="27">
        <f t="shared" si="41"/>
        <v>41</v>
      </c>
      <c r="F344" s="26">
        <f t="shared" si="42"/>
        <v>0</v>
      </c>
      <c r="G344" s="27">
        <f t="shared" si="43"/>
        <v>41</v>
      </c>
      <c r="J344" s="28">
        <f t="array" ref="J344">IF(ROW(J344)&lt;=COUNTA(D:D)*2,IF(MOD(ROW(J344),2)=1,INDEX(D:D,(ROW(J344)+1)/2),INDEX(F:F,ROW(J344)/2)),"")</f>
        <v>-341.9</v>
      </c>
      <c r="K344" s="28">
        <f t="array" ref="K344">IF(ROW(K344)&lt;=COUNTA(E:E)*2,IF(MOD(ROW(K344),2)=1,INDEX(E:E,(ROW(K344)+1)/2),INDEX(G:G,ROW(K344)/2)),"")</f>
        <v>44.94</v>
      </c>
    </row>
    <row r="345" spans="1:11" x14ac:dyDescent="0.25">
      <c r="A345" s="25"/>
      <c r="B345" s="25"/>
      <c r="D345" s="26">
        <f t="shared" si="40"/>
        <v>0</v>
      </c>
      <c r="E345" s="27">
        <f t="shared" si="41"/>
        <v>41</v>
      </c>
      <c r="F345" s="26">
        <f t="shared" si="42"/>
        <v>0</v>
      </c>
      <c r="G345" s="27">
        <f t="shared" si="43"/>
        <v>41</v>
      </c>
      <c r="J345" s="28">
        <f t="array" ref="J345">IF(ROW(J345)&lt;=COUNTA(D:D)*2,IF(MOD(ROW(J345),2)=1,INDEX(D:D,(ROW(J345)+1)/2),INDEX(F:F,ROW(J345)/2)),"")</f>
        <v>-341.9</v>
      </c>
      <c r="K345" s="28">
        <f t="array" ref="K345">IF(ROW(K345)&lt;=COUNTA(E:E)*2,IF(MOD(ROW(K345),2)=1,INDEX(E:E,(ROW(K345)+1)/2),INDEX(G:G,ROW(K345)/2)),"")</f>
        <v>44.98</v>
      </c>
    </row>
    <row r="346" spans="1:11" x14ac:dyDescent="0.25">
      <c r="A346" s="25"/>
      <c r="B346" s="25"/>
      <c r="D346" s="26">
        <f t="shared" si="40"/>
        <v>0</v>
      </c>
      <c r="E346" s="27">
        <f t="shared" si="41"/>
        <v>41</v>
      </c>
      <c r="F346" s="26">
        <f t="shared" si="42"/>
        <v>0</v>
      </c>
      <c r="G346" s="27">
        <f t="shared" si="43"/>
        <v>41</v>
      </c>
      <c r="J346" s="28">
        <f t="array" ref="J346">IF(ROW(J346)&lt;=COUNTA(D:D)*2,IF(MOD(ROW(J346),2)=1,INDEX(D:D,(ROW(J346)+1)/2),INDEX(F:F,ROW(J346)/2)),"")</f>
        <v>-343.9</v>
      </c>
      <c r="K346" s="28">
        <f t="array" ref="K346">IF(ROW(K346)&lt;=COUNTA(E:E)*2,IF(MOD(ROW(K346),2)=1,INDEX(E:E,(ROW(K346)+1)/2),INDEX(G:G,ROW(K346)/2)),"")</f>
        <v>44.98</v>
      </c>
    </row>
    <row r="347" spans="1:11" x14ac:dyDescent="0.25">
      <c r="A347" s="25"/>
      <c r="B347" s="25"/>
      <c r="D347" s="26">
        <f t="shared" si="40"/>
        <v>0</v>
      </c>
      <c r="E347" s="27">
        <f t="shared" si="41"/>
        <v>41</v>
      </c>
      <c r="F347" s="26">
        <f t="shared" si="42"/>
        <v>0</v>
      </c>
      <c r="G347" s="27">
        <f t="shared" si="43"/>
        <v>41</v>
      </c>
      <c r="J347" s="28">
        <f t="array" ref="J347">IF(ROW(J347)&lt;=COUNTA(D:D)*2,IF(MOD(ROW(J347),2)=1,INDEX(D:D,(ROW(J347)+1)/2),INDEX(F:F,ROW(J347)/2)),"")</f>
        <v>-343.9</v>
      </c>
      <c r="K347" s="28">
        <f t="array" ref="K347">IF(ROW(K347)&lt;=COUNTA(E:E)*2,IF(MOD(ROW(K347),2)=1,INDEX(E:E,(ROW(K347)+1)/2),INDEX(G:G,ROW(K347)/2)),"")</f>
        <v>44.98</v>
      </c>
    </row>
    <row r="348" spans="1:11" x14ac:dyDescent="0.25">
      <c r="A348" s="25"/>
      <c r="B348" s="25"/>
      <c r="D348" s="26">
        <f t="shared" si="40"/>
        <v>0</v>
      </c>
      <c r="E348" s="27">
        <f t="shared" si="41"/>
        <v>41</v>
      </c>
      <c r="F348" s="26">
        <f t="shared" si="42"/>
        <v>0</v>
      </c>
      <c r="G348" s="27">
        <f t="shared" si="43"/>
        <v>41</v>
      </c>
      <c r="J348" s="28">
        <f t="array" ref="J348">IF(ROW(J348)&lt;=COUNTA(D:D)*2,IF(MOD(ROW(J348),2)=1,INDEX(D:D,(ROW(J348)+1)/2),INDEX(F:F,ROW(J348)/2)),"")</f>
        <v>-345.9</v>
      </c>
      <c r="K348" s="28">
        <f t="array" ref="K348">IF(ROW(K348)&lt;=COUNTA(E:E)*2,IF(MOD(ROW(K348),2)=1,INDEX(E:E,(ROW(K348)+1)/2),INDEX(G:G,ROW(K348)/2)),"")</f>
        <v>44.98</v>
      </c>
    </row>
    <row r="349" spans="1:11" x14ac:dyDescent="0.25">
      <c r="A349" s="25"/>
      <c r="B349" s="25"/>
      <c r="D349" s="26">
        <f t="shared" si="40"/>
        <v>0</v>
      </c>
      <c r="E349" s="27">
        <f t="shared" si="41"/>
        <v>41</v>
      </c>
      <c r="F349" s="26">
        <f t="shared" si="42"/>
        <v>0</v>
      </c>
      <c r="G349" s="27">
        <f t="shared" si="43"/>
        <v>41</v>
      </c>
      <c r="J349" s="28">
        <f t="array" ref="J349">IF(ROW(J349)&lt;=COUNTA(D:D)*2,IF(MOD(ROW(J349),2)=1,INDEX(D:D,(ROW(J349)+1)/2),INDEX(F:F,ROW(J349)/2)),"")</f>
        <v>-345.9</v>
      </c>
      <c r="K349" s="28">
        <f t="array" ref="K349">IF(ROW(K349)&lt;=COUNTA(E:E)*2,IF(MOD(ROW(K349),2)=1,INDEX(E:E,(ROW(K349)+1)/2),INDEX(G:G,ROW(K349)/2)),"")</f>
        <v>44.98</v>
      </c>
    </row>
    <row r="350" spans="1:11" x14ac:dyDescent="0.25">
      <c r="A350" s="25"/>
      <c r="B350" s="25"/>
      <c r="D350" s="26">
        <f t="shared" si="40"/>
        <v>0</v>
      </c>
      <c r="E350" s="27">
        <f t="shared" si="41"/>
        <v>41</v>
      </c>
      <c r="F350" s="26">
        <f t="shared" si="42"/>
        <v>0</v>
      </c>
      <c r="G350" s="27">
        <f t="shared" si="43"/>
        <v>41</v>
      </c>
      <c r="J350" s="28">
        <f t="array" ref="J350">IF(ROW(J350)&lt;=COUNTA(D:D)*2,IF(MOD(ROW(J350),2)=1,INDEX(D:D,(ROW(J350)+1)/2),INDEX(F:F,ROW(J350)/2)),"")</f>
        <v>-347.9</v>
      </c>
      <c r="K350" s="28">
        <f t="array" ref="K350">IF(ROW(K350)&lt;=COUNTA(E:E)*2,IF(MOD(ROW(K350),2)=1,INDEX(E:E,(ROW(K350)+1)/2),INDEX(G:G,ROW(K350)/2)),"")</f>
        <v>44.98</v>
      </c>
    </row>
    <row r="351" spans="1:11" x14ac:dyDescent="0.25">
      <c r="A351" s="25"/>
      <c r="B351" s="25"/>
      <c r="D351" s="26">
        <f t="shared" si="40"/>
        <v>0</v>
      </c>
      <c r="E351" s="27">
        <f t="shared" si="41"/>
        <v>41</v>
      </c>
      <c r="F351" s="26">
        <f t="shared" si="42"/>
        <v>0</v>
      </c>
      <c r="G351" s="27">
        <f t="shared" si="43"/>
        <v>41</v>
      </c>
      <c r="J351" s="28">
        <f t="array" ref="J351">IF(ROW(J351)&lt;=COUNTA(D:D)*2,IF(MOD(ROW(J351),2)=1,INDEX(D:D,(ROW(J351)+1)/2),INDEX(F:F,ROW(J351)/2)),"")</f>
        <v>-347.9</v>
      </c>
      <c r="K351" s="28">
        <f t="array" ref="K351">IF(ROW(K351)&lt;=COUNTA(E:E)*2,IF(MOD(ROW(K351),2)=1,INDEX(E:E,(ROW(K351)+1)/2),INDEX(G:G,ROW(K351)/2)),"")</f>
        <v>44.98</v>
      </c>
    </row>
    <row r="352" spans="1:11" x14ac:dyDescent="0.25">
      <c r="A352" s="25"/>
      <c r="B352" s="25"/>
      <c r="D352" s="26">
        <f t="shared" si="40"/>
        <v>0</v>
      </c>
      <c r="E352" s="27">
        <f t="shared" si="41"/>
        <v>41</v>
      </c>
      <c r="F352" s="26">
        <f t="shared" si="42"/>
        <v>0</v>
      </c>
      <c r="G352" s="27">
        <f t="shared" si="43"/>
        <v>41</v>
      </c>
      <c r="J352" s="28">
        <f t="array" ref="J352">IF(ROW(J352)&lt;=COUNTA(D:D)*2,IF(MOD(ROW(J352),2)=1,INDEX(D:D,(ROW(J352)+1)/2),INDEX(F:F,ROW(J352)/2)),"")</f>
        <v>-349.9</v>
      </c>
      <c r="K352" s="28">
        <f t="array" ref="K352">IF(ROW(K352)&lt;=COUNTA(E:E)*2,IF(MOD(ROW(K352),2)=1,INDEX(E:E,(ROW(K352)+1)/2),INDEX(G:G,ROW(K352)/2)),"")</f>
        <v>44.98</v>
      </c>
    </row>
    <row r="353" spans="1:11" x14ac:dyDescent="0.25">
      <c r="A353" s="25"/>
      <c r="B353" s="25"/>
      <c r="D353" s="26">
        <f t="shared" si="40"/>
        <v>0</v>
      </c>
      <c r="E353" s="27">
        <f t="shared" si="41"/>
        <v>41</v>
      </c>
      <c r="F353" s="26">
        <f t="shared" si="42"/>
        <v>0</v>
      </c>
      <c r="G353" s="27">
        <f t="shared" si="43"/>
        <v>41</v>
      </c>
      <c r="J353" s="28">
        <f t="array" ref="J353">IF(ROW(J353)&lt;=COUNTA(D:D)*2,IF(MOD(ROW(J353),2)=1,INDEX(D:D,(ROW(J353)+1)/2),INDEX(F:F,ROW(J353)/2)),"")</f>
        <v>-349.9</v>
      </c>
      <c r="K353" s="28">
        <f t="array" ref="K353">IF(ROW(K353)&lt;=COUNTA(E:E)*2,IF(MOD(ROW(K353),2)=1,INDEX(E:E,(ROW(K353)+1)/2),INDEX(G:G,ROW(K353)/2)),"")</f>
        <v>44.98</v>
      </c>
    </row>
    <row r="354" spans="1:11" x14ac:dyDescent="0.25">
      <c r="A354" s="25"/>
      <c r="B354" s="25"/>
      <c r="D354" s="26">
        <f t="shared" si="40"/>
        <v>0</v>
      </c>
      <c r="E354" s="27">
        <f t="shared" si="41"/>
        <v>41</v>
      </c>
      <c r="F354" s="26">
        <f t="shared" si="42"/>
        <v>0</v>
      </c>
      <c r="G354" s="27">
        <f t="shared" si="43"/>
        <v>41</v>
      </c>
      <c r="J354" s="28">
        <f t="array" ref="J354">IF(ROW(J354)&lt;=COUNTA(D:D)*2,IF(MOD(ROW(J354),2)=1,INDEX(D:D,(ROW(J354)+1)/2),INDEX(F:F,ROW(J354)/2)),"")</f>
        <v>-351.9</v>
      </c>
      <c r="K354" s="28">
        <f t="array" ref="K354">IF(ROW(K354)&lt;=COUNTA(E:E)*2,IF(MOD(ROW(K354),2)=1,INDEX(E:E,(ROW(K354)+1)/2),INDEX(G:G,ROW(K354)/2)),"")</f>
        <v>44.98</v>
      </c>
    </row>
    <row r="355" spans="1:11" x14ac:dyDescent="0.25">
      <c r="A355" s="25"/>
      <c r="B355" s="25"/>
      <c r="D355" s="26">
        <f t="shared" si="40"/>
        <v>0</v>
      </c>
      <c r="E355" s="27">
        <f t="shared" si="41"/>
        <v>41</v>
      </c>
      <c r="F355" s="26">
        <f t="shared" si="42"/>
        <v>0</v>
      </c>
      <c r="G355" s="27">
        <f t="shared" si="43"/>
        <v>41</v>
      </c>
      <c r="J355" s="28">
        <f t="array" ref="J355">IF(ROW(J355)&lt;=COUNTA(D:D)*2,IF(MOD(ROW(J355),2)=1,INDEX(D:D,(ROW(J355)+1)/2),INDEX(F:F,ROW(J355)/2)),"")</f>
        <v>-351.9</v>
      </c>
      <c r="K355" s="28">
        <f t="array" ref="K355">IF(ROW(K355)&lt;=COUNTA(E:E)*2,IF(MOD(ROW(K355),2)=1,INDEX(E:E,(ROW(K355)+1)/2),INDEX(G:G,ROW(K355)/2)),"")</f>
        <v>44.98</v>
      </c>
    </row>
    <row r="356" spans="1:11" x14ac:dyDescent="0.25">
      <c r="A356" s="25"/>
      <c r="B356" s="25"/>
      <c r="D356" s="26">
        <f t="shared" ref="D356:D386" si="44">0-A355</f>
        <v>0</v>
      </c>
      <c r="E356" s="27">
        <f t="shared" ref="E356:E386" si="45">41+(B356/100)*4</f>
        <v>41</v>
      </c>
      <c r="F356" s="26">
        <f t="shared" ref="F356:F386" si="46">0-A356</f>
        <v>0</v>
      </c>
      <c r="G356" s="27">
        <f t="shared" ref="G356:G386" si="47">41+(B356/100)*4</f>
        <v>41</v>
      </c>
      <c r="J356" s="28">
        <f t="array" ref="J356">IF(ROW(J356)&lt;=COUNTA(D:D)*2,IF(MOD(ROW(J356),2)=1,INDEX(D:D,(ROW(J356)+1)/2),INDEX(F:F,ROW(J356)/2)),"")</f>
        <v>-353.9</v>
      </c>
      <c r="K356" s="28">
        <f t="array" ref="K356">IF(ROW(K356)&lt;=COUNTA(E:E)*2,IF(MOD(ROW(K356),2)=1,INDEX(E:E,(ROW(K356)+1)/2),INDEX(G:G,ROW(K356)/2)),"")</f>
        <v>44.98</v>
      </c>
    </row>
    <row r="357" spans="1:11" x14ac:dyDescent="0.25">
      <c r="A357" s="25"/>
      <c r="B357" s="25"/>
      <c r="D357" s="26">
        <f t="shared" si="44"/>
        <v>0</v>
      </c>
      <c r="E357" s="27">
        <f t="shared" si="45"/>
        <v>41</v>
      </c>
      <c r="F357" s="26">
        <f t="shared" si="46"/>
        <v>0</v>
      </c>
      <c r="G357" s="27">
        <f t="shared" si="47"/>
        <v>41</v>
      </c>
      <c r="J357" s="28">
        <f t="array" ref="J357">IF(ROW(J357)&lt;=COUNTA(D:D)*2,IF(MOD(ROW(J357),2)=1,INDEX(D:D,(ROW(J357)+1)/2),INDEX(F:F,ROW(J357)/2)),"")</f>
        <v>-353.9</v>
      </c>
      <c r="K357" s="28">
        <f t="array" ref="K357">IF(ROW(K357)&lt;=COUNTA(E:E)*2,IF(MOD(ROW(K357),2)=1,INDEX(E:E,(ROW(K357)+1)/2),INDEX(G:G,ROW(K357)/2)),"")</f>
        <v>44.98</v>
      </c>
    </row>
    <row r="358" spans="1:11" x14ac:dyDescent="0.25">
      <c r="A358" s="25"/>
      <c r="B358" s="25"/>
      <c r="D358" s="26">
        <f t="shared" si="44"/>
        <v>0</v>
      </c>
      <c r="E358" s="27">
        <f t="shared" si="45"/>
        <v>41</v>
      </c>
      <c r="F358" s="26">
        <f t="shared" si="46"/>
        <v>0</v>
      </c>
      <c r="G358" s="27">
        <f t="shared" si="47"/>
        <v>41</v>
      </c>
      <c r="J358" s="28">
        <f t="array" ref="J358">IF(ROW(J358)&lt;=COUNTA(D:D)*2,IF(MOD(ROW(J358),2)=1,INDEX(D:D,(ROW(J358)+1)/2),INDEX(F:F,ROW(J358)/2)),"")</f>
        <v>-355.9</v>
      </c>
      <c r="K358" s="28">
        <f t="array" ref="K358">IF(ROW(K358)&lt;=COUNTA(E:E)*2,IF(MOD(ROW(K358),2)=1,INDEX(E:E,(ROW(K358)+1)/2),INDEX(G:G,ROW(K358)/2)),"")</f>
        <v>44.98</v>
      </c>
    </row>
    <row r="359" spans="1:11" x14ac:dyDescent="0.25">
      <c r="A359" s="25"/>
      <c r="B359" s="25"/>
      <c r="D359" s="26">
        <f t="shared" si="44"/>
        <v>0</v>
      </c>
      <c r="E359" s="27">
        <f t="shared" si="45"/>
        <v>41</v>
      </c>
      <c r="F359" s="26">
        <f t="shared" si="46"/>
        <v>0</v>
      </c>
      <c r="G359" s="27">
        <f t="shared" si="47"/>
        <v>41</v>
      </c>
      <c r="J359" s="28">
        <f t="array" ref="J359">IF(ROW(J359)&lt;=COUNTA(D:D)*2,IF(MOD(ROW(J359),2)=1,INDEX(D:D,(ROW(J359)+1)/2),INDEX(F:F,ROW(J359)/2)),"")</f>
        <v>-355.9</v>
      </c>
      <c r="K359" s="28">
        <f t="array" ref="K359">IF(ROW(K359)&lt;=COUNTA(E:E)*2,IF(MOD(ROW(K359),2)=1,INDEX(E:E,(ROW(K359)+1)/2),INDEX(G:G,ROW(K359)/2)),"")</f>
        <v>44.98</v>
      </c>
    </row>
    <row r="360" spans="1:11" x14ac:dyDescent="0.25">
      <c r="A360" s="25"/>
      <c r="B360" s="25"/>
      <c r="D360" s="26">
        <f t="shared" si="44"/>
        <v>0</v>
      </c>
      <c r="E360" s="27">
        <f t="shared" si="45"/>
        <v>41</v>
      </c>
      <c r="F360" s="26">
        <f t="shared" si="46"/>
        <v>0</v>
      </c>
      <c r="G360" s="27">
        <f t="shared" si="47"/>
        <v>41</v>
      </c>
      <c r="J360" s="28">
        <f t="array" ref="J360">IF(ROW(J360)&lt;=COUNTA(D:D)*2,IF(MOD(ROW(J360),2)=1,INDEX(D:D,(ROW(J360)+1)/2),INDEX(F:F,ROW(J360)/2)),"")</f>
        <v>-357.9</v>
      </c>
      <c r="K360" s="28">
        <f t="array" ref="K360">IF(ROW(K360)&lt;=COUNTA(E:E)*2,IF(MOD(ROW(K360),2)=1,INDEX(E:E,(ROW(K360)+1)/2),INDEX(G:G,ROW(K360)/2)),"")</f>
        <v>44.98</v>
      </c>
    </row>
    <row r="361" spans="1:11" x14ac:dyDescent="0.25">
      <c r="A361" s="25"/>
      <c r="B361" s="25"/>
      <c r="D361" s="26">
        <f t="shared" si="44"/>
        <v>0</v>
      </c>
      <c r="E361" s="27">
        <f t="shared" si="45"/>
        <v>41</v>
      </c>
      <c r="F361" s="26">
        <f t="shared" si="46"/>
        <v>0</v>
      </c>
      <c r="G361" s="27">
        <f t="shared" si="47"/>
        <v>41</v>
      </c>
      <c r="J361" s="28">
        <f t="array" ref="J361">IF(ROW(J361)&lt;=COUNTA(D:D)*2,IF(MOD(ROW(J361),2)=1,INDEX(D:D,(ROW(J361)+1)/2),INDEX(F:F,ROW(J361)/2)),"")</f>
        <v>-357.9</v>
      </c>
      <c r="K361" s="28">
        <f t="array" ref="K361">IF(ROW(K361)&lt;=COUNTA(E:E)*2,IF(MOD(ROW(K361),2)=1,INDEX(E:E,(ROW(K361)+1)/2),INDEX(G:G,ROW(K361)/2)),"")</f>
        <v>44.98</v>
      </c>
    </row>
    <row r="362" spans="1:11" x14ac:dyDescent="0.25">
      <c r="A362" s="25"/>
      <c r="B362" s="25"/>
      <c r="D362" s="26">
        <f t="shared" si="44"/>
        <v>0</v>
      </c>
      <c r="E362" s="27">
        <f t="shared" si="45"/>
        <v>41</v>
      </c>
      <c r="F362" s="26">
        <f t="shared" si="46"/>
        <v>0</v>
      </c>
      <c r="G362" s="27">
        <f t="shared" si="47"/>
        <v>41</v>
      </c>
      <c r="J362" s="28">
        <f t="array" ref="J362">IF(ROW(J362)&lt;=COUNTA(D:D)*2,IF(MOD(ROW(J362),2)=1,INDEX(D:D,(ROW(J362)+1)/2),INDEX(F:F,ROW(J362)/2)),"")</f>
        <v>-359.9</v>
      </c>
      <c r="K362" s="28">
        <f t="array" ref="K362">IF(ROW(K362)&lt;=COUNTA(E:E)*2,IF(MOD(ROW(K362),2)=1,INDEX(E:E,(ROW(K362)+1)/2),INDEX(G:G,ROW(K362)/2)),"")</f>
        <v>44.98</v>
      </c>
    </row>
    <row r="363" spans="1:11" x14ac:dyDescent="0.25">
      <c r="A363" s="25"/>
      <c r="B363" s="25"/>
      <c r="D363" s="26">
        <f t="shared" si="44"/>
        <v>0</v>
      </c>
      <c r="E363" s="27">
        <f t="shared" si="45"/>
        <v>41</v>
      </c>
      <c r="F363" s="26">
        <f t="shared" si="46"/>
        <v>0</v>
      </c>
      <c r="G363" s="27">
        <f t="shared" si="47"/>
        <v>41</v>
      </c>
      <c r="J363" s="28">
        <f t="array" ref="J363">IF(ROW(J363)&lt;=COUNTA(D:D)*2,IF(MOD(ROW(J363),2)=1,INDEX(D:D,(ROW(J363)+1)/2),INDEX(F:F,ROW(J363)/2)),"")</f>
        <v>-359.9</v>
      </c>
      <c r="K363" s="28">
        <f t="array" ref="K363">IF(ROW(K363)&lt;=COUNTA(E:E)*2,IF(MOD(ROW(K363),2)=1,INDEX(E:E,(ROW(K363)+1)/2),INDEX(G:G,ROW(K363)/2)),"")</f>
        <v>44.98</v>
      </c>
    </row>
    <row r="364" spans="1:11" x14ac:dyDescent="0.25">
      <c r="A364" s="25"/>
      <c r="B364" s="25"/>
      <c r="D364" s="26">
        <f t="shared" si="44"/>
        <v>0</v>
      </c>
      <c r="E364" s="27">
        <f t="shared" si="45"/>
        <v>41</v>
      </c>
      <c r="F364" s="26">
        <f t="shared" si="46"/>
        <v>0</v>
      </c>
      <c r="G364" s="27">
        <f t="shared" si="47"/>
        <v>41</v>
      </c>
      <c r="J364" s="28">
        <f t="array" ref="J364">IF(ROW(J364)&lt;=COUNTA(D:D)*2,IF(MOD(ROW(J364),2)=1,INDEX(D:D,(ROW(J364)+1)/2),INDEX(F:F,ROW(J364)/2)),"")</f>
        <v>-361.9</v>
      </c>
      <c r="K364" s="28">
        <f t="array" ref="K364">IF(ROW(K364)&lt;=COUNTA(E:E)*2,IF(MOD(ROW(K364),2)=1,INDEX(E:E,(ROW(K364)+1)/2),INDEX(G:G,ROW(K364)/2)),"")</f>
        <v>44.98</v>
      </c>
    </row>
    <row r="365" spans="1:11" x14ac:dyDescent="0.25">
      <c r="A365" s="25"/>
      <c r="B365" s="25"/>
      <c r="D365" s="26">
        <f t="shared" si="44"/>
        <v>0</v>
      </c>
      <c r="E365" s="27">
        <f t="shared" si="45"/>
        <v>41</v>
      </c>
      <c r="F365" s="26">
        <f t="shared" si="46"/>
        <v>0</v>
      </c>
      <c r="G365" s="27">
        <f t="shared" si="47"/>
        <v>41</v>
      </c>
      <c r="J365" s="28">
        <f t="array" ref="J365">IF(ROW(J365)&lt;=COUNTA(D:D)*2,IF(MOD(ROW(J365),2)=1,INDEX(D:D,(ROW(J365)+1)/2),INDEX(F:F,ROW(J365)/2)),"")</f>
        <v>-361.9</v>
      </c>
      <c r="K365" s="28">
        <f t="array" ref="K365">IF(ROW(K365)&lt;=COUNTA(E:E)*2,IF(MOD(ROW(K365),2)=1,INDEX(E:E,(ROW(K365)+1)/2),INDEX(G:G,ROW(K365)/2)),"")</f>
        <v>44.98</v>
      </c>
    </row>
    <row r="366" spans="1:11" x14ac:dyDescent="0.25">
      <c r="A366" s="25"/>
      <c r="B366" s="25"/>
      <c r="D366" s="26">
        <f t="shared" si="44"/>
        <v>0</v>
      </c>
      <c r="E366" s="27">
        <f t="shared" si="45"/>
        <v>41</v>
      </c>
      <c r="F366" s="26">
        <f t="shared" si="46"/>
        <v>0</v>
      </c>
      <c r="G366" s="27">
        <f t="shared" si="47"/>
        <v>41</v>
      </c>
      <c r="J366" s="28">
        <f t="array" ref="J366">IF(ROW(J366)&lt;=COUNTA(D:D)*2,IF(MOD(ROW(J366),2)=1,INDEX(D:D,(ROW(J366)+1)/2),INDEX(F:F,ROW(J366)/2)),"")</f>
        <v>-363.9</v>
      </c>
      <c r="K366" s="28">
        <f t="array" ref="K366">IF(ROW(K366)&lt;=COUNTA(E:E)*2,IF(MOD(ROW(K366),2)=1,INDEX(E:E,(ROW(K366)+1)/2),INDEX(G:G,ROW(K366)/2)),"")</f>
        <v>44.98</v>
      </c>
    </row>
    <row r="367" spans="1:11" x14ac:dyDescent="0.25">
      <c r="A367" s="25"/>
      <c r="B367" s="25"/>
      <c r="D367" s="26">
        <f t="shared" si="44"/>
        <v>0</v>
      </c>
      <c r="E367" s="27">
        <f t="shared" si="45"/>
        <v>41</v>
      </c>
      <c r="F367" s="26">
        <f t="shared" si="46"/>
        <v>0</v>
      </c>
      <c r="G367" s="27">
        <f t="shared" si="47"/>
        <v>41</v>
      </c>
      <c r="J367" s="28">
        <f t="array" ref="J367">IF(ROW(J367)&lt;=COUNTA(D:D)*2,IF(MOD(ROW(J367),2)=1,INDEX(D:D,(ROW(J367)+1)/2),INDEX(F:F,ROW(J367)/2)),"")</f>
        <v>-363.9</v>
      </c>
      <c r="K367" s="28">
        <f t="array" ref="K367">IF(ROW(K367)&lt;=COUNTA(E:E)*2,IF(MOD(ROW(K367),2)=1,INDEX(E:E,(ROW(K367)+1)/2),INDEX(G:G,ROW(K367)/2)),"")</f>
        <v>44.98</v>
      </c>
    </row>
    <row r="368" spans="1:11" x14ac:dyDescent="0.25">
      <c r="A368" s="25"/>
      <c r="B368" s="25"/>
      <c r="D368" s="26">
        <f t="shared" si="44"/>
        <v>0</v>
      </c>
      <c r="E368" s="27">
        <f t="shared" si="45"/>
        <v>41</v>
      </c>
      <c r="F368" s="26">
        <f t="shared" si="46"/>
        <v>0</v>
      </c>
      <c r="G368" s="27">
        <f t="shared" si="47"/>
        <v>41</v>
      </c>
      <c r="J368" s="28">
        <f t="array" ref="J368">IF(ROW(J368)&lt;=COUNTA(D:D)*2,IF(MOD(ROW(J368),2)=1,INDEX(D:D,(ROW(J368)+1)/2),INDEX(F:F,ROW(J368)/2)),"")</f>
        <v>-365.9</v>
      </c>
      <c r="K368" s="28">
        <f t="array" ref="K368">IF(ROW(K368)&lt;=COUNTA(E:E)*2,IF(MOD(ROW(K368),2)=1,INDEX(E:E,(ROW(K368)+1)/2),INDEX(G:G,ROW(K368)/2)),"")</f>
        <v>44.98</v>
      </c>
    </row>
    <row r="369" spans="1:11" x14ac:dyDescent="0.25">
      <c r="A369" s="25"/>
      <c r="B369" s="25"/>
      <c r="D369" s="26">
        <f t="shared" si="44"/>
        <v>0</v>
      </c>
      <c r="E369" s="27">
        <f t="shared" si="45"/>
        <v>41</v>
      </c>
      <c r="F369" s="26">
        <f t="shared" si="46"/>
        <v>0</v>
      </c>
      <c r="G369" s="27">
        <f t="shared" si="47"/>
        <v>41</v>
      </c>
      <c r="J369" s="28">
        <f t="array" ref="J369">IF(ROW(J369)&lt;=COUNTA(D:D)*2,IF(MOD(ROW(J369),2)=1,INDEX(D:D,(ROW(J369)+1)/2),INDEX(F:F,ROW(J369)/2)),"")</f>
        <v>-365.9</v>
      </c>
      <c r="K369" s="28">
        <f t="array" ref="K369">IF(ROW(K369)&lt;=COUNTA(E:E)*2,IF(MOD(ROW(K369),2)=1,INDEX(E:E,(ROW(K369)+1)/2),INDEX(G:G,ROW(K369)/2)),"")</f>
        <v>44.98</v>
      </c>
    </row>
    <row r="370" spans="1:11" x14ac:dyDescent="0.25">
      <c r="A370" s="25"/>
      <c r="B370" s="25"/>
      <c r="D370" s="26">
        <f t="shared" si="44"/>
        <v>0</v>
      </c>
      <c r="E370" s="27">
        <f t="shared" si="45"/>
        <v>41</v>
      </c>
      <c r="F370" s="26">
        <f t="shared" si="46"/>
        <v>0</v>
      </c>
      <c r="G370" s="27">
        <f t="shared" si="47"/>
        <v>41</v>
      </c>
      <c r="J370" s="28">
        <f t="array" ref="J370">IF(ROW(J370)&lt;=COUNTA(D:D)*2,IF(MOD(ROW(J370),2)=1,INDEX(D:D,(ROW(J370)+1)/2),INDEX(F:F,ROW(J370)/2)),"")</f>
        <v>-367.9</v>
      </c>
      <c r="K370" s="28">
        <f t="array" ref="K370">IF(ROW(K370)&lt;=COUNTA(E:E)*2,IF(MOD(ROW(K370),2)=1,INDEX(E:E,(ROW(K370)+1)/2),INDEX(G:G,ROW(K370)/2)),"")</f>
        <v>44.98</v>
      </c>
    </row>
    <row r="371" spans="1:11" x14ac:dyDescent="0.25">
      <c r="A371" s="25"/>
      <c r="B371" s="25"/>
      <c r="D371" s="26">
        <f t="shared" si="44"/>
        <v>0</v>
      </c>
      <c r="E371" s="27">
        <f t="shared" si="45"/>
        <v>41</v>
      </c>
      <c r="F371" s="26">
        <f t="shared" si="46"/>
        <v>0</v>
      </c>
      <c r="G371" s="27">
        <f t="shared" si="47"/>
        <v>41</v>
      </c>
      <c r="J371" s="28">
        <f t="array" ref="J371">IF(ROW(J371)&lt;=COUNTA(D:D)*2,IF(MOD(ROW(J371),2)=1,INDEX(D:D,(ROW(J371)+1)/2),INDEX(F:F,ROW(J371)/2)),"")</f>
        <v>-367.9</v>
      </c>
      <c r="K371" s="28">
        <f t="array" ref="K371">IF(ROW(K371)&lt;=COUNTA(E:E)*2,IF(MOD(ROW(K371),2)=1,INDEX(E:E,(ROW(K371)+1)/2),INDEX(G:G,ROW(K371)/2)),"")</f>
        <v>44.98</v>
      </c>
    </row>
    <row r="372" spans="1:11" x14ac:dyDescent="0.25">
      <c r="A372" s="25"/>
      <c r="B372" s="25"/>
      <c r="D372" s="26">
        <f t="shared" si="44"/>
        <v>0</v>
      </c>
      <c r="E372" s="27">
        <f t="shared" si="45"/>
        <v>41</v>
      </c>
      <c r="F372" s="26">
        <f t="shared" si="46"/>
        <v>0</v>
      </c>
      <c r="G372" s="27">
        <f t="shared" si="47"/>
        <v>41</v>
      </c>
      <c r="J372" s="28">
        <f t="array" ref="J372">IF(ROW(J372)&lt;=COUNTA(D:D)*2,IF(MOD(ROW(J372),2)=1,INDEX(D:D,(ROW(J372)+1)/2),INDEX(F:F,ROW(J372)/2)),"")</f>
        <v>-369.9</v>
      </c>
      <c r="K372" s="28">
        <f t="array" ref="K372">IF(ROW(K372)&lt;=COUNTA(E:E)*2,IF(MOD(ROW(K372),2)=1,INDEX(E:E,(ROW(K372)+1)/2),INDEX(G:G,ROW(K372)/2)),"")</f>
        <v>44.98</v>
      </c>
    </row>
    <row r="373" spans="1:11" x14ac:dyDescent="0.25">
      <c r="A373" s="25"/>
      <c r="B373" s="25"/>
      <c r="D373" s="26">
        <f t="shared" si="44"/>
        <v>0</v>
      </c>
      <c r="E373" s="27">
        <f t="shared" si="45"/>
        <v>41</v>
      </c>
      <c r="F373" s="26">
        <f t="shared" si="46"/>
        <v>0</v>
      </c>
      <c r="G373" s="27">
        <f t="shared" si="47"/>
        <v>41</v>
      </c>
      <c r="J373" s="28">
        <f t="array" ref="J373">IF(ROW(J373)&lt;=COUNTA(D:D)*2,IF(MOD(ROW(J373),2)=1,INDEX(D:D,(ROW(J373)+1)/2),INDEX(F:F,ROW(J373)/2)),"")</f>
        <v>-369.9</v>
      </c>
      <c r="K373" s="28">
        <f t="array" ref="K373">IF(ROW(K373)&lt;=COUNTA(E:E)*2,IF(MOD(ROW(K373),2)=1,INDEX(E:E,(ROW(K373)+1)/2),INDEX(G:G,ROW(K373)/2)),"")</f>
        <v>44.98</v>
      </c>
    </row>
    <row r="374" spans="1:11" x14ac:dyDescent="0.25">
      <c r="A374" s="25"/>
      <c r="B374" s="25"/>
      <c r="D374" s="26">
        <f t="shared" si="44"/>
        <v>0</v>
      </c>
      <c r="E374" s="27">
        <f t="shared" si="45"/>
        <v>41</v>
      </c>
      <c r="F374" s="26">
        <f t="shared" si="46"/>
        <v>0</v>
      </c>
      <c r="G374" s="27">
        <f t="shared" si="47"/>
        <v>41</v>
      </c>
      <c r="J374" s="28">
        <f t="array" ref="J374">IF(ROW(J374)&lt;=COUNTA(D:D)*2,IF(MOD(ROW(J374),2)=1,INDEX(D:D,(ROW(J374)+1)/2),INDEX(F:F,ROW(J374)/2)),"")</f>
        <v>-371.9</v>
      </c>
      <c r="K374" s="28">
        <f t="array" ref="K374">IF(ROW(K374)&lt;=COUNTA(E:E)*2,IF(MOD(ROW(K374),2)=1,INDEX(E:E,(ROW(K374)+1)/2),INDEX(G:G,ROW(K374)/2)),"")</f>
        <v>44.98</v>
      </c>
    </row>
    <row r="375" spans="1:11" x14ac:dyDescent="0.25">
      <c r="A375" s="25"/>
      <c r="B375" s="25"/>
      <c r="D375" s="26">
        <f t="shared" si="44"/>
        <v>0</v>
      </c>
      <c r="E375" s="27">
        <f t="shared" si="45"/>
        <v>41</v>
      </c>
      <c r="F375" s="26">
        <f t="shared" si="46"/>
        <v>0</v>
      </c>
      <c r="G375" s="27">
        <f t="shared" si="47"/>
        <v>41</v>
      </c>
      <c r="J375" s="28">
        <f t="array" ref="J375">IF(ROW(J375)&lt;=COUNTA(D:D)*2,IF(MOD(ROW(J375),2)=1,INDEX(D:D,(ROW(J375)+1)/2),INDEX(F:F,ROW(J375)/2)),"")</f>
        <v>-371.9</v>
      </c>
      <c r="K375" s="28">
        <f t="array" ref="K375">IF(ROW(K375)&lt;=COUNTA(E:E)*2,IF(MOD(ROW(K375),2)=1,INDEX(E:E,(ROW(K375)+1)/2),INDEX(G:G,ROW(K375)/2)),"")</f>
        <v>44.88</v>
      </c>
    </row>
    <row r="376" spans="1:11" x14ac:dyDescent="0.25">
      <c r="A376" s="25"/>
      <c r="B376" s="25"/>
      <c r="D376" s="26">
        <f t="shared" si="44"/>
        <v>0</v>
      </c>
      <c r="E376" s="27">
        <f t="shared" si="45"/>
        <v>41</v>
      </c>
      <c r="F376" s="26">
        <f t="shared" si="46"/>
        <v>0</v>
      </c>
      <c r="G376" s="27">
        <f t="shared" si="47"/>
        <v>41</v>
      </c>
      <c r="J376" s="28">
        <f t="array" ref="J376">IF(ROW(J376)&lt;=COUNTA(D:D)*2,IF(MOD(ROW(J376),2)=1,INDEX(D:D,(ROW(J376)+1)/2),INDEX(F:F,ROW(J376)/2)),"")</f>
        <v>-373.9</v>
      </c>
      <c r="K376" s="28">
        <f t="array" ref="K376">IF(ROW(K376)&lt;=COUNTA(E:E)*2,IF(MOD(ROW(K376),2)=1,INDEX(E:E,(ROW(K376)+1)/2),INDEX(G:G,ROW(K376)/2)),"")</f>
        <v>44.88</v>
      </c>
    </row>
    <row r="377" spans="1:11" x14ac:dyDescent="0.25">
      <c r="A377" s="25"/>
      <c r="B377" s="25"/>
      <c r="D377" s="26">
        <f t="shared" si="44"/>
        <v>0</v>
      </c>
      <c r="E377" s="27">
        <f t="shared" si="45"/>
        <v>41</v>
      </c>
      <c r="F377" s="26">
        <f t="shared" si="46"/>
        <v>0</v>
      </c>
      <c r="G377" s="27">
        <f t="shared" si="47"/>
        <v>41</v>
      </c>
      <c r="J377" s="28">
        <f t="array" ref="J377">IF(ROW(J377)&lt;=COUNTA(D:D)*2,IF(MOD(ROW(J377),2)=1,INDEX(D:D,(ROW(J377)+1)/2),INDEX(F:F,ROW(J377)/2)),"")</f>
        <v>-373.9</v>
      </c>
      <c r="K377" s="28">
        <f t="array" ref="K377">IF(ROW(K377)&lt;=COUNTA(E:E)*2,IF(MOD(ROW(K377),2)=1,INDEX(E:E,(ROW(K377)+1)/2),INDEX(G:G,ROW(K377)/2)),"")</f>
        <v>44.94</v>
      </c>
    </row>
    <row r="378" spans="1:11" x14ac:dyDescent="0.25">
      <c r="A378" s="25"/>
      <c r="B378" s="25"/>
      <c r="D378" s="26">
        <f t="shared" si="44"/>
        <v>0</v>
      </c>
      <c r="E378" s="27">
        <f t="shared" si="45"/>
        <v>41</v>
      </c>
      <c r="F378" s="26">
        <f t="shared" si="46"/>
        <v>0</v>
      </c>
      <c r="G378" s="27">
        <f t="shared" si="47"/>
        <v>41</v>
      </c>
      <c r="J378" s="28">
        <f t="array" ref="J378">IF(ROW(J378)&lt;=COUNTA(D:D)*2,IF(MOD(ROW(J378),2)=1,INDEX(D:D,(ROW(J378)+1)/2),INDEX(F:F,ROW(J378)/2)),"")</f>
        <v>-375.9</v>
      </c>
      <c r="K378" s="28">
        <f t="array" ref="K378">IF(ROW(K378)&lt;=COUNTA(E:E)*2,IF(MOD(ROW(K378),2)=1,INDEX(E:E,(ROW(K378)+1)/2),INDEX(G:G,ROW(K378)/2)),"")</f>
        <v>44.94</v>
      </c>
    </row>
    <row r="379" spans="1:11" x14ac:dyDescent="0.25">
      <c r="A379" s="25"/>
      <c r="B379" s="25"/>
      <c r="D379" s="26">
        <f t="shared" si="44"/>
        <v>0</v>
      </c>
      <c r="E379" s="27">
        <f t="shared" si="45"/>
        <v>41</v>
      </c>
      <c r="F379" s="26">
        <f t="shared" si="46"/>
        <v>0</v>
      </c>
      <c r="G379" s="27">
        <f t="shared" si="47"/>
        <v>41</v>
      </c>
      <c r="J379" s="28">
        <f t="array" ref="J379">IF(ROW(J379)&lt;=COUNTA(D:D)*2,IF(MOD(ROW(J379),2)=1,INDEX(D:D,(ROW(J379)+1)/2),INDEX(F:F,ROW(J379)/2)),"")</f>
        <v>-375.9</v>
      </c>
      <c r="K379" s="28">
        <f t="array" ref="K379">IF(ROW(K379)&lt;=COUNTA(E:E)*2,IF(MOD(ROW(K379),2)=1,INDEX(E:E,(ROW(K379)+1)/2),INDEX(G:G,ROW(K379)/2)),"")</f>
        <v>44.94</v>
      </c>
    </row>
    <row r="380" spans="1:11" x14ac:dyDescent="0.25">
      <c r="A380" s="25"/>
      <c r="B380" s="25"/>
      <c r="D380" s="26">
        <f t="shared" si="44"/>
        <v>0</v>
      </c>
      <c r="E380" s="27">
        <f t="shared" si="45"/>
        <v>41</v>
      </c>
      <c r="F380" s="26">
        <f t="shared" si="46"/>
        <v>0</v>
      </c>
      <c r="G380" s="27">
        <f t="shared" si="47"/>
        <v>41</v>
      </c>
      <c r="J380" s="28">
        <f t="array" ref="J380">IF(ROW(J380)&lt;=COUNTA(D:D)*2,IF(MOD(ROW(J380),2)=1,INDEX(D:D,(ROW(J380)+1)/2),INDEX(F:F,ROW(J380)/2)),"")</f>
        <v>-377.9</v>
      </c>
      <c r="K380" s="28">
        <f t="array" ref="K380">IF(ROW(K380)&lt;=COUNTA(E:E)*2,IF(MOD(ROW(K380),2)=1,INDEX(E:E,(ROW(K380)+1)/2),INDEX(G:G,ROW(K380)/2)),"")</f>
        <v>44.94</v>
      </c>
    </row>
    <row r="381" spans="1:11" x14ac:dyDescent="0.25">
      <c r="A381" s="25"/>
      <c r="B381" s="25"/>
      <c r="D381" s="26">
        <f t="shared" si="44"/>
        <v>0</v>
      </c>
      <c r="E381" s="27">
        <f t="shared" si="45"/>
        <v>41</v>
      </c>
      <c r="F381" s="26">
        <f t="shared" si="46"/>
        <v>0</v>
      </c>
      <c r="G381" s="27">
        <f t="shared" si="47"/>
        <v>41</v>
      </c>
      <c r="J381" s="28">
        <f t="array" ref="J381">IF(ROW(J381)&lt;=COUNTA(D:D)*2,IF(MOD(ROW(J381),2)=1,INDEX(D:D,(ROW(J381)+1)/2),INDEX(F:F,ROW(J381)/2)),"")</f>
        <v>-377.9</v>
      </c>
      <c r="K381" s="28">
        <f t="array" ref="K381">IF(ROW(K381)&lt;=COUNTA(E:E)*2,IF(MOD(ROW(K381),2)=1,INDEX(E:E,(ROW(K381)+1)/2),INDEX(G:G,ROW(K381)/2)),"")</f>
        <v>44.94</v>
      </c>
    </row>
    <row r="382" spans="1:11" x14ac:dyDescent="0.25">
      <c r="A382" s="25"/>
      <c r="B382" s="25"/>
      <c r="D382" s="26">
        <f t="shared" si="44"/>
        <v>0</v>
      </c>
      <c r="E382" s="27">
        <f t="shared" si="45"/>
        <v>41</v>
      </c>
      <c r="F382" s="26">
        <f t="shared" si="46"/>
        <v>0</v>
      </c>
      <c r="G382" s="27">
        <f t="shared" si="47"/>
        <v>41</v>
      </c>
      <c r="J382" s="28">
        <f t="array" ref="J382">IF(ROW(J382)&lt;=COUNTA(D:D)*2,IF(MOD(ROW(J382),2)=1,INDEX(D:D,(ROW(J382)+1)/2),INDEX(F:F,ROW(J382)/2)),"")</f>
        <v>-379.9</v>
      </c>
      <c r="K382" s="28">
        <f t="array" ref="K382">IF(ROW(K382)&lt;=COUNTA(E:E)*2,IF(MOD(ROW(K382),2)=1,INDEX(E:E,(ROW(K382)+1)/2),INDEX(G:G,ROW(K382)/2)),"")</f>
        <v>44.94</v>
      </c>
    </row>
    <row r="383" spans="1:11" x14ac:dyDescent="0.25">
      <c r="A383" s="25"/>
      <c r="B383" s="25"/>
      <c r="D383" s="26">
        <f t="shared" si="44"/>
        <v>0</v>
      </c>
      <c r="E383" s="27">
        <f t="shared" si="45"/>
        <v>41</v>
      </c>
      <c r="F383" s="26">
        <f t="shared" si="46"/>
        <v>0</v>
      </c>
      <c r="G383" s="27">
        <f t="shared" si="47"/>
        <v>41</v>
      </c>
      <c r="J383" s="28">
        <f t="array" ref="J383">IF(ROW(J383)&lt;=COUNTA(D:D)*2,IF(MOD(ROW(J383),2)=1,INDEX(D:D,(ROW(J383)+1)/2),INDEX(F:F,ROW(J383)/2)),"")</f>
        <v>-379.9</v>
      </c>
      <c r="K383" s="28">
        <f t="array" ref="K383">IF(ROW(K383)&lt;=COUNTA(E:E)*2,IF(MOD(ROW(K383),2)=1,INDEX(E:E,(ROW(K383)+1)/2),INDEX(G:G,ROW(K383)/2)),"")</f>
        <v>44.86</v>
      </c>
    </row>
    <row r="384" spans="1:11" x14ac:dyDescent="0.25">
      <c r="A384" s="25"/>
      <c r="B384" s="25"/>
      <c r="D384" s="26">
        <f t="shared" si="44"/>
        <v>0</v>
      </c>
      <c r="E384" s="27">
        <f t="shared" si="45"/>
        <v>41</v>
      </c>
      <c r="F384" s="26">
        <f t="shared" si="46"/>
        <v>0</v>
      </c>
      <c r="G384" s="27">
        <f t="shared" si="47"/>
        <v>41</v>
      </c>
      <c r="J384" s="28">
        <f t="array" ref="J384">IF(ROW(J384)&lt;=COUNTA(D:D)*2,IF(MOD(ROW(J384),2)=1,INDEX(D:D,(ROW(J384)+1)/2),INDEX(F:F,ROW(J384)/2)),"")</f>
        <v>-381.9</v>
      </c>
      <c r="K384" s="28">
        <f t="array" ref="K384">IF(ROW(K384)&lt;=COUNTA(E:E)*2,IF(MOD(ROW(K384),2)=1,INDEX(E:E,(ROW(K384)+1)/2),INDEX(G:G,ROW(K384)/2)),"")</f>
        <v>44.86</v>
      </c>
    </row>
    <row r="385" spans="1:11" x14ac:dyDescent="0.25">
      <c r="A385" s="25"/>
      <c r="B385" s="25"/>
      <c r="D385" s="26">
        <f t="shared" si="44"/>
        <v>0</v>
      </c>
      <c r="E385" s="27">
        <f t="shared" si="45"/>
        <v>41</v>
      </c>
      <c r="F385" s="26">
        <f t="shared" si="46"/>
        <v>0</v>
      </c>
      <c r="G385" s="27">
        <f t="shared" si="47"/>
        <v>41</v>
      </c>
      <c r="J385" s="28">
        <f t="array" ref="J385">IF(ROW(J385)&lt;=COUNTA(D:D)*2,IF(MOD(ROW(J385),2)=1,INDEX(D:D,(ROW(J385)+1)/2),INDEX(F:F,ROW(J385)/2)),"")</f>
        <v>-381.9</v>
      </c>
      <c r="K385" s="28">
        <f t="array" ref="K385">IF(ROW(K385)&lt;=COUNTA(E:E)*2,IF(MOD(ROW(K385),2)=1,INDEX(E:E,(ROW(K385)+1)/2),INDEX(G:G,ROW(K385)/2)),"")</f>
        <v>44.92</v>
      </c>
    </row>
    <row r="386" spans="1:11" x14ac:dyDescent="0.25">
      <c r="A386" s="25"/>
      <c r="B386" s="25"/>
      <c r="D386" s="26">
        <f t="shared" si="44"/>
        <v>0</v>
      </c>
      <c r="E386" s="27">
        <f t="shared" si="45"/>
        <v>41</v>
      </c>
      <c r="F386" s="26">
        <f t="shared" si="46"/>
        <v>0</v>
      </c>
      <c r="G386" s="27">
        <f t="shared" si="47"/>
        <v>41</v>
      </c>
      <c r="J386" s="28">
        <f t="array" ref="J386">IF(ROW(J386)&lt;=COUNTA(D:D)*2,IF(MOD(ROW(J386),2)=1,INDEX(D:D,(ROW(J386)+1)/2),INDEX(F:F,ROW(J386)/2)),"")</f>
        <v>-383.9</v>
      </c>
      <c r="K386" s="28">
        <f t="array" ref="K386">IF(ROW(K386)&lt;=COUNTA(E:E)*2,IF(MOD(ROW(K386),2)=1,INDEX(E:E,(ROW(K386)+1)/2),INDEX(G:G,ROW(K386)/2)),"")</f>
        <v>44.92</v>
      </c>
    </row>
    <row r="387" spans="1:11" x14ac:dyDescent="0.25">
      <c r="A387" s="25"/>
      <c r="B387" s="25"/>
      <c r="J387" s="28">
        <f t="array" ref="J387">IF(ROW(J387)&lt;=COUNTA(D:D)*2,IF(MOD(ROW(J387),2)=1,INDEX(D:D,(ROW(J387)+1)/2),INDEX(F:F,ROW(J387)/2)),"")</f>
        <v>-383.9</v>
      </c>
      <c r="K387" s="28">
        <f t="array" ref="K387">IF(ROW(K387)&lt;=COUNTA(E:E)*2,IF(MOD(ROW(K387),2)=1,INDEX(E:E,(ROW(K387)+1)/2),INDEX(G:G,ROW(K387)/2)),"")</f>
        <v>44.92</v>
      </c>
    </row>
    <row r="388" spans="1:11" x14ac:dyDescent="0.25">
      <c r="A388" s="25"/>
      <c r="B388" s="25"/>
      <c r="J388" s="28">
        <f t="array" ref="J388">IF(ROW(J388)&lt;=COUNTA(D:D)*2,IF(MOD(ROW(J388),2)=1,INDEX(D:D,(ROW(J388)+1)/2),INDEX(F:F,ROW(J388)/2)),"")</f>
        <v>-385.9</v>
      </c>
      <c r="K388" s="28">
        <f t="array" ref="K388">IF(ROW(K388)&lt;=COUNTA(E:E)*2,IF(MOD(ROW(K388),2)=1,INDEX(E:E,(ROW(K388)+1)/2),INDEX(G:G,ROW(K388)/2)),"")</f>
        <v>44.92</v>
      </c>
    </row>
    <row r="389" spans="1:11" x14ac:dyDescent="0.25">
      <c r="A389" s="25"/>
      <c r="B389" s="25"/>
      <c r="J389" s="28">
        <f t="array" ref="J389">IF(ROW(J389)&lt;=COUNTA(D:D)*2,IF(MOD(ROW(J389),2)=1,INDEX(D:D,(ROW(J389)+1)/2),INDEX(F:F,ROW(J389)/2)),"")</f>
        <v>-385.9</v>
      </c>
      <c r="K389" s="28">
        <f t="array" ref="K389">IF(ROW(K389)&lt;=COUNTA(E:E)*2,IF(MOD(ROW(K389),2)=1,INDEX(E:E,(ROW(K389)+1)/2),INDEX(G:G,ROW(K389)/2)),"")</f>
        <v>44.94</v>
      </c>
    </row>
    <row r="390" spans="1:11" x14ac:dyDescent="0.25">
      <c r="A390" s="25"/>
      <c r="B390" s="25"/>
      <c r="J390" s="28">
        <f t="array" ref="J390">IF(ROW(J390)&lt;=COUNTA(D:D)*2,IF(MOD(ROW(J390),2)=1,INDEX(D:D,(ROW(J390)+1)/2),INDEX(F:F,ROW(J390)/2)),"")</f>
        <v>-387.9</v>
      </c>
      <c r="K390" s="28">
        <f t="array" ref="K390">IF(ROW(K390)&lt;=COUNTA(E:E)*2,IF(MOD(ROW(K390),2)=1,INDEX(E:E,(ROW(K390)+1)/2),INDEX(G:G,ROW(K390)/2)),"")</f>
        <v>44.94</v>
      </c>
    </row>
    <row r="391" spans="1:11" x14ac:dyDescent="0.25">
      <c r="A391" s="25"/>
      <c r="B391" s="25"/>
      <c r="J391" s="28">
        <f t="array" ref="J391">IF(ROW(J391)&lt;=COUNTA(D:D)*2,IF(MOD(ROW(J391),2)=1,INDEX(D:D,(ROW(J391)+1)/2),INDEX(F:F,ROW(J391)/2)),"")</f>
        <v>-387.9</v>
      </c>
      <c r="K391" s="28">
        <f t="array" ref="K391">IF(ROW(K391)&lt;=COUNTA(E:E)*2,IF(MOD(ROW(K391),2)=1,INDEX(E:E,(ROW(K391)+1)/2),INDEX(G:G,ROW(K391)/2)),"")</f>
        <v>44.9</v>
      </c>
    </row>
    <row r="392" spans="1:11" x14ac:dyDescent="0.25">
      <c r="A392" s="25"/>
      <c r="B392" s="25"/>
      <c r="J392" s="28">
        <f t="array" ref="J392">IF(ROW(J392)&lt;=COUNTA(D:D)*2,IF(MOD(ROW(J392),2)=1,INDEX(D:D,(ROW(J392)+1)/2),INDEX(F:F,ROW(J392)/2)),"")</f>
        <v>-389.9</v>
      </c>
      <c r="K392" s="28">
        <f t="array" ref="K392">IF(ROW(K392)&lt;=COUNTA(E:E)*2,IF(MOD(ROW(K392),2)=1,INDEX(E:E,(ROW(K392)+1)/2),INDEX(G:G,ROW(K392)/2)),"")</f>
        <v>44.9</v>
      </c>
    </row>
    <row r="393" spans="1:11" x14ac:dyDescent="0.25">
      <c r="A393" s="25"/>
      <c r="B393" s="25"/>
      <c r="J393" s="28">
        <f t="array" ref="J393">IF(ROW(J393)&lt;=COUNTA(D:D)*2,IF(MOD(ROW(J393),2)=1,INDEX(D:D,(ROW(J393)+1)/2),INDEX(F:F,ROW(J393)/2)),"")</f>
        <v>-389.9</v>
      </c>
      <c r="K393" s="28">
        <f t="array" ref="K393">IF(ROW(K393)&lt;=COUNTA(E:E)*2,IF(MOD(ROW(K393),2)=1,INDEX(E:E,(ROW(K393)+1)/2),INDEX(G:G,ROW(K393)/2)),"")</f>
        <v>44.9</v>
      </c>
    </row>
    <row r="394" spans="1:11" x14ac:dyDescent="0.25">
      <c r="A394" s="25"/>
      <c r="B394" s="25"/>
      <c r="J394" s="28">
        <f t="array" ref="J394">IF(ROW(J394)&lt;=COUNTA(D:D)*2,IF(MOD(ROW(J394),2)=1,INDEX(D:D,(ROW(J394)+1)/2),INDEX(F:F,ROW(J394)/2)),"")</f>
        <v>-391.9</v>
      </c>
      <c r="K394" s="28">
        <f t="array" ref="K394">IF(ROW(K394)&lt;=COUNTA(E:E)*2,IF(MOD(ROW(K394),2)=1,INDEX(E:E,(ROW(K394)+1)/2),INDEX(G:G,ROW(K394)/2)),"")</f>
        <v>44.9</v>
      </c>
    </row>
    <row r="395" spans="1:11" x14ac:dyDescent="0.25">
      <c r="A395" s="25"/>
      <c r="B395" s="25"/>
      <c r="J395" s="28">
        <f t="array" ref="J395">IF(ROW(J395)&lt;=COUNTA(D:D)*2,IF(MOD(ROW(J395),2)=1,INDEX(D:D,(ROW(J395)+1)/2),INDEX(F:F,ROW(J395)/2)),"")</f>
        <v>-391.9</v>
      </c>
      <c r="K395" s="28">
        <f t="array" ref="K395">IF(ROW(K395)&lt;=COUNTA(E:E)*2,IF(MOD(ROW(K395),2)=1,INDEX(E:E,(ROW(K395)+1)/2),INDEX(G:G,ROW(K395)/2)),"")</f>
        <v>44.86</v>
      </c>
    </row>
    <row r="396" spans="1:11" x14ac:dyDescent="0.25">
      <c r="A396" s="25"/>
      <c r="B396" s="25"/>
      <c r="J396" s="28">
        <f t="array" ref="J396">IF(ROW(J396)&lt;=COUNTA(D:D)*2,IF(MOD(ROW(J396),2)=1,INDEX(D:D,(ROW(J396)+1)/2),INDEX(F:F,ROW(J396)/2)),"")</f>
        <v>-393.9</v>
      </c>
      <c r="K396" s="28">
        <f t="array" ref="K396">IF(ROW(K396)&lt;=COUNTA(E:E)*2,IF(MOD(ROW(K396),2)=1,INDEX(E:E,(ROW(K396)+1)/2),INDEX(G:G,ROW(K396)/2)),"")</f>
        <v>44.86</v>
      </c>
    </row>
    <row r="397" spans="1:11" x14ac:dyDescent="0.25">
      <c r="A397" s="25"/>
      <c r="B397" s="25"/>
      <c r="J397" s="28">
        <f t="array" ref="J397">IF(ROW(J397)&lt;=COUNTA(D:D)*2,IF(MOD(ROW(J397),2)=1,INDEX(D:D,(ROW(J397)+1)/2),INDEX(F:F,ROW(J397)/2)),"")</f>
        <v>-393.9</v>
      </c>
      <c r="K397" s="28">
        <f t="array" ref="K397">IF(ROW(K397)&lt;=COUNTA(E:E)*2,IF(MOD(ROW(K397),2)=1,INDEX(E:E,(ROW(K397)+1)/2),INDEX(G:G,ROW(K397)/2)),"")</f>
        <v>44.96</v>
      </c>
    </row>
    <row r="398" spans="1:11" x14ac:dyDescent="0.25">
      <c r="A398" s="25"/>
      <c r="B398" s="25"/>
      <c r="J398" s="28">
        <f t="array" ref="J398">IF(ROW(J398)&lt;=COUNTA(D:D)*2,IF(MOD(ROW(J398),2)=1,INDEX(D:D,(ROW(J398)+1)/2),INDEX(F:F,ROW(J398)/2)),"")</f>
        <v>-395.9</v>
      </c>
      <c r="K398" s="28">
        <f t="array" ref="K398">IF(ROW(K398)&lt;=COUNTA(E:E)*2,IF(MOD(ROW(K398),2)=1,INDEX(E:E,(ROW(K398)+1)/2),INDEX(G:G,ROW(K398)/2)),"")</f>
        <v>44.96</v>
      </c>
    </row>
    <row r="399" spans="1:11" x14ac:dyDescent="0.25">
      <c r="A399" s="25"/>
      <c r="B399" s="25"/>
      <c r="J399" s="28">
        <f t="array" ref="J399">IF(ROW(J399)&lt;=COUNTA(D:D)*2,IF(MOD(ROW(J399),2)=1,INDEX(D:D,(ROW(J399)+1)/2),INDEX(F:F,ROW(J399)/2)),"")</f>
        <v>-395.9</v>
      </c>
      <c r="K399" s="28">
        <f t="array" ref="K399">IF(ROW(K399)&lt;=COUNTA(E:E)*2,IF(MOD(ROW(K399),2)=1,INDEX(E:E,(ROW(K399)+1)/2),INDEX(G:G,ROW(K399)/2)),"")</f>
        <v>44.88</v>
      </c>
    </row>
    <row r="400" spans="1:11" x14ac:dyDescent="0.25">
      <c r="A400" s="25"/>
      <c r="B400" s="25"/>
      <c r="J400" s="28">
        <f t="array" ref="J400">IF(ROW(J400)&lt;=COUNTA(D:D)*2,IF(MOD(ROW(J400),2)=1,INDEX(D:D,(ROW(J400)+1)/2),INDEX(F:F,ROW(J400)/2)),"")</f>
        <v>-397.9</v>
      </c>
      <c r="K400" s="28">
        <f t="array" ref="K400">IF(ROW(K400)&lt;=COUNTA(E:E)*2,IF(MOD(ROW(K400),2)=1,INDEX(E:E,(ROW(K400)+1)/2),INDEX(G:G,ROW(K400)/2)),"")</f>
        <v>44.88</v>
      </c>
    </row>
    <row r="401" spans="1:11" x14ac:dyDescent="0.25">
      <c r="A401" s="25"/>
      <c r="B401" s="25"/>
      <c r="J401" s="28">
        <f t="array" ref="J401">IF(ROW(J401)&lt;=COUNTA(D:D)*2,IF(MOD(ROW(J401),2)=1,INDEX(D:D,(ROW(J401)+1)/2),INDEX(F:F,ROW(J401)/2)),"")</f>
        <v>-397.9</v>
      </c>
      <c r="K401" s="28">
        <f t="array" ref="K401">IF(ROW(K401)&lt;=COUNTA(E:E)*2,IF(MOD(ROW(K401),2)=1,INDEX(E:E,(ROW(K401)+1)/2),INDEX(G:G,ROW(K401)/2)),"")</f>
        <v>44.96</v>
      </c>
    </row>
    <row r="402" spans="1:11" x14ac:dyDescent="0.25">
      <c r="A402" s="25"/>
      <c r="B402" s="25"/>
      <c r="J402" s="28">
        <f t="array" ref="J402">IF(ROW(J402)&lt;=COUNTA(D:D)*2,IF(MOD(ROW(J402),2)=1,INDEX(D:D,(ROW(J402)+1)/2),INDEX(F:F,ROW(J402)/2)),"")</f>
        <v>-399.9</v>
      </c>
      <c r="K402" s="28">
        <f t="array" ref="K402">IF(ROW(K402)&lt;=COUNTA(E:E)*2,IF(MOD(ROW(K402),2)=1,INDEX(E:E,(ROW(K402)+1)/2),INDEX(G:G,ROW(K402)/2)),"")</f>
        <v>44.96</v>
      </c>
    </row>
    <row r="403" spans="1:11" x14ac:dyDescent="0.25">
      <c r="A403" s="25"/>
      <c r="B403" s="25"/>
      <c r="J403" s="28">
        <f t="array" ref="J403">IF(ROW(J403)&lt;=COUNTA(D:D)*2,IF(MOD(ROW(J403),2)=1,INDEX(D:D,(ROW(J403)+1)/2),INDEX(F:F,ROW(J403)/2)),"")</f>
        <v>-399.9</v>
      </c>
      <c r="K403" s="28">
        <f t="array" ref="K403">IF(ROW(K403)&lt;=COUNTA(E:E)*2,IF(MOD(ROW(K403),2)=1,INDEX(E:E,(ROW(K403)+1)/2),INDEX(G:G,ROW(K403)/2)),"")</f>
        <v>44.98</v>
      </c>
    </row>
    <row r="404" spans="1:11" x14ac:dyDescent="0.25">
      <c r="A404" s="25"/>
      <c r="B404" s="25"/>
      <c r="J404" s="28">
        <f t="array" ref="J404">IF(ROW(J404)&lt;=COUNTA(D:D)*2,IF(MOD(ROW(J404),2)=1,INDEX(D:D,(ROW(J404)+1)/2),INDEX(F:F,ROW(J404)/2)),"")</f>
        <v>-401.9</v>
      </c>
      <c r="K404" s="28">
        <f t="array" ref="K404">IF(ROW(K404)&lt;=COUNTA(E:E)*2,IF(MOD(ROW(K404),2)=1,INDEX(E:E,(ROW(K404)+1)/2),INDEX(G:G,ROW(K404)/2)),"")</f>
        <v>44.98</v>
      </c>
    </row>
    <row r="405" spans="1:11" x14ac:dyDescent="0.25">
      <c r="A405" s="25"/>
      <c r="B405" s="25"/>
      <c r="J405" s="28">
        <f t="array" ref="J405">IF(ROW(J405)&lt;=COUNTA(D:D)*2,IF(MOD(ROW(J405),2)=1,INDEX(D:D,(ROW(J405)+1)/2),INDEX(F:F,ROW(J405)/2)),"")</f>
        <v>-401.9</v>
      </c>
      <c r="K405" s="28">
        <f t="array" ref="K405">IF(ROW(K405)&lt;=COUNTA(E:E)*2,IF(MOD(ROW(K405),2)=1,INDEX(E:E,(ROW(K405)+1)/2),INDEX(G:G,ROW(K405)/2)),"")</f>
        <v>44.98</v>
      </c>
    </row>
    <row r="406" spans="1:11" x14ac:dyDescent="0.25">
      <c r="A406" s="25"/>
      <c r="B406" s="25"/>
      <c r="J406" s="28">
        <f t="array" ref="J406">IF(ROW(J406)&lt;=COUNTA(D:D)*2,IF(MOD(ROW(J406),2)=1,INDEX(D:D,(ROW(J406)+1)/2),INDEX(F:F,ROW(J406)/2)),"")</f>
        <v>-403.9</v>
      </c>
      <c r="K406" s="28">
        <f t="array" ref="K406">IF(ROW(K406)&lt;=COUNTA(E:E)*2,IF(MOD(ROW(K406),2)=1,INDEX(E:E,(ROW(K406)+1)/2),INDEX(G:G,ROW(K406)/2)),"")</f>
        <v>44.98</v>
      </c>
    </row>
    <row r="407" spans="1:11" x14ac:dyDescent="0.25">
      <c r="A407" s="25"/>
      <c r="B407" s="25"/>
      <c r="J407" s="28">
        <f t="array" ref="J407">IF(ROW(J407)&lt;=COUNTA(D:D)*2,IF(MOD(ROW(J407),2)=1,INDEX(D:D,(ROW(J407)+1)/2),INDEX(F:F,ROW(J407)/2)),"")</f>
        <v>-403.9</v>
      </c>
      <c r="K407" s="28">
        <f t="array" ref="K407">IF(ROW(K407)&lt;=COUNTA(E:E)*2,IF(MOD(ROW(K407),2)=1,INDEX(E:E,(ROW(K407)+1)/2),INDEX(G:G,ROW(K407)/2)),"")</f>
        <v>44.98</v>
      </c>
    </row>
    <row r="408" spans="1:11" x14ac:dyDescent="0.25">
      <c r="A408" s="25"/>
      <c r="B408" s="25"/>
      <c r="J408" s="28">
        <f t="array" ref="J408">IF(ROW(J408)&lt;=COUNTA(D:D)*2,IF(MOD(ROW(J408),2)=1,INDEX(D:D,(ROW(J408)+1)/2),INDEX(F:F,ROW(J408)/2)),"")</f>
        <v>-405.9</v>
      </c>
      <c r="K408" s="28">
        <f t="array" ref="K408">IF(ROW(K408)&lt;=COUNTA(E:E)*2,IF(MOD(ROW(K408),2)=1,INDEX(E:E,(ROW(K408)+1)/2),INDEX(G:G,ROW(K408)/2)),"")</f>
        <v>44.98</v>
      </c>
    </row>
    <row r="409" spans="1:11" x14ac:dyDescent="0.25">
      <c r="A409" s="25"/>
      <c r="B409" s="25"/>
      <c r="J409" s="28">
        <f t="array" ref="J409">IF(ROW(J409)&lt;=COUNTA(D:D)*2,IF(MOD(ROW(J409),2)=1,INDEX(D:D,(ROW(J409)+1)/2),INDEX(F:F,ROW(J409)/2)),"")</f>
        <v>-405.9</v>
      </c>
      <c r="K409" s="28">
        <f t="array" ref="K409">IF(ROW(K409)&lt;=COUNTA(E:E)*2,IF(MOD(ROW(K409),2)=1,INDEX(E:E,(ROW(K409)+1)/2),INDEX(G:G,ROW(K409)/2)),"")</f>
        <v>44.98</v>
      </c>
    </row>
    <row r="410" spans="1:11" x14ac:dyDescent="0.25">
      <c r="A410" s="25"/>
      <c r="B410" s="25"/>
      <c r="J410" s="28">
        <f t="array" ref="J410">IF(ROW(J410)&lt;=COUNTA(D:D)*2,IF(MOD(ROW(J410),2)=1,INDEX(D:D,(ROW(J410)+1)/2),INDEX(F:F,ROW(J410)/2)),"")</f>
        <v>-407.9</v>
      </c>
      <c r="K410" s="28">
        <f t="array" ref="K410">IF(ROW(K410)&lt;=COUNTA(E:E)*2,IF(MOD(ROW(K410),2)=1,INDEX(E:E,(ROW(K410)+1)/2),INDEX(G:G,ROW(K410)/2)),"")</f>
        <v>44.98</v>
      </c>
    </row>
    <row r="411" spans="1:11" x14ac:dyDescent="0.25">
      <c r="A411" s="25"/>
      <c r="B411" s="25"/>
      <c r="J411" s="28">
        <f t="array" ref="J411">IF(ROW(J411)&lt;=COUNTA(D:D)*2,IF(MOD(ROW(J411),2)=1,INDEX(D:D,(ROW(J411)+1)/2),INDEX(F:F,ROW(J411)/2)),"")</f>
        <v>-407.9</v>
      </c>
      <c r="K411" s="28">
        <f t="array" ref="K411">IF(ROW(K411)&lt;=COUNTA(E:E)*2,IF(MOD(ROW(K411),2)=1,INDEX(E:E,(ROW(K411)+1)/2),INDEX(G:G,ROW(K411)/2)),"")</f>
        <v>44.98</v>
      </c>
    </row>
    <row r="412" spans="1:11" x14ac:dyDescent="0.25">
      <c r="A412" s="25"/>
      <c r="B412" s="25"/>
      <c r="J412" s="28">
        <f t="array" ref="J412">IF(ROW(J412)&lt;=COUNTA(D:D)*2,IF(MOD(ROW(J412),2)=1,INDEX(D:D,(ROW(J412)+1)/2),INDEX(F:F,ROW(J412)/2)),"")</f>
        <v>-409.9</v>
      </c>
      <c r="K412" s="28">
        <f t="array" ref="K412">IF(ROW(K412)&lt;=COUNTA(E:E)*2,IF(MOD(ROW(K412),2)=1,INDEX(E:E,(ROW(K412)+1)/2),INDEX(G:G,ROW(K412)/2)),"")</f>
        <v>44.98</v>
      </c>
    </row>
    <row r="413" spans="1:11" x14ac:dyDescent="0.25">
      <c r="A413" s="25"/>
      <c r="B413" s="25"/>
      <c r="J413" s="28">
        <f t="array" ref="J413">IF(ROW(J413)&lt;=COUNTA(D:D)*2,IF(MOD(ROW(J413),2)=1,INDEX(D:D,(ROW(J413)+1)/2),INDEX(F:F,ROW(J413)/2)),"")</f>
        <v>-409.9</v>
      </c>
      <c r="K413" s="28">
        <f t="array" ref="K413">IF(ROW(K413)&lt;=COUNTA(E:E)*2,IF(MOD(ROW(K413),2)=1,INDEX(E:E,(ROW(K413)+1)/2),INDEX(G:G,ROW(K413)/2)),"")</f>
        <v>44.98</v>
      </c>
    </row>
    <row r="414" spans="1:11" x14ac:dyDescent="0.25">
      <c r="A414" s="25"/>
      <c r="B414" s="25"/>
      <c r="J414" s="28">
        <f t="array" ref="J414">IF(ROW(J414)&lt;=COUNTA(D:D)*2,IF(MOD(ROW(J414),2)=1,INDEX(D:D,(ROW(J414)+1)/2),INDEX(F:F,ROW(J414)/2)),"")</f>
        <v>-411.9</v>
      </c>
      <c r="K414" s="28">
        <f t="array" ref="K414">IF(ROW(K414)&lt;=COUNTA(E:E)*2,IF(MOD(ROW(K414),2)=1,INDEX(E:E,(ROW(K414)+1)/2),INDEX(G:G,ROW(K414)/2)),"")</f>
        <v>44.98</v>
      </c>
    </row>
    <row r="415" spans="1:11" x14ac:dyDescent="0.25">
      <c r="A415" s="25"/>
      <c r="B415" s="25"/>
      <c r="J415" s="28">
        <f t="array" ref="J415">IF(ROW(J415)&lt;=COUNTA(D:D)*2,IF(MOD(ROW(J415),2)=1,INDEX(D:D,(ROW(J415)+1)/2),INDEX(F:F,ROW(J415)/2)),"")</f>
        <v>-411.9</v>
      </c>
      <c r="K415" s="28">
        <f t="array" ref="K415">IF(ROW(K415)&lt;=COUNTA(E:E)*2,IF(MOD(ROW(K415),2)=1,INDEX(E:E,(ROW(K415)+1)/2),INDEX(G:G,ROW(K415)/2)),"")</f>
        <v>44.98</v>
      </c>
    </row>
    <row r="416" spans="1:11" x14ac:dyDescent="0.25">
      <c r="A416" s="25"/>
      <c r="B416" s="25"/>
      <c r="J416" s="28">
        <f t="array" ref="J416">IF(ROW(J416)&lt;=COUNTA(D:D)*2,IF(MOD(ROW(J416),2)=1,INDEX(D:D,(ROW(J416)+1)/2),INDEX(F:F,ROW(J416)/2)),"")</f>
        <v>-413.9</v>
      </c>
      <c r="K416" s="28">
        <f t="array" ref="K416">IF(ROW(K416)&lt;=COUNTA(E:E)*2,IF(MOD(ROW(K416),2)=1,INDEX(E:E,(ROW(K416)+1)/2),INDEX(G:G,ROW(K416)/2)),"")</f>
        <v>44.98</v>
      </c>
    </row>
    <row r="417" spans="1:11" x14ac:dyDescent="0.25">
      <c r="A417" s="25"/>
      <c r="B417" s="25"/>
      <c r="J417" s="28">
        <f t="array" ref="J417">IF(ROW(J417)&lt;=COUNTA(D:D)*2,IF(MOD(ROW(J417),2)=1,INDEX(D:D,(ROW(J417)+1)/2),INDEX(F:F,ROW(J417)/2)),"")</f>
        <v>-413.9</v>
      </c>
      <c r="K417" s="28">
        <f t="array" ref="K417">IF(ROW(K417)&lt;=COUNTA(E:E)*2,IF(MOD(ROW(K417),2)=1,INDEX(E:E,(ROW(K417)+1)/2),INDEX(G:G,ROW(K417)/2)),"")</f>
        <v>44.98</v>
      </c>
    </row>
    <row r="418" spans="1:11" x14ac:dyDescent="0.25">
      <c r="A418" s="25"/>
      <c r="B418" s="25"/>
      <c r="J418" s="28">
        <f t="array" ref="J418">IF(ROW(J418)&lt;=COUNTA(D:D)*2,IF(MOD(ROW(J418),2)=1,INDEX(D:D,(ROW(J418)+1)/2),INDEX(F:F,ROW(J418)/2)),"")</f>
        <v>-415.9</v>
      </c>
      <c r="K418" s="28">
        <f t="array" ref="K418">IF(ROW(K418)&lt;=COUNTA(E:E)*2,IF(MOD(ROW(K418),2)=1,INDEX(E:E,(ROW(K418)+1)/2),INDEX(G:G,ROW(K418)/2)),"")</f>
        <v>44.98</v>
      </c>
    </row>
    <row r="419" spans="1:11" x14ac:dyDescent="0.25">
      <c r="A419" s="25"/>
      <c r="B419" s="25"/>
      <c r="J419" s="28">
        <f t="array" ref="J419">IF(ROW(J419)&lt;=COUNTA(D:D)*2,IF(MOD(ROW(J419),2)=1,INDEX(D:D,(ROW(J419)+1)/2),INDEX(F:F,ROW(J419)/2)),"")</f>
        <v>-415.9</v>
      </c>
      <c r="K419" s="28">
        <f t="array" ref="K419">IF(ROW(K419)&lt;=COUNTA(E:E)*2,IF(MOD(ROW(K419),2)=1,INDEX(E:E,(ROW(K419)+1)/2),INDEX(G:G,ROW(K419)/2)),"")</f>
        <v>44.98</v>
      </c>
    </row>
    <row r="420" spans="1:11" x14ac:dyDescent="0.25">
      <c r="A420" s="25"/>
      <c r="B420" s="25"/>
      <c r="J420" s="28">
        <f t="array" ref="J420">IF(ROW(J420)&lt;=COUNTA(D:D)*2,IF(MOD(ROW(J420),2)=1,INDEX(D:D,(ROW(J420)+1)/2),INDEX(F:F,ROW(J420)/2)),"")</f>
        <v>-417.9</v>
      </c>
      <c r="K420" s="28">
        <f t="array" ref="K420">IF(ROW(K420)&lt;=COUNTA(E:E)*2,IF(MOD(ROW(K420),2)=1,INDEX(E:E,(ROW(K420)+1)/2),INDEX(G:G,ROW(K420)/2)),"")</f>
        <v>44.98</v>
      </c>
    </row>
    <row r="421" spans="1:11" x14ac:dyDescent="0.25">
      <c r="A421" s="25"/>
      <c r="B421" s="25"/>
      <c r="J421" s="28">
        <f t="array" ref="J421">IF(ROW(J421)&lt;=COUNTA(D:D)*2,IF(MOD(ROW(J421),2)=1,INDEX(D:D,(ROW(J421)+1)/2),INDEX(F:F,ROW(J421)/2)),"")</f>
        <v>-417.9</v>
      </c>
      <c r="K421" s="28">
        <f t="array" ref="K421">IF(ROW(K421)&lt;=COUNTA(E:E)*2,IF(MOD(ROW(K421),2)=1,INDEX(E:E,(ROW(K421)+1)/2),INDEX(G:G,ROW(K421)/2)),"")</f>
        <v>44.98</v>
      </c>
    </row>
    <row r="422" spans="1:11" x14ac:dyDescent="0.25">
      <c r="A422" s="25"/>
      <c r="B422" s="25"/>
      <c r="J422" s="28">
        <f t="array" ref="J422">IF(ROW(J422)&lt;=COUNTA(D:D)*2,IF(MOD(ROW(J422),2)=1,INDEX(D:D,(ROW(J422)+1)/2),INDEX(F:F,ROW(J422)/2)),"")</f>
        <v>-419.9</v>
      </c>
      <c r="K422" s="28">
        <f t="array" ref="K422">IF(ROW(K422)&lt;=COUNTA(E:E)*2,IF(MOD(ROW(K422),2)=1,INDEX(E:E,(ROW(K422)+1)/2),INDEX(G:G,ROW(K422)/2)),"")</f>
        <v>44.98</v>
      </c>
    </row>
    <row r="423" spans="1:11" x14ac:dyDescent="0.25">
      <c r="A423" s="25"/>
      <c r="B423" s="25"/>
      <c r="J423" s="28">
        <f t="array" ref="J423">IF(ROW(J423)&lt;=COUNTA(D:D)*2,IF(MOD(ROW(J423),2)=1,INDEX(D:D,(ROW(J423)+1)/2),INDEX(F:F,ROW(J423)/2)),"")</f>
        <v>-419.9</v>
      </c>
      <c r="K423" s="28">
        <f t="array" ref="K423">IF(ROW(K423)&lt;=COUNTA(E:E)*2,IF(MOD(ROW(K423),2)=1,INDEX(E:E,(ROW(K423)+1)/2),INDEX(G:G,ROW(K423)/2)),"")</f>
        <v>44.98</v>
      </c>
    </row>
    <row r="424" spans="1:11" x14ac:dyDescent="0.25">
      <c r="A424" s="25"/>
      <c r="B424" s="25"/>
      <c r="J424" s="28">
        <f t="array" ref="J424">IF(ROW(J424)&lt;=COUNTA(D:D)*2,IF(MOD(ROW(J424),2)=1,INDEX(D:D,(ROW(J424)+1)/2),INDEX(F:F,ROW(J424)/2)),"")</f>
        <v>-421.9</v>
      </c>
      <c r="K424" s="28">
        <f t="array" ref="K424">IF(ROW(K424)&lt;=COUNTA(E:E)*2,IF(MOD(ROW(K424),2)=1,INDEX(E:E,(ROW(K424)+1)/2),INDEX(G:G,ROW(K424)/2)),"")</f>
        <v>44.98</v>
      </c>
    </row>
    <row r="425" spans="1:11" x14ac:dyDescent="0.25">
      <c r="A425" s="25"/>
      <c r="B425" s="25"/>
      <c r="J425" s="28">
        <f t="array" ref="J425">IF(ROW(J425)&lt;=COUNTA(D:D)*2,IF(MOD(ROW(J425),2)=1,INDEX(D:D,(ROW(J425)+1)/2),INDEX(F:F,ROW(J425)/2)),"")</f>
        <v>-421.9</v>
      </c>
      <c r="K425" s="28">
        <f t="array" ref="K425">IF(ROW(K425)&lt;=COUNTA(E:E)*2,IF(MOD(ROW(K425),2)=1,INDEX(E:E,(ROW(K425)+1)/2),INDEX(G:G,ROW(K425)/2)),"")</f>
        <v>44.86</v>
      </c>
    </row>
    <row r="426" spans="1:11" x14ac:dyDescent="0.25">
      <c r="A426" s="25"/>
      <c r="B426" s="25"/>
      <c r="J426" s="28">
        <f t="array" ref="J426">IF(ROW(J426)&lt;=COUNTA(D:D)*2,IF(MOD(ROW(J426),2)=1,INDEX(D:D,(ROW(J426)+1)/2),INDEX(F:F,ROW(J426)/2)),"")</f>
        <v>-423.9</v>
      </c>
      <c r="K426" s="28">
        <f t="array" ref="K426">IF(ROW(K426)&lt;=COUNTA(E:E)*2,IF(MOD(ROW(K426),2)=1,INDEX(E:E,(ROW(K426)+1)/2),INDEX(G:G,ROW(K426)/2)),"")</f>
        <v>44.86</v>
      </c>
    </row>
    <row r="427" spans="1:11" x14ac:dyDescent="0.25">
      <c r="A427" s="25"/>
      <c r="B427" s="25"/>
      <c r="J427" s="28">
        <f t="array" ref="J427">IF(ROW(J427)&lt;=COUNTA(D:D)*2,IF(MOD(ROW(J427),2)=1,INDEX(D:D,(ROW(J427)+1)/2),INDEX(F:F,ROW(J427)/2)),"")</f>
        <v>-423.9</v>
      </c>
      <c r="K427" s="28">
        <f t="array" ref="K427">IF(ROW(K427)&lt;=COUNTA(E:E)*2,IF(MOD(ROW(K427),2)=1,INDEX(E:E,(ROW(K427)+1)/2),INDEX(G:G,ROW(K427)/2)),"")</f>
        <v>44.98</v>
      </c>
    </row>
    <row r="428" spans="1:11" x14ac:dyDescent="0.25">
      <c r="A428" s="25"/>
      <c r="B428" s="25"/>
      <c r="J428" s="28">
        <f t="array" ref="J428">IF(ROW(J428)&lt;=COUNTA(D:D)*2,IF(MOD(ROW(J428),2)=1,INDEX(D:D,(ROW(J428)+1)/2),INDEX(F:F,ROW(J428)/2)),"")</f>
        <v>-425.9</v>
      </c>
      <c r="K428" s="28">
        <f t="array" ref="K428">IF(ROW(K428)&lt;=COUNTA(E:E)*2,IF(MOD(ROW(K428),2)=1,INDEX(E:E,(ROW(K428)+1)/2),INDEX(G:G,ROW(K428)/2)),"")</f>
        <v>44.98</v>
      </c>
    </row>
    <row r="429" spans="1:11" x14ac:dyDescent="0.25">
      <c r="A429" s="25"/>
      <c r="B429" s="25"/>
      <c r="J429" s="28">
        <f t="array" ref="J429">IF(ROW(J429)&lt;=COUNTA(D:D)*2,IF(MOD(ROW(J429),2)=1,INDEX(D:D,(ROW(J429)+1)/2),INDEX(F:F,ROW(J429)/2)),"")</f>
        <v>-425.9</v>
      </c>
      <c r="K429" s="28">
        <f t="array" ref="K429">IF(ROW(K429)&lt;=COUNTA(E:E)*2,IF(MOD(ROW(K429),2)=1,INDEX(E:E,(ROW(K429)+1)/2),INDEX(G:G,ROW(K429)/2)),"")</f>
        <v>44.98</v>
      </c>
    </row>
    <row r="430" spans="1:11" x14ac:dyDescent="0.25">
      <c r="A430" s="25"/>
      <c r="B430" s="25"/>
      <c r="J430" s="28">
        <f t="array" ref="J430">IF(ROW(J430)&lt;=COUNTA(D:D)*2,IF(MOD(ROW(J430),2)=1,INDEX(D:D,(ROW(J430)+1)/2),INDEX(F:F,ROW(J430)/2)),"")</f>
        <v>-427.9</v>
      </c>
      <c r="K430" s="28">
        <f t="array" ref="K430">IF(ROW(K430)&lt;=COUNTA(E:E)*2,IF(MOD(ROW(K430),2)=1,INDEX(E:E,(ROW(K430)+1)/2),INDEX(G:G,ROW(K430)/2)),"")</f>
        <v>44.98</v>
      </c>
    </row>
    <row r="431" spans="1:11" x14ac:dyDescent="0.25">
      <c r="A431" s="25"/>
      <c r="B431" s="25"/>
      <c r="J431" s="28">
        <f t="array" ref="J431">IF(ROW(J431)&lt;=COUNTA(D:D)*2,IF(MOD(ROW(J431),2)=1,INDEX(D:D,(ROW(J431)+1)/2),INDEX(F:F,ROW(J431)/2)),"")</f>
        <v>-427.9</v>
      </c>
      <c r="K431" s="28">
        <f t="array" ref="K431">IF(ROW(K431)&lt;=COUNTA(E:E)*2,IF(MOD(ROW(K431),2)=1,INDEX(E:E,(ROW(K431)+1)/2),INDEX(G:G,ROW(K431)/2)),"")</f>
        <v>44.94</v>
      </c>
    </row>
    <row r="432" spans="1:11" x14ac:dyDescent="0.25">
      <c r="A432" s="25"/>
      <c r="B432" s="25"/>
      <c r="J432" s="28">
        <f t="array" ref="J432">IF(ROW(J432)&lt;=COUNTA(D:D)*2,IF(MOD(ROW(J432),2)=1,INDEX(D:D,(ROW(J432)+1)/2),INDEX(F:F,ROW(J432)/2)),"")</f>
        <v>-429.9</v>
      </c>
      <c r="K432" s="28">
        <f t="array" ref="K432">IF(ROW(K432)&lt;=COUNTA(E:E)*2,IF(MOD(ROW(K432),2)=1,INDEX(E:E,(ROW(K432)+1)/2),INDEX(G:G,ROW(K432)/2)),"")</f>
        <v>44.94</v>
      </c>
    </row>
    <row r="433" spans="1:11" x14ac:dyDescent="0.25">
      <c r="A433" s="25"/>
      <c r="B433" s="25"/>
      <c r="J433" s="28">
        <f t="array" ref="J433">IF(ROW(J433)&lt;=COUNTA(D:D)*2,IF(MOD(ROW(J433),2)=1,INDEX(D:D,(ROW(J433)+1)/2),INDEX(F:F,ROW(J433)/2)),"")</f>
        <v>-429.9</v>
      </c>
      <c r="K433" s="28">
        <f t="array" ref="K433">IF(ROW(K433)&lt;=COUNTA(E:E)*2,IF(MOD(ROW(K433),2)=1,INDEX(E:E,(ROW(K433)+1)/2),INDEX(G:G,ROW(K433)/2)),"")</f>
        <v>44.8</v>
      </c>
    </row>
    <row r="434" spans="1:11" x14ac:dyDescent="0.25">
      <c r="A434" s="25"/>
      <c r="B434" s="25"/>
      <c r="J434" s="28">
        <f t="array" ref="J434">IF(ROW(J434)&lt;=COUNTA(D:D)*2,IF(MOD(ROW(J434),2)=1,INDEX(D:D,(ROW(J434)+1)/2),INDEX(F:F,ROW(J434)/2)),"")</f>
        <v>-431.9</v>
      </c>
      <c r="K434" s="28">
        <f t="array" ref="K434">IF(ROW(K434)&lt;=COUNTA(E:E)*2,IF(MOD(ROW(K434),2)=1,INDEX(E:E,(ROW(K434)+1)/2),INDEX(G:G,ROW(K434)/2)),"")</f>
        <v>44.8</v>
      </c>
    </row>
    <row r="435" spans="1:11" x14ac:dyDescent="0.25">
      <c r="A435" s="25"/>
      <c r="B435" s="25"/>
      <c r="J435" s="28">
        <f t="array" ref="J435">IF(ROW(J435)&lt;=COUNTA(D:D)*2,IF(MOD(ROW(J435),2)=1,INDEX(D:D,(ROW(J435)+1)/2),INDEX(F:F,ROW(J435)/2)),"")</f>
        <v>-431.9</v>
      </c>
      <c r="K435" s="28">
        <f t="array" ref="K435">IF(ROW(K435)&lt;=COUNTA(E:E)*2,IF(MOD(ROW(K435),2)=1,INDEX(E:E,(ROW(K435)+1)/2),INDEX(G:G,ROW(K435)/2)),"")</f>
        <v>44.98</v>
      </c>
    </row>
    <row r="436" spans="1:11" x14ac:dyDescent="0.25">
      <c r="A436" s="25"/>
      <c r="B436" s="25"/>
      <c r="J436" s="28">
        <f t="array" ref="J436">IF(ROW(J436)&lt;=COUNTA(D:D)*2,IF(MOD(ROW(J436),2)=1,INDEX(D:D,(ROW(J436)+1)/2),INDEX(F:F,ROW(J436)/2)),"")</f>
        <v>-433.9</v>
      </c>
      <c r="K436" s="28">
        <f t="array" ref="K436">IF(ROW(K436)&lt;=COUNTA(E:E)*2,IF(MOD(ROW(K436),2)=1,INDEX(E:E,(ROW(K436)+1)/2),INDEX(G:G,ROW(K436)/2)),"")</f>
        <v>44.98</v>
      </c>
    </row>
    <row r="437" spans="1:11" x14ac:dyDescent="0.25">
      <c r="A437" s="25"/>
      <c r="B437" s="25"/>
      <c r="J437" s="28">
        <f t="array" ref="J437">IF(ROW(J437)&lt;=COUNTA(D:D)*2,IF(MOD(ROW(J437),2)=1,INDEX(D:D,(ROW(J437)+1)/2),INDEX(F:F,ROW(J437)/2)),"")</f>
        <v>-433.9</v>
      </c>
      <c r="K437" s="28">
        <f t="array" ref="K437">IF(ROW(K437)&lt;=COUNTA(E:E)*2,IF(MOD(ROW(K437),2)=1,INDEX(E:E,(ROW(K437)+1)/2),INDEX(G:G,ROW(K437)/2)),"")</f>
        <v>44.94</v>
      </c>
    </row>
    <row r="438" spans="1:11" x14ac:dyDescent="0.25">
      <c r="A438" s="25"/>
      <c r="B438" s="25"/>
      <c r="J438" s="28">
        <f t="array" ref="J438">IF(ROW(J438)&lt;=COUNTA(D:D)*2,IF(MOD(ROW(J438),2)=1,INDEX(D:D,(ROW(J438)+1)/2),INDEX(F:F,ROW(J438)/2)),"")</f>
        <v>-435.9</v>
      </c>
      <c r="K438" s="28">
        <f t="array" ref="K438">IF(ROW(K438)&lt;=COUNTA(E:E)*2,IF(MOD(ROW(K438),2)=1,INDEX(E:E,(ROW(K438)+1)/2),INDEX(G:G,ROW(K438)/2)),"")</f>
        <v>44.94</v>
      </c>
    </row>
    <row r="439" spans="1:11" x14ac:dyDescent="0.25">
      <c r="A439" s="25"/>
      <c r="B439" s="25"/>
      <c r="J439" s="28">
        <f t="array" ref="J439">IF(ROW(J439)&lt;=COUNTA(D:D)*2,IF(MOD(ROW(J439),2)=1,INDEX(D:D,(ROW(J439)+1)/2),INDEX(F:F,ROW(J439)/2)),"")</f>
        <v>-435.9</v>
      </c>
      <c r="K439" s="28">
        <f t="array" ref="K439">IF(ROW(K439)&lt;=COUNTA(E:E)*2,IF(MOD(ROW(K439),2)=1,INDEX(E:E,(ROW(K439)+1)/2),INDEX(G:G,ROW(K439)/2)),"")</f>
        <v>44.98</v>
      </c>
    </row>
    <row r="440" spans="1:11" x14ac:dyDescent="0.25">
      <c r="A440" s="25"/>
      <c r="B440" s="25"/>
      <c r="J440" s="28">
        <f t="array" ref="J440">IF(ROW(J440)&lt;=COUNTA(D:D)*2,IF(MOD(ROW(J440),2)=1,INDEX(D:D,(ROW(J440)+1)/2),INDEX(F:F,ROW(J440)/2)),"")</f>
        <v>-437.9</v>
      </c>
      <c r="K440" s="28">
        <f t="array" ref="K440">IF(ROW(K440)&lt;=COUNTA(E:E)*2,IF(MOD(ROW(K440),2)=1,INDEX(E:E,(ROW(K440)+1)/2),INDEX(G:G,ROW(K440)/2)),"")</f>
        <v>44.98</v>
      </c>
    </row>
    <row r="441" spans="1:11" x14ac:dyDescent="0.25">
      <c r="A441" s="25"/>
      <c r="B441" s="25"/>
      <c r="J441" s="28">
        <f t="array" ref="J441">IF(ROW(J441)&lt;=COUNTA(D:D)*2,IF(MOD(ROW(J441),2)=1,INDEX(D:D,(ROW(J441)+1)/2),INDEX(F:F,ROW(J441)/2)),"")</f>
        <v>-437.9</v>
      </c>
      <c r="K441" s="28">
        <f t="array" ref="K441">IF(ROW(K441)&lt;=COUNTA(E:E)*2,IF(MOD(ROW(K441),2)=1,INDEX(E:E,(ROW(K441)+1)/2),INDEX(G:G,ROW(K441)/2)),"")</f>
        <v>44.94</v>
      </c>
    </row>
    <row r="442" spans="1:11" x14ac:dyDescent="0.25">
      <c r="A442" s="25"/>
      <c r="B442" s="25"/>
      <c r="J442" s="28">
        <f t="array" ref="J442">IF(ROW(J442)&lt;=COUNTA(D:D)*2,IF(MOD(ROW(J442),2)=1,INDEX(D:D,(ROW(J442)+1)/2),INDEX(F:F,ROW(J442)/2)),"")</f>
        <v>-439.9</v>
      </c>
      <c r="K442" s="28">
        <f t="array" ref="K442">IF(ROW(K442)&lt;=COUNTA(E:E)*2,IF(MOD(ROW(K442),2)=1,INDEX(E:E,(ROW(K442)+1)/2),INDEX(G:G,ROW(K442)/2)),"")</f>
        <v>44.94</v>
      </c>
    </row>
    <row r="443" spans="1:11" x14ac:dyDescent="0.25">
      <c r="A443" s="25"/>
      <c r="B443" s="25"/>
      <c r="J443" s="28">
        <f t="array" ref="J443">IF(ROW(J443)&lt;=COUNTA(D:D)*2,IF(MOD(ROW(J443),2)=1,INDEX(D:D,(ROW(J443)+1)/2),INDEX(F:F,ROW(J443)/2)),"")</f>
        <v>-439.9</v>
      </c>
      <c r="K443" s="28">
        <f t="array" ref="K443">IF(ROW(K443)&lt;=COUNTA(E:E)*2,IF(MOD(ROW(K443),2)=1,INDEX(E:E,(ROW(K443)+1)/2),INDEX(G:G,ROW(K443)/2)),"")</f>
        <v>44.98</v>
      </c>
    </row>
    <row r="444" spans="1:11" x14ac:dyDescent="0.25">
      <c r="A444" s="25"/>
      <c r="B444" s="25"/>
      <c r="J444" s="28">
        <f t="array" ref="J444">IF(ROW(J444)&lt;=COUNTA(D:D)*2,IF(MOD(ROW(J444),2)=1,INDEX(D:D,(ROW(J444)+1)/2),INDEX(F:F,ROW(J444)/2)),"")</f>
        <v>-441.9</v>
      </c>
      <c r="K444" s="28">
        <f t="array" ref="K444">IF(ROW(K444)&lt;=COUNTA(E:E)*2,IF(MOD(ROW(K444),2)=1,INDEX(E:E,(ROW(K444)+1)/2),INDEX(G:G,ROW(K444)/2)),"")</f>
        <v>44.98</v>
      </c>
    </row>
    <row r="445" spans="1:11" x14ac:dyDescent="0.25">
      <c r="A445" s="25"/>
      <c r="B445" s="25"/>
      <c r="J445" s="28">
        <f t="array" ref="J445">IF(ROW(J445)&lt;=COUNTA(D:D)*2,IF(MOD(ROW(J445),2)=1,INDEX(D:D,(ROW(J445)+1)/2),INDEX(F:F,ROW(J445)/2)),"")</f>
        <v>-441.9</v>
      </c>
      <c r="K445" s="28">
        <f t="array" ref="K445">IF(ROW(K445)&lt;=COUNTA(E:E)*2,IF(MOD(ROW(K445),2)=1,INDEX(E:E,(ROW(K445)+1)/2),INDEX(G:G,ROW(K445)/2)),"")</f>
        <v>44.98</v>
      </c>
    </row>
    <row r="446" spans="1:11" x14ac:dyDescent="0.25">
      <c r="A446" s="25"/>
      <c r="B446" s="25"/>
      <c r="J446" s="28">
        <f t="array" ref="J446">IF(ROW(J446)&lt;=COUNTA(D:D)*2,IF(MOD(ROW(J446),2)=1,INDEX(D:D,(ROW(J446)+1)/2),INDEX(F:F,ROW(J446)/2)),"")</f>
        <v>-443.9</v>
      </c>
      <c r="K446" s="28">
        <f t="array" ref="K446">IF(ROW(K446)&lt;=COUNTA(E:E)*2,IF(MOD(ROW(K446),2)=1,INDEX(E:E,(ROW(K446)+1)/2),INDEX(G:G,ROW(K446)/2)),"")</f>
        <v>44.98</v>
      </c>
    </row>
    <row r="447" spans="1:11" x14ac:dyDescent="0.25">
      <c r="A447" s="25"/>
      <c r="B447" s="25"/>
      <c r="J447" s="28">
        <f t="array" ref="J447">IF(ROW(J447)&lt;=COUNTA(D:D)*2,IF(MOD(ROW(J447),2)=1,INDEX(D:D,(ROW(J447)+1)/2),INDEX(F:F,ROW(J447)/2)),"")</f>
        <v>-443.9</v>
      </c>
      <c r="K447" s="28">
        <f t="array" ref="K447">IF(ROW(K447)&lt;=COUNTA(E:E)*2,IF(MOD(ROW(K447),2)=1,INDEX(E:E,(ROW(K447)+1)/2),INDEX(G:G,ROW(K447)/2)),"")</f>
        <v>44.92</v>
      </c>
    </row>
    <row r="448" spans="1:11" x14ac:dyDescent="0.25">
      <c r="A448" s="25"/>
      <c r="B448" s="25"/>
      <c r="J448" s="28">
        <f t="array" ref="J448">IF(ROW(J448)&lt;=COUNTA(D:D)*2,IF(MOD(ROW(J448),2)=1,INDEX(D:D,(ROW(J448)+1)/2),INDEX(F:F,ROW(J448)/2)),"")</f>
        <v>-445.9</v>
      </c>
      <c r="K448" s="28">
        <f t="array" ref="K448">IF(ROW(K448)&lt;=COUNTA(E:E)*2,IF(MOD(ROW(K448),2)=1,INDEX(E:E,(ROW(K448)+1)/2),INDEX(G:G,ROW(K448)/2)),"")</f>
        <v>44.92</v>
      </c>
    </row>
    <row r="449" spans="1:11" x14ac:dyDescent="0.25">
      <c r="A449" s="25"/>
      <c r="B449" s="25"/>
      <c r="J449" s="28">
        <f t="array" ref="J449">IF(ROW(J449)&lt;=COUNTA(D:D)*2,IF(MOD(ROW(J449),2)=1,INDEX(D:D,(ROW(J449)+1)/2),INDEX(F:F,ROW(J449)/2)),"")</f>
        <v>-445.9</v>
      </c>
      <c r="K449" s="28">
        <f t="array" ref="K449">IF(ROW(K449)&lt;=COUNTA(E:E)*2,IF(MOD(ROW(K449),2)=1,INDEX(E:E,(ROW(K449)+1)/2),INDEX(G:G,ROW(K449)/2)),"")</f>
        <v>44.94</v>
      </c>
    </row>
    <row r="450" spans="1:11" x14ac:dyDescent="0.25">
      <c r="A450" s="25"/>
      <c r="B450" s="25"/>
      <c r="J450" s="28">
        <f t="array" ref="J450">IF(ROW(J450)&lt;=COUNTA(D:D)*2,IF(MOD(ROW(J450),2)=1,INDEX(D:D,(ROW(J450)+1)/2),INDEX(F:F,ROW(J450)/2)),"")</f>
        <v>-447.9</v>
      </c>
      <c r="K450" s="28">
        <f t="array" ref="K450">IF(ROW(K450)&lt;=COUNTA(E:E)*2,IF(MOD(ROW(K450),2)=1,INDEX(E:E,(ROW(K450)+1)/2),INDEX(G:G,ROW(K450)/2)),"")</f>
        <v>44.94</v>
      </c>
    </row>
    <row r="451" spans="1:11" x14ac:dyDescent="0.25">
      <c r="A451" s="25"/>
      <c r="B451" s="25"/>
      <c r="J451" s="28">
        <f t="array" ref="J451">IF(ROW(J451)&lt;=COUNTA(D:D)*2,IF(MOD(ROW(J451),2)=1,INDEX(D:D,(ROW(J451)+1)/2),INDEX(F:F,ROW(J451)/2)),"")</f>
        <v>-447.9</v>
      </c>
      <c r="K451" s="28">
        <f t="array" ref="K451">IF(ROW(K451)&lt;=COUNTA(E:E)*2,IF(MOD(ROW(K451),2)=1,INDEX(E:E,(ROW(K451)+1)/2),INDEX(G:G,ROW(K451)/2)),"")</f>
        <v>44.9</v>
      </c>
    </row>
    <row r="452" spans="1:11" x14ac:dyDescent="0.25">
      <c r="A452" s="25"/>
      <c r="B452" s="25"/>
      <c r="J452" s="28">
        <f t="array" ref="J452">IF(ROW(J452)&lt;=COUNTA(D:D)*2,IF(MOD(ROW(J452),2)=1,INDEX(D:D,(ROW(J452)+1)/2),INDEX(F:F,ROW(J452)/2)),"")</f>
        <v>-449.9</v>
      </c>
      <c r="K452" s="28">
        <f t="array" ref="K452">IF(ROW(K452)&lt;=COUNTA(E:E)*2,IF(MOD(ROW(K452),2)=1,INDEX(E:E,(ROW(K452)+1)/2),INDEX(G:G,ROW(K452)/2)),"")</f>
        <v>44.9</v>
      </c>
    </row>
    <row r="453" spans="1:11" x14ac:dyDescent="0.25">
      <c r="A453" s="25"/>
      <c r="B453" s="25"/>
      <c r="J453" s="28">
        <f t="array" ref="J453">IF(ROW(J453)&lt;=COUNTA(D:D)*2,IF(MOD(ROW(J453),2)=1,INDEX(D:D,(ROW(J453)+1)/2),INDEX(F:F,ROW(J453)/2)),"")</f>
        <v>-449.9</v>
      </c>
      <c r="K453" s="28">
        <f t="array" ref="K453">IF(ROW(K453)&lt;=COUNTA(E:E)*2,IF(MOD(ROW(K453),2)=1,INDEX(E:E,(ROW(K453)+1)/2),INDEX(G:G,ROW(K453)/2)),"")</f>
        <v>44.88</v>
      </c>
    </row>
    <row r="454" spans="1:11" x14ac:dyDescent="0.25">
      <c r="A454" s="25"/>
      <c r="B454" s="25"/>
      <c r="J454" s="28">
        <f t="array" ref="J454">IF(ROW(J454)&lt;=COUNTA(D:D)*2,IF(MOD(ROW(J454),2)=1,INDEX(D:D,(ROW(J454)+1)/2),INDEX(F:F,ROW(J454)/2)),"")</f>
        <v>-451.9</v>
      </c>
      <c r="K454" s="28">
        <f t="array" ref="K454">IF(ROW(K454)&lt;=COUNTA(E:E)*2,IF(MOD(ROW(K454),2)=1,INDEX(E:E,(ROW(K454)+1)/2),INDEX(G:G,ROW(K454)/2)),"")</f>
        <v>44.88</v>
      </c>
    </row>
    <row r="455" spans="1:11" x14ac:dyDescent="0.25">
      <c r="A455" s="25"/>
      <c r="B455" s="25"/>
      <c r="J455" s="28">
        <f t="array" ref="J455">IF(ROW(J455)&lt;=COUNTA(D:D)*2,IF(MOD(ROW(J455),2)=1,INDEX(D:D,(ROW(J455)+1)/2),INDEX(F:F,ROW(J455)/2)),"")</f>
        <v>-451.9</v>
      </c>
      <c r="K455" s="28">
        <f t="array" ref="K455">IF(ROW(K455)&lt;=COUNTA(E:E)*2,IF(MOD(ROW(K455),2)=1,INDEX(E:E,(ROW(K455)+1)/2),INDEX(G:G,ROW(K455)/2)),"")</f>
        <v>44.86</v>
      </c>
    </row>
    <row r="456" spans="1:11" x14ac:dyDescent="0.25">
      <c r="A456" s="25"/>
      <c r="B456" s="25"/>
      <c r="J456" s="28">
        <f t="array" ref="J456">IF(ROW(J456)&lt;=COUNTA(D:D)*2,IF(MOD(ROW(J456),2)=1,INDEX(D:D,(ROW(J456)+1)/2),INDEX(F:F,ROW(J456)/2)),"")</f>
        <v>-453.9</v>
      </c>
      <c r="K456" s="28">
        <f t="array" ref="K456">IF(ROW(K456)&lt;=COUNTA(E:E)*2,IF(MOD(ROW(K456),2)=1,INDEX(E:E,(ROW(K456)+1)/2),INDEX(G:G,ROW(K456)/2)),"")</f>
        <v>44.86</v>
      </c>
    </row>
    <row r="457" spans="1:11" x14ac:dyDescent="0.25">
      <c r="A457" s="25"/>
      <c r="B457" s="25"/>
      <c r="J457" s="28">
        <f t="array" ref="J457">IF(ROW(J457)&lt;=COUNTA(D:D)*2,IF(MOD(ROW(J457),2)=1,INDEX(D:D,(ROW(J457)+1)/2),INDEX(F:F,ROW(J457)/2)),"")</f>
        <v>-453.9</v>
      </c>
      <c r="K457" s="28">
        <f t="array" ref="K457">IF(ROW(K457)&lt;=COUNTA(E:E)*2,IF(MOD(ROW(K457),2)=1,INDEX(E:E,(ROW(K457)+1)/2),INDEX(G:G,ROW(K457)/2)),"")</f>
        <v>44.9</v>
      </c>
    </row>
    <row r="458" spans="1:11" x14ac:dyDescent="0.25">
      <c r="A458" s="25"/>
      <c r="B458" s="25"/>
      <c r="J458" s="28">
        <f t="array" ref="J458">IF(ROW(J458)&lt;=COUNTA(D:D)*2,IF(MOD(ROW(J458),2)=1,INDEX(D:D,(ROW(J458)+1)/2),INDEX(F:F,ROW(J458)/2)),"")</f>
        <v>-455.9</v>
      </c>
      <c r="K458" s="28">
        <f t="array" ref="K458">IF(ROW(K458)&lt;=COUNTA(E:E)*2,IF(MOD(ROW(K458),2)=1,INDEX(E:E,(ROW(K458)+1)/2),INDEX(G:G,ROW(K458)/2)),"")</f>
        <v>44.9</v>
      </c>
    </row>
    <row r="459" spans="1:11" x14ac:dyDescent="0.25">
      <c r="A459" s="25"/>
      <c r="B459" s="25"/>
      <c r="J459" s="28">
        <f t="array" ref="J459">IF(ROW(J459)&lt;=COUNTA(D:D)*2,IF(MOD(ROW(J459),2)=1,INDEX(D:D,(ROW(J459)+1)/2),INDEX(F:F,ROW(J459)/2)),"")</f>
        <v>-455.9</v>
      </c>
      <c r="K459" s="28">
        <f t="array" ref="K459">IF(ROW(K459)&lt;=COUNTA(E:E)*2,IF(MOD(ROW(K459),2)=1,INDEX(E:E,(ROW(K459)+1)/2),INDEX(G:G,ROW(K459)/2)),"")</f>
        <v>44.98</v>
      </c>
    </row>
    <row r="460" spans="1:11" x14ac:dyDescent="0.25">
      <c r="A460" s="25"/>
      <c r="B460" s="25"/>
      <c r="J460" s="28">
        <f t="array" ref="J460">IF(ROW(J460)&lt;=COUNTA(D:D)*2,IF(MOD(ROW(J460),2)=1,INDEX(D:D,(ROW(J460)+1)/2),INDEX(F:F,ROW(J460)/2)),"")</f>
        <v>-457.9</v>
      </c>
      <c r="K460" s="28">
        <f t="array" ref="K460">IF(ROW(K460)&lt;=COUNTA(E:E)*2,IF(MOD(ROW(K460),2)=1,INDEX(E:E,(ROW(K460)+1)/2),INDEX(G:G,ROW(K460)/2)),"")</f>
        <v>44.98</v>
      </c>
    </row>
    <row r="461" spans="1:11" x14ac:dyDescent="0.25">
      <c r="A461" s="25"/>
      <c r="B461" s="25"/>
      <c r="J461" s="28">
        <f t="array" ref="J461">IF(ROW(J461)&lt;=COUNTA(D:D)*2,IF(MOD(ROW(J461),2)=1,INDEX(D:D,(ROW(J461)+1)/2),INDEX(F:F,ROW(J461)/2)),"")</f>
        <v>-457.9</v>
      </c>
      <c r="K461" s="28">
        <f t="array" ref="K461">IF(ROW(K461)&lt;=COUNTA(E:E)*2,IF(MOD(ROW(K461),2)=1,INDEX(E:E,(ROW(K461)+1)/2),INDEX(G:G,ROW(K461)/2)),"")</f>
        <v>44.98</v>
      </c>
    </row>
    <row r="462" spans="1:11" x14ac:dyDescent="0.25">
      <c r="A462" s="25"/>
      <c r="B462" s="25"/>
      <c r="J462" s="28">
        <f t="array" ref="J462">IF(ROW(J462)&lt;=COUNTA(D:D)*2,IF(MOD(ROW(J462),2)=1,INDEX(D:D,(ROW(J462)+1)/2),INDEX(F:F,ROW(J462)/2)),"")</f>
        <v>-459.9</v>
      </c>
      <c r="K462" s="28">
        <f t="array" ref="K462">IF(ROW(K462)&lt;=COUNTA(E:E)*2,IF(MOD(ROW(K462),2)=1,INDEX(E:E,(ROW(K462)+1)/2),INDEX(G:G,ROW(K462)/2)),"")</f>
        <v>44.98</v>
      </c>
    </row>
    <row r="463" spans="1:11" x14ac:dyDescent="0.25">
      <c r="A463" s="25"/>
      <c r="B463" s="25"/>
      <c r="J463" s="28">
        <f t="array" ref="J463">IF(ROW(J463)&lt;=COUNTA(D:D)*2,IF(MOD(ROW(J463),2)=1,INDEX(D:D,(ROW(J463)+1)/2),INDEX(F:F,ROW(J463)/2)),"")</f>
        <v>-459.9</v>
      </c>
      <c r="K463" s="28">
        <f t="array" ref="K463">IF(ROW(K463)&lt;=COUNTA(E:E)*2,IF(MOD(ROW(K463),2)=1,INDEX(E:E,(ROW(K463)+1)/2),INDEX(G:G,ROW(K463)/2)),"")</f>
        <v>44.98</v>
      </c>
    </row>
    <row r="464" spans="1:11" x14ac:dyDescent="0.25">
      <c r="A464" s="25"/>
      <c r="B464" s="25"/>
      <c r="J464" s="28">
        <f t="array" ref="J464">IF(ROW(J464)&lt;=COUNTA(D:D)*2,IF(MOD(ROW(J464),2)=1,INDEX(D:D,(ROW(J464)+1)/2),INDEX(F:F,ROW(J464)/2)),"")</f>
        <v>-461.9</v>
      </c>
      <c r="K464" s="28">
        <f t="array" ref="K464">IF(ROW(K464)&lt;=COUNTA(E:E)*2,IF(MOD(ROW(K464),2)=1,INDEX(E:E,(ROW(K464)+1)/2),INDEX(G:G,ROW(K464)/2)),"")</f>
        <v>44.98</v>
      </c>
    </row>
    <row r="465" spans="1:11" x14ac:dyDescent="0.25">
      <c r="A465" s="25"/>
      <c r="B465" s="25"/>
      <c r="J465" s="28">
        <f t="array" ref="J465">IF(ROW(J465)&lt;=COUNTA(D:D)*2,IF(MOD(ROW(J465),2)=1,INDEX(D:D,(ROW(J465)+1)/2),INDEX(F:F,ROW(J465)/2)),"")</f>
        <v>-461.9</v>
      </c>
      <c r="K465" s="28">
        <f t="array" ref="K465">IF(ROW(K465)&lt;=COUNTA(E:E)*2,IF(MOD(ROW(K465),2)=1,INDEX(E:E,(ROW(K465)+1)/2),INDEX(G:G,ROW(K465)/2)),"")</f>
        <v>44.98</v>
      </c>
    </row>
    <row r="466" spans="1:11" x14ac:dyDescent="0.25">
      <c r="A466" s="25"/>
      <c r="B466" s="25"/>
      <c r="J466" s="28">
        <f t="array" ref="J466">IF(ROW(J466)&lt;=COUNTA(D:D)*2,IF(MOD(ROW(J466),2)=1,INDEX(D:D,(ROW(J466)+1)/2),INDEX(F:F,ROW(J466)/2)),"")</f>
        <v>-463.9</v>
      </c>
      <c r="K466" s="28">
        <f t="array" ref="K466">IF(ROW(K466)&lt;=COUNTA(E:E)*2,IF(MOD(ROW(K466),2)=1,INDEX(E:E,(ROW(K466)+1)/2),INDEX(G:G,ROW(K466)/2)),"")</f>
        <v>44.98</v>
      </c>
    </row>
    <row r="467" spans="1:11" x14ac:dyDescent="0.25">
      <c r="A467" s="25"/>
      <c r="B467" s="25"/>
      <c r="J467" s="28">
        <f t="array" ref="J467">IF(ROW(J467)&lt;=COUNTA(D:D)*2,IF(MOD(ROW(J467),2)=1,INDEX(D:D,(ROW(J467)+1)/2),INDEX(F:F,ROW(J467)/2)),"")</f>
        <v>-463.9</v>
      </c>
      <c r="K467" s="28">
        <f t="array" ref="K467">IF(ROW(K467)&lt;=COUNTA(E:E)*2,IF(MOD(ROW(K467),2)=1,INDEX(E:E,(ROW(K467)+1)/2),INDEX(G:G,ROW(K467)/2)),"")</f>
        <v>44.98</v>
      </c>
    </row>
    <row r="468" spans="1:11" x14ac:dyDescent="0.25">
      <c r="A468" s="25"/>
      <c r="B468" s="25"/>
      <c r="J468" s="28">
        <f t="array" ref="J468">IF(ROW(J468)&lt;=COUNTA(D:D)*2,IF(MOD(ROW(J468),2)=1,INDEX(D:D,(ROW(J468)+1)/2),INDEX(F:F,ROW(J468)/2)),"")</f>
        <v>-465.9</v>
      </c>
      <c r="K468" s="28">
        <f t="array" ref="K468">IF(ROW(K468)&lt;=COUNTA(E:E)*2,IF(MOD(ROW(K468),2)=1,INDEX(E:E,(ROW(K468)+1)/2),INDEX(G:G,ROW(K468)/2)),"")</f>
        <v>44.98</v>
      </c>
    </row>
    <row r="469" spans="1:11" x14ac:dyDescent="0.25">
      <c r="A469" s="25"/>
      <c r="B469" s="25"/>
      <c r="J469" s="28">
        <f t="array" ref="J469">IF(ROW(J469)&lt;=COUNTA(D:D)*2,IF(MOD(ROW(J469),2)=1,INDEX(D:D,(ROW(J469)+1)/2),INDEX(F:F,ROW(J469)/2)),"")</f>
        <v>-465.9</v>
      </c>
      <c r="K469" s="28">
        <f t="array" ref="K469">IF(ROW(K469)&lt;=COUNTA(E:E)*2,IF(MOD(ROW(K469),2)=1,INDEX(E:E,(ROW(K469)+1)/2),INDEX(G:G,ROW(K469)/2)),"")</f>
        <v>44.92</v>
      </c>
    </row>
    <row r="470" spans="1:11" x14ac:dyDescent="0.25">
      <c r="A470" s="25"/>
      <c r="B470" s="25"/>
      <c r="J470" s="28">
        <f t="array" ref="J470">IF(ROW(J470)&lt;=COUNTA(D:D)*2,IF(MOD(ROW(J470),2)=1,INDEX(D:D,(ROW(J470)+1)/2),INDEX(F:F,ROW(J470)/2)),"")</f>
        <v>-467.9</v>
      </c>
      <c r="K470" s="28">
        <f t="array" ref="K470">IF(ROW(K470)&lt;=COUNTA(E:E)*2,IF(MOD(ROW(K470),2)=1,INDEX(E:E,(ROW(K470)+1)/2),INDEX(G:G,ROW(K470)/2)),"")</f>
        <v>44.92</v>
      </c>
    </row>
    <row r="471" spans="1:11" x14ac:dyDescent="0.25">
      <c r="A471" s="25"/>
      <c r="B471" s="25"/>
      <c r="J471" s="28">
        <f t="array" ref="J471">IF(ROW(J471)&lt;=COUNTA(D:D)*2,IF(MOD(ROW(J471),2)=1,INDEX(D:D,(ROW(J471)+1)/2),INDEX(F:F,ROW(J471)/2)),"")</f>
        <v>-467.9</v>
      </c>
      <c r="K471" s="28">
        <f t="array" ref="K471">IF(ROW(K471)&lt;=COUNTA(E:E)*2,IF(MOD(ROW(K471),2)=1,INDEX(E:E,(ROW(K471)+1)/2),INDEX(G:G,ROW(K471)/2)),"")</f>
        <v>44.98</v>
      </c>
    </row>
    <row r="472" spans="1:11" x14ac:dyDescent="0.25">
      <c r="A472" s="25"/>
      <c r="B472" s="25"/>
      <c r="J472" s="28">
        <f t="array" ref="J472">IF(ROW(J472)&lt;=COUNTA(D:D)*2,IF(MOD(ROW(J472),2)=1,INDEX(D:D,(ROW(J472)+1)/2),INDEX(F:F,ROW(J472)/2)),"")</f>
        <v>-469.9</v>
      </c>
      <c r="K472" s="28">
        <f t="array" ref="K472">IF(ROW(K472)&lt;=COUNTA(E:E)*2,IF(MOD(ROW(K472),2)=1,INDEX(E:E,(ROW(K472)+1)/2),INDEX(G:G,ROW(K472)/2)),"")</f>
        <v>44.98</v>
      </c>
    </row>
    <row r="473" spans="1:11" x14ac:dyDescent="0.25">
      <c r="A473" s="25"/>
      <c r="B473" s="25"/>
      <c r="J473" s="28">
        <f t="array" ref="J473">IF(ROW(J473)&lt;=COUNTA(D:D)*2,IF(MOD(ROW(J473),2)=1,INDEX(D:D,(ROW(J473)+1)/2),INDEX(F:F,ROW(J473)/2)),"")</f>
        <v>-469.9</v>
      </c>
      <c r="K473" s="28">
        <f t="array" ref="K473">IF(ROW(K473)&lt;=COUNTA(E:E)*2,IF(MOD(ROW(K473),2)=1,INDEX(E:E,(ROW(K473)+1)/2),INDEX(G:G,ROW(K473)/2)),"")</f>
        <v>44.96</v>
      </c>
    </row>
    <row r="474" spans="1:11" x14ac:dyDescent="0.25">
      <c r="A474" s="25"/>
      <c r="B474" s="25"/>
      <c r="J474" s="28">
        <f t="array" ref="J474">IF(ROW(J474)&lt;=COUNTA(D:D)*2,IF(MOD(ROW(J474),2)=1,INDEX(D:D,(ROW(J474)+1)/2),INDEX(F:F,ROW(J474)/2)),"")</f>
        <v>-471.9</v>
      </c>
      <c r="K474" s="28">
        <f t="array" ref="K474">IF(ROW(K474)&lt;=COUNTA(E:E)*2,IF(MOD(ROW(K474),2)=1,INDEX(E:E,(ROW(K474)+1)/2),INDEX(G:G,ROW(K474)/2)),"")</f>
        <v>44.96</v>
      </c>
    </row>
    <row r="475" spans="1:11" x14ac:dyDescent="0.25">
      <c r="A475" s="25"/>
      <c r="B475" s="25"/>
      <c r="J475" s="28">
        <f t="array" ref="J475">IF(ROW(J475)&lt;=COUNTA(D:D)*2,IF(MOD(ROW(J475),2)=1,INDEX(D:D,(ROW(J475)+1)/2),INDEX(F:F,ROW(J475)/2)),"")</f>
        <v>-471.9</v>
      </c>
      <c r="K475" s="28">
        <f t="array" ref="K475">IF(ROW(K475)&lt;=COUNTA(E:E)*2,IF(MOD(ROW(K475),2)=1,INDEX(E:E,(ROW(K475)+1)/2),INDEX(G:G,ROW(K475)/2)),"")</f>
        <v>44.98</v>
      </c>
    </row>
    <row r="476" spans="1:11" x14ac:dyDescent="0.25">
      <c r="A476" s="25"/>
      <c r="B476" s="25"/>
      <c r="J476" s="28">
        <f t="array" ref="J476">IF(ROW(J476)&lt;=COUNTA(D:D)*2,IF(MOD(ROW(J476),2)=1,INDEX(D:D,(ROW(J476)+1)/2),INDEX(F:F,ROW(J476)/2)),"")</f>
        <v>-473.9</v>
      </c>
      <c r="K476" s="28">
        <f t="array" ref="K476">IF(ROW(K476)&lt;=COUNTA(E:E)*2,IF(MOD(ROW(K476),2)=1,INDEX(E:E,(ROW(K476)+1)/2),INDEX(G:G,ROW(K476)/2)),"")</f>
        <v>44.98</v>
      </c>
    </row>
    <row r="477" spans="1:11" x14ac:dyDescent="0.25">
      <c r="A477" s="25"/>
      <c r="B477" s="25"/>
      <c r="J477" s="28">
        <f t="array" ref="J477">IF(ROW(J477)&lt;=COUNTA(D:D)*2,IF(MOD(ROW(J477),2)=1,INDEX(D:D,(ROW(J477)+1)/2),INDEX(F:F,ROW(J477)/2)),"")</f>
        <v>-473.9</v>
      </c>
      <c r="K477" s="28">
        <f t="array" ref="K477">IF(ROW(K477)&lt;=COUNTA(E:E)*2,IF(MOD(ROW(K477),2)=1,INDEX(E:E,(ROW(K477)+1)/2),INDEX(G:G,ROW(K477)/2)),"")</f>
        <v>44.98</v>
      </c>
    </row>
    <row r="478" spans="1:11" x14ac:dyDescent="0.25">
      <c r="A478" s="25"/>
      <c r="B478" s="25"/>
      <c r="J478" s="28">
        <f t="array" ref="J478">IF(ROW(J478)&lt;=COUNTA(D:D)*2,IF(MOD(ROW(J478),2)=1,INDEX(D:D,(ROW(J478)+1)/2),INDEX(F:F,ROW(J478)/2)),"")</f>
        <v>-475.9</v>
      </c>
      <c r="K478" s="28">
        <f t="array" ref="K478">IF(ROW(K478)&lt;=COUNTA(E:E)*2,IF(MOD(ROW(K478),2)=1,INDEX(E:E,(ROW(K478)+1)/2),INDEX(G:G,ROW(K478)/2)),"")</f>
        <v>44.98</v>
      </c>
    </row>
    <row r="479" spans="1:11" x14ac:dyDescent="0.25">
      <c r="A479" s="25"/>
      <c r="B479" s="25"/>
      <c r="J479" s="28">
        <f t="array" ref="J479">IF(ROW(J479)&lt;=COUNTA(D:D)*2,IF(MOD(ROW(J479),2)=1,INDEX(D:D,(ROW(J479)+1)/2),INDEX(F:F,ROW(J479)/2)),"")</f>
        <v>-475.9</v>
      </c>
      <c r="K479" s="28">
        <f t="array" ref="K479">IF(ROW(K479)&lt;=COUNTA(E:E)*2,IF(MOD(ROW(K479),2)=1,INDEX(E:E,(ROW(K479)+1)/2),INDEX(G:G,ROW(K479)/2)),"")</f>
        <v>44.98</v>
      </c>
    </row>
    <row r="480" spans="1:11" x14ac:dyDescent="0.25">
      <c r="A480" s="25"/>
      <c r="B480" s="25"/>
      <c r="J480" s="28">
        <f t="array" ref="J480">IF(ROW(J480)&lt;=COUNTA(D:D)*2,IF(MOD(ROW(J480),2)=1,INDEX(D:D,(ROW(J480)+1)/2),INDEX(F:F,ROW(J480)/2)),"")</f>
        <v>-477.9</v>
      </c>
      <c r="K480" s="28">
        <f t="array" ref="K480">IF(ROW(K480)&lt;=COUNTA(E:E)*2,IF(MOD(ROW(K480),2)=1,INDEX(E:E,(ROW(K480)+1)/2),INDEX(G:G,ROW(K480)/2)),"")</f>
        <v>44.98</v>
      </c>
    </row>
    <row r="481" spans="1:11" x14ac:dyDescent="0.25">
      <c r="A481" s="25"/>
      <c r="B481" s="25"/>
      <c r="J481" s="28">
        <f t="array" ref="J481">IF(ROW(J481)&lt;=COUNTA(D:D)*2,IF(MOD(ROW(J481),2)=1,INDEX(D:D,(ROW(J481)+1)/2),INDEX(F:F,ROW(J481)/2)),"")</f>
        <v>-477.9</v>
      </c>
      <c r="K481" s="28">
        <f t="array" ref="K481">IF(ROW(K481)&lt;=COUNTA(E:E)*2,IF(MOD(ROW(K481),2)=1,INDEX(E:E,(ROW(K481)+1)/2),INDEX(G:G,ROW(K481)/2)),"")</f>
        <v>44.98</v>
      </c>
    </row>
    <row r="482" spans="1:11" x14ac:dyDescent="0.25">
      <c r="A482" s="25"/>
      <c r="B482" s="25"/>
      <c r="J482" s="28">
        <f t="array" ref="J482">IF(ROW(J482)&lt;=COUNTA(D:D)*2,IF(MOD(ROW(J482),2)=1,INDEX(D:D,(ROW(J482)+1)/2),INDEX(F:F,ROW(J482)/2)),"")</f>
        <v>-479.9</v>
      </c>
      <c r="K482" s="28">
        <f t="array" ref="K482">IF(ROW(K482)&lt;=COUNTA(E:E)*2,IF(MOD(ROW(K482),2)=1,INDEX(E:E,(ROW(K482)+1)/2),INDEX(G:G,ROW(K482)/2)),"")</f>
        <v>44.98</v>
      </c>
    </row>
    <row r="483" spans="1:11" x14ac:dyDescent="0.25">
      <c r="A483" s="25"/>
      <c r="B483" s="25"/>
      <c r="J483" s="28">
        <f t="array" ref="J483">IF(ROW(J483)&lt;=COUNTA(D:D)*2,IF(MOD(ROW(J483),2)=1,INDEX(D:D,(ROW(J483)+1)/2),INDEX(F:F,ROW(J483)/2)),"")</f>
        <v>-479.9</v>
      </c>
      <c r="K483" s="28">
        <f t="array" ref="K483">IF(ROW(K483)&lt;=COUNTA(E:E)*2,IF(MOD(ROW(K483),2)=1,INDEX(E:E,(ROW(K483)+1)/2),INDEX(G:G,ROW(K483)/2)),"")</f>
        <v>44.98</v>
      </c>
    </row>
    <row r="484" spans="1:11" x14ac:dyDescent="0.25">
      <c r="A484" s="25"/>
      <c r="B484" s="25"/>
      <c r="J484" s="28">
        <f t="array" ref="J484">IF(ROW(J484)&lt;=COUNTA(D:D)*2,IF(MOD(ROW(J484),2)=1,INDEX(D:D,(ROW(J484)+1)/2),INDEX(F:F,ROW(J484)/2)),"")</f>
        <v>-481.9</v>
      </c>
      <c r="K484" s="28">
        <f t="array" ref="K484">IF(ROW(K484)&lt;=COUNTA(E:E)*2,IF(MOD(ROW(K484),2)=1,INDEX(E:E,(ROW(K484)+1)/2),INDEX(G:G,ROW(K484)/2)),"")</f>
        <v>44.98</v>
      </c>
    </row>
    <row r="485" spans="1:11" x14ac:dyDescent="0.25">
      <c r="A485" s="25"/>
      <c r="B485" s="25"/>
      <c r="J485" s="28">
        <f t="array" ref="J485">IF(ROW(J485)&lt;=COUNTA(D:D)*2,IF(MOD(ROW(J485),2)=1,INDEX(D:D,(ROW(J485)+1)/2),INDEX(F:F,ROW(J485)/2)),"")</f>
        <v>-481.9</v>
      </c>
      <c r="K485" s="28">
        <f t="array" ref="K485">IF(ROW(K485)&lt;=COUNTA(E:E)*2,IF(MOD(ROW(K485),2)=1,INDEX(E:E,(ROW(K485)+1)/2),INDEX(G:G,ROW(K485)/2)),"")</f>
        <v>44.98</v>
      </c>
    </row>
    <row r="486" spans="1:11" x14ac:dyDescent="0.25">
      <c r="A486" s="25"/>
      <c r="B486" s="25"/>
      <c r="J486" s="28">
        <f t="array" ref="J486">IF(ROW(J486)&lt;=COUNTA(D:D)*2,IF(MOD(ROW(J486),2)=1,INDEX(D:D,(ROW(J486)+1)/2),INDEX(F:F,ROW(J486)/2)),"")</f>
        <v>-483.9</v>
      </c>
      <c r="K486" s="28">
        <f t="array" ref="K486">IF(ROW(K486)&lt;=COUNTA(E:E)*2,IF(MOD(ROW(K486),2)=1,INDEX(E:E,(ROW(K486)+1)/2),INDEX(G:G,ROW(K486)/2)),"")</f>
        <v>44.98</v>
      </c>
    </row>
    <row r="487" spans="1:11" x14ac:dyDescent="0.25">
      <c r="A487" s="25"/>
      <c r="B487" s="25"/>
      <c r="J487" s="28">
        <f t="array" ref="J487">IF(ROW(J487)&lt;=COUNTA(D:D)*2,IF(MOD(ROW(J487),2)=1,INDEX(D:D,(ROW(J487)+1)/2),INDEX(F:F,ROW(J487)/2)),"")</f>
        <v>-483.9</v>
      </c>
      <c r="K487" s="28">
        <f t="array" ref="K487">IF(ROW(K487)&lt;=COUNTA(E:E)*2,IF(MOD(ROW(K487),2)=1,INDEX(E:E,(ROW(K487)+1)/2),INDEX(G:G,ROW(K487)/2)),"")</f>
        <v>44.98</v>
      </c>
    </row>
    <row r="488" spans="1:11" x14ac:dyDescent="0.25">
      <c r="A488" s="25"/>
      <c r="B488" s="25"/>
      <c r="J488" s="28">
        <f t="array" ref="J488">IF(ROW(J488)&lt;=COUNTA(D:D)*2,IF(MOD(ROW(J488),2)=1,INDEX(D:D,(ROW(J488)+1)/2),INDEX(F:F,ROW(J488)/2)),"")</f>
        <v>-485.9</v>
      </c>
      <c r="K488" s="28">
        <f t="array" ref="K488">IF(ROW(K488)&lt;=COUNTA(E:E)*2,IF(MOD(ROW(K488),2)=1,INDEX(E:E,(ROW(K488)+1)/2),INDEX(G:G,ROW(K488)/2)),"")</f>
        <v>44.98</v>
      </c>
    </row>
    <row r="489" spans="1:11" x14ac:dyDescent="0.25">
      <c r="A489" s="25"/>
      <c r="B489" s="25"/>
      <c r="J489" s="28">
        <f t="array" ref="J489">IF(ROW(J489)&lt;=COUNTA(D:D)*2,IF(MOD(ROW(J489),2)=1,INDEX(D:D,(ROW(J489)+1)/2),INDEX(F:F,ROW(J489)/2)),"")</f>
        <v>-485.9</v>
      </c>
      <c r="K489" s="28">
        <f t="array" ref="K489">IF(ROW(K489)&lt;=COUNTA(E:E)*2,IF(MOD(ROW(K489),2)=1,INDEX(E:E,(ROW(K489)+1)/2),INDEX(G:G,ROW(K489)/2)),"")</f>
        <v>44.98</v>
      </c>
    </row>
    <row r="490" spans="1:11" x14ac:dyDescent="0.25">
      <c r="A490" s="25"/>
      <c r="B490" s="25"/>
      <c r="J490" s="28">
        <f t="array" ref="J490">IF(ROW(J490)&lt;=COUNTA(D:D)*2,IF(MOD(ROW(J490),2)=1,INDEX(D:D,(ROW(J490)+1)/2),INDEX(F:F,ROW(J490)/2)),"")</f>
        <v>-487.9</v>
      </c>
      <c r="K490" s="28">
        <f t="array" ref="K490">IF(ROW(K490)&lt;=COUNTA(E:E)*2,IF(MOD(ROW(K490),2)=1,INDEX(E:E,(ROW(K490)+1)/2),INDEX(G:G,ROW(K490)/2)),"")</f>
        <v>44.98</v>
      </c>
    </row>
    <row r="491" spans="1:11" x14ac:dyDescent="0.25">
      <c r="A491" s="25"/>
      <c r="B491" s="25"/>
      <c r="J491" s="28">
        <f t="array" ref="J491">IF(ROW(J491)&lt;=COUNTA(D:D)*2,IF(MOD(ROW(J491),2)=1,INDEX(D:D,(ROW(J491)+1)/2),INDEX(F:F,ROW(J491)/2)),"")</f>
        <v>-487.9</v>
      </c>
      <c r="K491" s="28">
        <f t="array" ref="K491">IF(ROW(K491)&lt;=COUNTA(E:E)*2,IF(MOD(ROW(K491),2)=1,INDEX(E:E,(ROW(K491)+1)/2),INDEX(G:G,ROW(K491)/2)),"")</f>
        <v>44.98</v>
      </c>
    </row>
    <row r="492" spans="1:11" x14ac:dyDescent="0.25">
      <c r="A492" s="25"/>
      <c r="B492" s="25"/>
      <c r="J492" s="28">
        <f t="array" ref="J492">IF(ROW(J492)&lt;=COUNTA(D:D)*2,IF(MOD(ROW(J492),2)=1,INDEX(D:D,(ROW(J492)+1)/2),INDEX(F:F,ROW(J492)/2)),"")</f>
        <v>-489.9</v>
      </c>
      <c r="K492" s="28">
        <f t="array" ref="K492">IF(ROW(K492)&lt;=COUNTA(E:E)*2,IF(MOD(ROW(K492),2)=1,INDEX(E:E,(ROW(K492)+1)/2),INDEX(G:G,ROW(K492)/2)),"")</f>
        <v>44.98</v>
      </c>
    </row>
    <row r="493" spans="1:11" x14ac:dyDescent="0.25">
      <c r="A493" s="25"/>
      <c r="B493" s="25"/>
      <c r="J493" s="28">
        <f t="array" ref="J493">IF(ROW(J493)&lt;=COUNTA(D:D)*2,IF(MOD(ROW(J493),2)=1,INDEX(D:D,(ROW(J493)+1)/2),INDEX(F:F,ROW(J493)/2)),"")</f>
        <v>-489.9</v>
      </c>
      <c r="K493" s="28">
        <f t="array" ref="K493">IF(ROW(K493)&lt;=COUNTA(E:E)*2,IF(MOD(ROW(K493),2)=1,INDEX(E:E,(ROW(K493)+1)/2),INDEX(G:G,ROW(K493)/2)),"")</f>
        <v>44.9</v>
      </c>
    </row>
    <row r="494" spans="1:11" x14ac:dyDescent="0.25">
      <c r="A494" s="25"/>
      <c r="B494" s="25"/>
      <c r="J494" s="28">
        <f t="array" ref="J494">IF(ROW(J494)&lt;=COUNTA(D:D)*2,IF(MOD(ROW(J494),2)=1,INDEX(D:D,(ROW(J494)+1)/2),INDEX(F:F,ROW(J494)/2)),"")</f>
        <v>-491.9</v>
      </c>
      <c r="K494" s="28">
        <f t="array" ref="K494">IF(ROW(K494)&lt;=COUNTA(E:E)*2,IF(MOD(ROW(K494),2)=1,INDEX(E:E,(ROW(K494)+1)/2),INDEX(G:G,ROW(K494)/2)),"")</f>
        <v>44.9</v>
      </c>
    </row>
    <row r="495" spans="1:11" x14ac:dyDescent="0.25">
      <c r="A495" s="25"/>
      <c r="B495" s="25"/>
      <c r="J495" s="28">
        <f t="array" ref="J495">IF(ROW(J495)&lt;=COUNTA(D:D)*2,IF(MOD(ROW(J495),2)=1,INDEX(D:D,(ROW(J495)+1)/2),INDEX(F:F,ROW(J495)/2)),"")</f>
        <v>-491.9</v>
      </c>
      <c r="K495" s="28">
        <f t="array" ref="K495">IF(ROW(K495)&lt;=COUNTA(E:E)*2,IF(MOD(ROW(K495),2)=1,INDEX(E:E,(ROW(K495)+1)/2),INDEX(G:G,ROW(K495)/2)),"")</f>
        <v>44.98</v>
      </c>
    </row>
    <row r="496" spans="1:11" x14ac:dyDescent="0.25">
      <c r="A496" s="25"/>
      <c r="B496" s="25"/>
      <c r="J496" s="28">
        <f t="array" ref="J496">IF(ROW(J496)&lt;=COUNTA(D:D)*2,IF(MOD(ROW(J496),2)=1,INDEX(D:D,(ROW(J496)+1)/2),INDEX(F:F,ROW(J496)/2)),"")</f>
        <v>-493.9</v>
      </c>
      <c r="K496" s="28">
        <f t="array" ref="K496">IF(ROW(K496)&lt;=COUNTA(E:E)*2,IF(MOD(ROW(K496),2)=1,INDEX(E:E,(ROW(K496)+1)/2),INDEX(G:G,ROW(K496)/2)),"")</f>
        <v>44.98</v>
      </c>
    </row>
    <row r="497" spans="1:11" x14ac:dyDescent="0.25">
      <c r="A497" s="25"/>
      <c r="B497" s="25"/>
      <c r="J497" s="28">
        <f t="array" ref="J497">IF(ROW(J497)&lt;=COUNTA(D:D)*2,IF(MOD(ROW(J497),2)=1,INDEX(D:D,(ROW(J497)+1)/2),INDEX(F:F,ROW(J497)/2)),"")</f>
        <v>-493.9</v>
      </c>
      <c r="K497" s="28">
        <f t="array" ref="K497">IF(ROW(K497)&lt;=COUNTA(E:E)*2,IF(MOD(ROW(K497),2)=1,INDEX(E:E,(ROW(K497)+1)/2),INDEX(G:G,ROW(K497)/2)),"")</f>
        <v>44.94</v>
      </c>
    </row>
    <row r="498" spans="1:11" x14ac:dyDescent="0.25">
      <c r="A498" s="25"/>
      <c r="B498" s="25"/>
      <c r="J498" s="28">
        <f t="array" ref="J498">IF(ROW(J498)&lt;=COUNTA(D:D)*2,IF(MOD(ROW(J498),2)=1,INDEX(D:D,(ROW(J498)+1)/2),INDEX(F:F,ROW(J498)/2)),"")</f>
        <v>-495.9</v>
      </c>
      <c r="K498" s="28">
        <f t="array" ref="K498">IF(ROW(K498)&lt;=COUNTA(E:E)*2,IF(MOD(ROW(K498),2)=1,INDEX(E:E,(ROW(K498)+1)/2),INDEX(G:G,ROW(K498)/2)),"")</f>
        <v>44.94</v>
      </c>
    </row>
    <row r="499" spans="1:11" x14ac:dyDescent="0.25">
      <c r="A499" s="25"/>
      <c r="B499" s="25"/>
      <c r="J499" s="28">
        <f t="array" ref="J499">IF(ROW(J499)&lt;=COUNTA(D:D)*2,IF(MOD(ROW(J499),2)=1,INDEX(D:D,(ROW(J499)+1)/2),INDEX(F:F,ROW(J499)/2)),"")</f>
        <v>-495.9</v>
      </c>
      <c r="K499" s="28">
        <f t="array" ref="K499">IF(ROW(K499)&lt;=COUNTA(E:E)*2,IF(MOD(ROW(K499),2)=1,INDEX(E:E,(ROW(K499)+1)/2),INDEX(G:G,ROW(K499)/2)),"")</f>
        <v>44.94</v>
      </c>
    </row>
    <row r="500" spans="1:11" x14ac:dyDescent="0.25">
      <c r="A500" s="25"/>
      <c r="B500" s="25"/>
      <c r="J500" s="28">
        <f t="array" ref="J500">IF(ROW(J500)&lt;=COUNTA(D:D)*2,IF(MOD(ROW(J500),2)=1,INDEX(D:D,(ROW(J500)+1)/2),INDEX(F:F,ROW(J500)/2)),"")</f>
        <v>-497.9</v>
      </c>
      <c r="K500" s="28">
        <f t="array" ref="K500">IF(ROW(K500)&lt;=COUNTA(E:E)*2,IF(MOD(ROW(K500),2)=1,INDEX(E:E,(ROW(K500)+1)/2),INDEX(G:G,ROW(K500)/2)),"")</f>
        <v>44.94</v>
      </c>
    </row>
    <row r="501" spans="1:11" x14ac:dyDescent="0.25">
      <c r="A501" s="25"/>
      <c r="B501" s="25"/>
      <c r="J501" s="28">
        <f t="array" ref="J501">IF(ROW(J501)&lt;=COUNTA(D:D)*2,IF(MOD(ROW(J501),2)=1,INDEX(D:D,(ROW(J501)+1)/2),INDEX(F:F,ROW(J501)/2)),"")</f>
        <v>-497.9</v>
      </c>
      <c r="K501" s="28">
        <f t="array" ref="K501">IF(ROW(K501)&lt;=COUNTA(E:E)*2,IF(MOD(ROW(K501),2)=1,INDEX(E:E,(ROW(K501)+1)/2),INDEX(G:G,ROW(K501)/2)),"")</f>
        <v>44.92</v>
      </c>
    </row>
    <row r="502" spans="1:11" x14ac:dyDescent="0.25">
      <c r="A502" s="25"/>
      <c r="B502" s="25"/>
      <c r="J502" s="28">
        <f t="array" ref="J502">IF(ROW(J502)&lt;=COUNTA(D:D)*2,IF(MOD(ROW(J502),2)=1,INDEX(D:D,(ROW(J502)+1)/2),INDEX(F:F,ROW(J502)/2)),"")</f>
        <v>-499.9</v>
      </c>
      <c r="K502" s="28">
        <f t="array" ref="K502">IF(ROW(K502)&lt;=COUNTA(E:E)*2,IF(MOD(ROW(K502),2)=1,INDEX(E:E,(ROW(K502)+1)/2),INDEX(G:G,ROW(K502)/2)),"")</f>
        <v>44.92</v>
      </c>
    </row>
    <row r="503" spans="1:11" x14ac:dyDescent="0.25">
      <c r="A503" s="25"/>
      <c r="B503" s="25"/>
      <c r="J503" s="28">
        <f t="array" ref="J503">IF(ROW(J503)&lt;=COUNTA(D:D)*2,IF(MOD(ROW(J503),2)=1,INDEX(D:D,(ROW(J503)+1)/2),INDEX(F:F,ROW(J503)/2)),"")</f>
        <v>-499.9</v>
      </c>
      <c r="K503" s="28">
        <f t="array" ref="K503">IF(ROW(K503)&lt;=COUNTA(E:E)*2,IF(MOD(ROW(K503),2)=1,INDEX(E:E,(ROW(K503)+1)/2),INDEX(G:G,ROW(K503)/2)),"")</f>
        <v>44.98</v>
      </c>
    </row>
    <row r="504" spans="1:11" x14ac:dyDescent="0.25">
      <c r="A504" s="25"/>
      <c r="B504" s="25"/>
      <c r="J504" s="28">
        <f t="array" ref="J504">IF(ROW(J504)&lt;=COUNTA(D:D)*2,IF(MOD(ROW(J504),2)=1,INDEX(D:D,(ROW(J504)+1)/2),INDEX(F:F,ROW(J504)/2)),"")</f>
        <v>-501.9</v>
      </c>
      <c r="K504" s="28">
        <f t="array" ref="K504">IF(ROW(K504)&lt;=COUNTA(E:E)*2,IF(MOD(ROW(K504),2)=1,INDEX(E:E,(ROW(K504)+1)/2),INDEX(G:G,ROW(K504)/2)),"")</f>
        <v>44.98</v>
      </c>
    </row>
    <row r="505" spans="1:11" x14ac:dyDescent="0.25">
      <c r="A505" s="25"/>
      <c r="B505" s="25"/>
      <c r="J505" s="28">
        <f t="array" ref="J505">IF(ROW(J505)&lt;=COUNTA(D:D)*2,IF(MOD(ROW(J505),2)=1,INDEX(D:D,(ROW(J505)+1)/2),INDEX(F:F,ROW(J505)/2)),"")</f>
        <v>-501.9</v>
      </c>
      <c r="K505" s="28">
        <f t="array" ref="K505">IF(ROW(K505)&lt;=COUNTA(E:E)*2,IF(MOD(ROW(K505),2)=1,INDEX(E:E,(ROW(K505)+1)/2),INDEX(G:G,ROW(K505)/2)),"")</f>
        <v>44.98</v>
      </c>
    </row>
    <row r="506" spans="1:11" x14ac:dyDescent="0.25">
      <c r="A506" s="25"/>
      <c r="B506" s="25"/>
      <c r="J506" s="28">
        <f t="array" ref="J506">IF(ROW(J506)&lt;=COUNTA(D:D)*2,IF(MOD(ROW(J506),2)=1,INDEX(D:D,(ROW(J506)+1)/2),INDEX(F:F,ROW(J506)/2)),"")</f>
        <v>-503.9</v>
      </c>
      <c r="K506" s="28">
        <f t="array" ref="K506">IF(ROW(K506)&lt;=COUNTA(E:E)*2,IF(MOD(ROW(K506),2)=1,INDEX(E:E,(ROW(K506)+1)/2),INDEX(G:G,ROW(K506)/2)),"")</f>
        <v>44.98</v>
      </c>
    </row>
    <row r="507" spans="1:11" x14ac:dyDescent="0.25">
      <c r="A507" s="25"/>
      <c r="B507" s="25"/>
      <c r="J507" s="28">
        <f t="array" ref="J507">IF(ROW(J507)&lt;=COUNTA(D:D)*2,IF(MOD(ROW(J507),2)=1,INDEX(D:D,(ROW(J507)+1)/2),INDEX(F:F,ROW(J507)/2)),"")</f>
        <v>-503.9</v>
      </c>
      <c r="K507" s="28">
        <f t="array" ref="K507">IF(ROW(K507)&lt;=COUNTA(E:E)*2,IF(MOD(ROW(K507),2)=1,INDEX(E:E,(ROW(K507)+1)/2),INDEX(G:G,ROW(K507)/2)),"")</f>
        <v>44.98</v>
      </c>
    </row>
    <row r="508" spans="1:11" x14ac:dyDescent="0.25">
      <c r="A508" s="25"/>
      <c r="B508" s="25"/>
      <c r="J508" s="28">
        <f t="array" ref="J508">IF(ROW(J508)&lt;=COUNTA(D:D)*2,IF(MOD(ROW(J508),2)=1,INDEX(D:D,(ROW(J508)+1)/2),INDEX(F:F,ROW(J508)/2)),"")</f>
        <v>-505.9</v>
      </c>
      <c r="K508" s="28">
        <f t="array" ref="K508">IF(ROW(K508)&lt;=COUNTA(E:E)*2,IF(MOD(ROW(K508),2)=1,INDEX(E:E,(ROW(K508)+1)/2),INDEX(G:G,ROW(K508)/2)),"")</f>
        <v>44.98</v>
      </c>
    </row>
    <row r="509" spans="1:11" x14ac:dyDescent="0.25">
      <c r="A509" s="25"/>
      <c r="B509" s="25"/>
      <c r="J509" s="28">
        <f t="array" ref="J509">IF(ROW(J509)&lt;=COUNTA(D:D)*2,IF(MOD(ROW(J509),2)=1,INDEX(D:D,(ROW(J509)+1)/2),INDEX(F:F,ROW(J509)/2)),"")</f>
        <v>-505.9</v>
      </c>
      <c r="K509" s="28">
        <f t="array" ref="K509">IF(ROW(K509)&lt;=COUNTA(E:E)*2,IF(MOD(ROW(K509),2)=1,INDEX(E:E,(ROW(K509)+1)/2),INDEX(G:G,ROW(K509)/2)),"")</f>
        <v>44.92</v>
      </c>
    </row>
    <row r="510" spans="1:11" x14ac:dyDescent="0.25">
      <c r="A510" s="25"/>
      <c r="B510" s="25"/>
      <c r="J510" s="28">
        <f t="array" ref="J510">IF(ROW(J510)&lt;=COUNTA(D:D)*2,IF(MOD(ROW(J510),2)=1,INDEX(D:D,(ROW(J510)+1)/2),INDEX(F:F,ROW(J510)/2)),"")</f>
        <v>-507.9</v>
      </c>
      <c r="K510" s="28">
        <f t="array" ref="K510">IF(ROW(K510)&lt;=COUNTA(E:E)*2,IF(MOD(ROW(K510),2)=1,INDEX(E:E,(ROW(K510)+1)/2),INDEX(G:G,ROW(K510)/2)),"")</f>
        <v>44.92</v>
      </c>
    </row>
    <row r="511" spans="1:11" x14ac:dyDescent="0.25">
      <c r="A511" s="25"/>
      <c r="B511" s="25"/>
      <c r="J511" s="28">
        <f t="array" ref="J511">IF(ROW(J511)&lt;=COUNTA(D:D)*2,IF(MOD(ROW(J511),2)=1,INDEX(D:D,(ROW(J511)+1)/2),INDEX(F:F,ROW(J511)/2)),"")</f>
        <v>-507.9</v>
      </c>
      <c r="K511" s="28">
        <f t="array" ref="K511">IF(ROW(K511)&lt;=COUNTA(E:E)*2,IF(MOD(ROW(K511),2)=1,INDEX(E:E,(ROW(K511)+1)/2),INDEX(G:G,ROW(K511)/2)),"")</f>
        <v>44.98</v>
      </c>
    </row>
    <row r="512" spans="1:11" x14ac:dyDescent="0.25">
      <c r="A512" s="25"/>
      <c r="B512" s="25"/>
      <c r="J512" s="28">
        <f t="array" ref="J512">IF(ROW(J512)&lt;=COUNTA(D:D)*2,IF(MOD(ROW(J512),2)=1,INDEX(D:D,(ROW(J512)+1)/2),INDEX(F:F,ROW(J512)/2)),"")</f>
        <v>-509.9</v>
      </c>
      <c r="K512" s="28">
        <f t="array" ref="K512">IF(ROW(K512)&lt;=COUNTA(E:E)*2,IF(MOD(ROW(K512),2)=1,INDEX(E:E,(ROW(K512)+1)/2),INDEX(G:G,ROW(K512)/2)),"")</f>
        <v>44.98</v>
      </c>
    </row>
    <row r="513" spans="1:11" x14ac:dyDescent="0.25">
      <c r="A513" s="25"/>
      <c r="B513" s="25"/>
      <c r="J513" s="28">
        <f t="array" ref="J513">IF(ROW(J513)&lt;=COUNTA(D:D)*2,IF(MOD(ROW(J513),2)=1,INDEX(D:D,(ROW(J513)+1)/2),INDEX(F:F,ROW(J513)/2)),"")</f>
        <v>-509.9</v>
      </c>
      <c r="K513" s="28">
        <f t="array" ref="K513">IF(ROW(K513)&lt;=COUNTA(E:E)*2,IF(MOD(ROW(K513),2)=1,INDEX(E:E,(ROW(K513)+1)/2),INDEX(G:G,ROW(K513)/2)),"")</f>
        <v>44.98</v>
      </c>
    </row>
    <row r="514" spans="1:11" x14ac:dyDescent="0.25">
      <c r="A514" s="25"/>
      <c r="B514" s="25"/>
      <c r="J514" s="28">
        <f t="array" ref="J514">IF(ROW(J514)&lt;=COUNTA(D:D)*2,IF(MOD(ROW(J514),2)=1,INDEX(D:D,(ROW(J514)+1)/2),INDEX(F:F,ROW(J514)/2)),"")</f>
        <v>-511.9</v>
      </c>
      <c r="K514" s="28">
        <f t="array" ref="K514">IF(ROW(K514)&lt;=COUNTA(E:E)*2,IF(MOD(ROW(K514),2)=1,INDEX(E:E,(ROW(K514)+1)/2),INDEX(G:G,ROW(K514)/2)),"")</f>
        <v>44.98</v>
      </c>
    </row>
    <row r="515" spans="1:11" x14ac:dyDescent="0.25">
      <c r="A515" s="25"/>
      <c r="B515" s="25"/>
      <c r="J515" s="28">
        <f t="array" ref="J515">IF(ROW(J515)&lt;=COUNTA(D:D)*2,IF(MOD(ROW(J515),2)=1,INDEX(D:D,(ROW(J515)+1)/2),INDEX(F:F,ROW(J515)/2)),"")</f>
        <v>-511.9</v>
      </c>
      <c r="K515" s="28">
        <f t="array" ref="K515">IF(ROW(K515)&lt;=COUNTA(E:E)*2,IF(MOD(ROW(K515),2)=1,INDEX(E:E,(ROW(K515)+1)/2),INDEX(G:G,ROW(K515)/2)),"")</f>
        <v>44.9</v>
      </c>
    </row>
    <row r="516" spans="1:11" x14ac:dyDescent="0.25">
      <c r="A516" s="25"/>
      <c r="B516" s="25"/>
      <c r="J516" s="28">
        <f t="array" ref="J516">IF(ROW(J516)&lt;=COUNTA(D:D)*2,IF(MOD(ROW(J516),2)=1,INDEX(D:D,(ROW(J516)+1)/2),INDEX(F:F,ROW(J516)/2)),"")</f>
        <v>-513.9</v>
      </c>
      <c r="K516" s="28">
        <f t="array" ref="K516">IF(ROW(K516)&lt;=COUNTA(E:E)*2,IF(MOD(ROW(K516),2)=1,INDEX(E:E,(ROW(K516)+1)/2),INDEX(G:G,ROW(K516)/2)),"")</f>
        <v>44.9</v>
      </c>
    </row>
    <row r="517" spans="1:11" x14ac:dyDescent="0.25">
      <c r="A517" s="25"/>
      <c r="B517" s="25"/>
      <c r="J517" s="28">
        <f t="array" ref="J517">IF(ROW(J517)&lt;=COUNTA(D:D)*2,IF(MOD(ROW(J517),2)=1,INDEX(D:D,(ROW(J517)+1)/2),INDEX(F:F,ROW(J517)/2)),"")</f>
        <v>-513.9</v>
      </c>
      <c r="K517" s="28">
        <f t="array" ref="K517">IF(ROW(K517)&lt;=COUNTA(E:E)*2,IF(MOD(ROW(K517),2)=1,INDEX(E:E,(ROW(K517)+1)/2),INDEX(G:G,ROW(K517)/2)),"")</f>
        <v>44.94</v>
      </c>
    </row>
    <row r="518" spans="1:11" x14ac:dyDescent="0.25">
      <c r="A518" s="25"/>
      <c r="B518" s="25"/>
      <c r="J518" s="28">
        <f t="array" ref="J518">IF(ROW(J518)&lt;=COUNTA(D:D)*2,IF(MOD(ROW(J518),2)=1,INDEX(D:D,(ROW(J518)+1)/2),INDEX(F:F,ROW(J518)/2)),"")</f>
        <v>-515.9</v>
      </c>
      <c r="K518" s="28">
        <f t="array" ref="K518">IF(ROW(K518)&lt;=COUNTA(E:E)*2,IF(MOD(ROW(K518),2)=1,INDEX(E:E,(ROW(K518)+1)/2),INDEX(G:G,ROW(K518)/2)),"")</f>
        <v>44.94</v>
      </c>
    </row>
    <row r="519" spans="1:11" x14ac:dyDescent="0.25">
      <c r="A519" s="25"/>
      <c r="B519" s="25"/>
      <c r="J519" s="28">
        <f t="array" ref="J519">IF(ROW(J519)&lt;=COUNTA(D:D)*2,IF(MOD(ROW(J519),2)=1,INDEX(D:D,(ROW(J519)+1)/2),INDEX(F:F,ROW(J519)/2)),"")</f>
        <v>-515.9</v>
      </c>
      <c r="K519" s="28">
        <f t="array" ref="K519">IF(ROW(K519)&lt;=COUNTA(E:E)*2,IF(MOD(ROW(K519),2)=1,INDEX(E:E,(ROW(K519)+1)/2),INDEX(G:G,ROW(K519)/2)),"")</f>
        <v>44.94</v>
      </c>
    </row>
    <row r="520" spans="1:11" x14ac:dyDescent="0.25">
      <c r="A520" s="25"/>
      <c r="B520" s="25"/>
      <c r="J520" s="28">
        <f t="array" ref="J520">IF(ROW(J520)&lt;=COUNTA(D:D)*2,IF(MOD(ROW(J520),2)=1,INDEX(D:D,(ROW(J520)+1)/2),INDEX(F:F,ROW(J520)/2)),"")</f>
        <v>-517.9</v>
      </c>
      <c r="K520" s="28">
        <f t="array" ref="K520">IF(ROW(K520)&lt;=COUNTA(E:E)*2,IF(MOD(ROW(K520),2)=1,INDEX(E:E,(ROW(K520)+1)/2),INDEX(G:G,ROW(K520)/2)),"")</f>
        <v>44.94</v>
      </c>
    </row>
    <row r="521" spans="1:11" x14ac:dyDescent="0.25">
      <c r="A521" s="25"/>
      <c r="B521" s="25"/>
      <c r="J521" s="28">
        <f t="array" ref="J521">IF(ROW(J521)&lt;=COUNTA(D:D)*2,IF(MOD(ROW(J521),2)=1,INDEX(D:D,(ROW(J521)+1)/2),INDEX(F:F,ROW(J521)/2)),"")</f>
        <v>-517.9</v>
      </c>
      <c r="K521" s="28">
        <f t="array" ref="K521">IF(ROW(K521)&lt;=COUNTA(E:E)*2,IF(MOD(ROW(K521),2)=1,INDEX(E:E,(ROW(K521)+1)/2),INDEX(G:G,ROW(K521)/2)),"")</f>
        <v>44.92</v>
      </c>
    </row>
    <row r="522" spans="1:11" x14ac:dyDescent="0.25">
      <c r="A522" s="25"/>
      <c r="B522" s="25"/>
      <c r="J522" s="28">
        <f t="array" ref="J522">IF(ROW(J522)&lt;=COUNTA(D:D)*2,IF(MOD(ROW(J522),2)=1,INDEX(D:D,(ROW(J522)+1)/2),INDEX(F:F,ROW(J522)/2)),"")</f>
        <v>-519.9</v>
      </c>
      <c r="K522" s="28">
        <f t="array" ref="K522">IF(ROW(K522)&lt;=COUNTA(E:E)*2,IF(MOD(ROW(K522),2)=1,INDEX(E:E,(ROW(K522)+1)/2),INDEX(G:G,ROW(K522)/2)),"")</f>
        <v>44.92</v>
      </c>
    </row>
    <row r="523" spans="1:11" x14ac:dyDescent="0.25">
      <c r="A523" s="25"/>
      <c r="B523" s="25"/>
      <c r="J523" s="28">
        <f t="array" ref="J523">IF(ROW(J523)&lt;=COUNTA(D:D)*2,IF(MOD(ROW(J523),2)=1,INDEX(D:D,(ROW(J523)+1)/2),INDEX(F:F,ROW(J523)/2)),"")</f>
        <v>-519.9</v>
      </c>
      <c r="K523" s="28">
        <f t="array" ref="K523">IF(ROW(K523)&lt;=COUNTA(E:E)*2,IF(MOD(ROW(K523),2)=1,INDEX(E:E,(ROW(K523)+1)/2),INDEX(G:G,ROW(K523)/2)),"")</f>
        <v>44.88</v>
      </c>
    </row>
    <row r="524" spans="1:11" x14ac:dyDescent="0.25">
      <c r="A524" s="25"/>
      <c r="B524" s="25"/>
      <c r="J524" s="28">
        <f t="array" ref="J524">IF(ROW(J524)&lt;=COUNTA(D:D)*2,IF(MOD(ROW(J524),2)=1,INDEX(D:D,(ROW(J524)+1)/2),INDEX(F:F,ROW(J524)/2)),"")</f>
        <v>-521.9</v>
      </c>
      <c r="K524" s="28">
        <f t="array" ref="K524">IF(ROW(K524)&lt;=COUNTA(E:E)*2,IF(MOD(ROW(K524),2)=1,INDEX(E:E,(ROW(K524)+1)/2),INDEX(G:G,ROW(K524)/2)),"")</f>
        <v>44.88</v>
      </c>
    </row>
    <row r="525" spans="1:11" x14ac:dyDescent="0.25">
      <c r="A525" s="25"/>
      <c r="B525" s="25"/>
      <c r="J525" s="28">
        <f t="array" ref="J525">IF(ROW(J525)&lt;=COUNTA(D:D)*2,IF(MOD(ROW(J525),2)=1,INDEX(D:D,(ROW(J525)+1)/2),INDEX(F:F,ROW(J525)/2)),"")</f>
        <v>-521.9</v>
      </c>
      <c r="K525" s="28">
        <f t="array" ref="K525">IF(ROW(K525)&lt;=COUNTA(E:E)*2,IF(MOD(ROW(K525),2)=1,INDEX(E:E,(ROW(K525)+1)/2),INDEX(G:G,ROW(K525)/2)),"")</f>
        <v>44.98</v>
      </c>
    </row>
    <row r="526" spans="1:11" x14ac:dyDescent="0.25">
      <c r="A526" s="25"/>
      <c r="B526" s="25"/>
      <c r="J526" s="28">
        <f t="array" ref="J526">IF(ROW(J526)&lt;=COUNTA(D:D)*2,IF(MOD(ROW(J526),2)=1,INDEX(D:D,(ROW(J526)+1)/2),INDEX(F:F,ROW(J526)/2)),"")</f>
        <v>-523.9</v>
      </c>
      <c r="K526" s="28">
        <f t="array" ref="K526">IF(ROW(K526)&lt;=COUNTA(E:E)*2,IF(MOD(ROW(K526),2)=1,INDEX(E:E,(ROW(K526)+1)/2),INDEX(G:G,ROW(K526)/2)),"")</f>
        <v>44.98</v>
      </c>
    </row>
    <row r="527" spans="1:11" x14ac:dyDescent="0.25">
      <c r="A527" s="25"/>
      <c r="B527" s="25"/>
      <c r="J527" s="28">
        <f t="array" ref="J527">IF(ROW(J527)&lt;=COUNTA(D:D)*2,IF(MOD(ROW(J527),2)=1,INDEX(D:D,(ROW(J527)+1)/2),INDEX(F:F,ROW(J527)/2)),"")</f>
        <v>-523.9</v>
      </c>
      <c r="K527" s="28">
        <f t="array" ref="K527">IF(ROW(K527)&lt;=COUNTA(E:E)*2,IF(MOD(ROW(K527),2)=1,INDEX(E:E,(ROW(K527)+1)/2),INDEX(G:G,ROW(K527)/2)),"")</f>
        <v>44.98</v>
      </c>
    </row>
    <row r="528" spans="1:11" x14ac:dyDescent="0.25">
      <c r="A528" s="25"/>
      <c r="B528" s="25"/>
      <c r="J528" s="28">
        <f t="array" ref="J528">IF(ROW(J528)&lt;=COUNTA(D:D)*2,IF(MOD(ROW(J528),2)=1,INDEX(D:D,(ROW(J528)+1)/2),INDEX(F:F,ROW(J528)/2)),"")</f>
        <v>-525.9</v>
      </c>
      <c r="K528" s="28">
        <f t="array" ref="K528">IF(ROW(K528)&lt;=COUNTA(E:E)*2,IF(MOD(ROW(K528),2)=1,INDEX(E:E,(ROW(K528)+1)/2),INDEX(G:G,ROW(K528)/2)),"")</f>
        <v>44.98</v>
      </c>
    </row>
    <row r="529" spans="1:11" x14ac:dyDescent="0.25">
      <c r="A529" s="25"/>
      <c r="B529" s="25"/>
      <c r="J529" s="28">
        <f t="array" ref="J529">IF(ROW(J529)&lt;=COUNTA(D:D)*2,IF(MOD(ROW(J529),2)=1,INDEX(D:D,(ROW(J529)+1)/2),INDEX(F:F,ROW(J529)/2)),"")</f>
        <v>-525.9</v>
      </c>
      <c r="K529" s="28">
        <f t="array" ref="K529">IF(ROW(K529)&lt;=COUNTA(E:E)*2,IF(MOD(ROW(K529),2)=1,INDEX(E:E,(ROW(K529)+1)/2),INDEX(G:G,ROW(K529)/2)),"")</f>
        <v>44.98</v>
      </c>
    </row>
    <row r="530" spans="1:11" x14ac:dyDescent="0.25">
      <c r="A530" s="25"/>
      <c r="B530" s="25"/>
      <c r="J530" s="28">
        <f t="array" ref="J530">IF(ROW(J530)&lt;=COUNTA(D:D)*2,IF(MOD(ROW(J530),2)=1,INDEX(D:D,(ROW(J530)+1)/2),INDEX(F:F,ROW(J530)/2)),"")</f>
        <v>-527.9</v>
      </c>
      <c r="K530" s="28">
        <f t="array" ref="K530">IF(ROW(K530)&lt;=COUNTA(E:E)*2,IF(MOD(ROW(K530),2)=1,INDEX(E:E,(ROW(K530)+1)/2),INDEX(G:G,ROW(K530)/2)),"")</f>
        <v>44.98</v>
      </c>
    </row>
    <row r="531" spans="1:11" x14ac:dyDescent="0.25">
      <c r="A531" s="25"/>
      <c r="B531" s="25"/>
      <c r="J531" s="28">
        <f t="array" ref="J531">IF(ROW(J531)&lt;=COUNTA(D:D)*2,IF(MOD(ROW(J531),2)=1,INDEX(D:D,(ROW(J531)+1)/2),INDEX(F:F,ROW(J531)/2)),"")</f>
        <v>-527.9</v>
      </c>
      <c r="K531" s="28">
        <f t="array" ref="K531">IF(ROW(K531)&lt;=COUNTA(E:E)*2,IF(MOD(ROW(K531),2)=1,INDEX(E:E,(ROW(K531)+1)/2),INDEX(G:G,ROW(K531)/2)),"")</f>
        <v>44.98</v>
      </c>
    </row>
    <row r="532" spans="1:11" x14ac:dyDescent="0.25">
      <c r="A532" s="25"/>
      <c r="B532" s="25"/>
      <c r="J532" s="28">
        <f t="array" ref="J532">IF(ROW(J532)&lt;=COUNTA(D:D)*2,IF(MOD(ROW(J532),2)=1,INDEX(D:D,(ROW(J532)+1)/2),INDEX(F:F,ROW(J532)/2)),"")</f>
        <v>-529.9</v>
      </c>
      <c r="K532" s="28">
        <f t="array" ref="K532">IF(ROW(K532)&lt;=COUNTA(E:E)*2,IF(MOD(ROW(K532),2)=1,INDEX(E:E,(ROW(K532)+1)/2),INDEX(G:G,ROW(K532)/2)),"")</f>
        <v>44.98</v>
      </c>
    </row>
    <row r="533" spans="1:11" x14ac:dyDescent="0.25">
      <c r="A533" s="25"/>
      <c r="B533" s="25"/>
      <c r="J533" s="28">
        <f t="array" ref="J533">IF(ROW(J533)&lt;=COUNTA(D:D)*2,IF(MOD(ROW(J533),2)=1,INDEX(D:D,(ROW(J533)+1)/2),INDEX(F:F,ROW(J533)/2)),"")</f>
        <v>-529.9</v>
      </c>
      <c r="K533" s="28">
        <f t="array" ref="K533">IF(ROW(K533)&lt;=COUNTA(E:E)*2,IF(MOD(ROW(K533),2)=1,INDEX(E:E,(ROW(K533)+1)/2),INDEX(G:G,ROW(K533)/2)),"")</f>
        <v>44.98</v>
      </c>
    </row>
    <row r="534" spans="1:11" x14ac:dyDescent="0.25">
      <c r="A534" s="25"/>
      <c r="B534" s="25"/>
      <c r="J534" s="28">
        <f t="array" ref="J534">IF(ROW(J534)&lt;=COUNTA(D:D)*2,IF(MOD(ROW(J534),2)=1,INDEX(D:D,(ROW(J534)+1)/2),INDEX(F:F,ROW(J534)/2)),"")</f>
        <v>-531.9</v>
      </c>
      <c r="K534" s="28">
        <f t="array" ref="K534">IF(ROW(K534)&lt;=COUNTA(E:E)*2,IF(MOD(ROW(K534),2)=1,INDEX(E:E,(ROW(K534)+1)/2),INDEX(G:G,ROW(K534)/2)),"")</f>
        <v>44.98</v>
      </c>
    </row>
    <row r="535" spans="1:11" x14ac:dyDescent="0.25">
      <c r="A535" s="25"/>
      <c r="B535" s="25"/>
      <c r="J535" s="28">
        <f t="array" ref="J535">IF(ROW(J535)&lt;=COUNTA(D:D)*2,IF(MOD(ROW(J535),2)=1,INDEX(D:D,(ROW(J535)+1)/2),INDEX(F:F,ROW(J535)/2)),"")</f>
        <v>-531.9</v>
      </c>
      <c r="K535" s="28">
        <f t="array" ref="K535">IF(ROW(K535)&lt;=COUNTA(E:E)*2,IF(MOD(ROW(K535),2)=1,INDEX(E:E,(ROW(K535)+1)/2),INDEX(G:G,ROW(K535)/2)),"")</f>
        <v>44.92</v>
      </c>
    </row>
    <row r="536" spans="1:11" x14ac:dyDescent="0.25">
      <c r="A536" s="25"/>
      <c r="B536" s="25"/>
      <c r="J536" s="28">
        <f t="array" ref="J536">IF(ROW(J536)&lt;=COUNTA(D:D)*2,IF(MOD(ROW(J536),2)=1,INDEX(D:D,(ROW(J536)+1)/2),INDEX(F:F,ROW(J536)/2)),"")</f>
        <v>-533.9</v>
      </c>
      <c r="K536" s="28">
        <f t="array" ref="K536">IF(ROW(K536)&lt;=COUNTA(E:E)*2,IF(MOD(ROW(K536),2)=1,INDEX(E:E,(ROW(K536)+1)/2),INDEX(G:G,ROW(K536)/2)),"")</f>
        <v>44.92</v>
      </c>
    </row>
    <row r="537" spans="1:11" x14ac:dyDescent="0.25">
      <c r="A537" s="25"/>
      <c r="B537" s="25"/>
      <c r="J537" s="28">
        <f t="array" ref="J537">IF(ROW(J537)&lt;=COUNTA(D:D)*2,IF(MOD(ROW(J537),2)=1,INDEX(D:D,(ROW(J537)+1)/2),INDEX(F:F,ROW(J537)/2)),"")</f>
        <v>-533.9</v>
      </c>
      <c r="K537" s="28">
        <f t="array" ref="K537">IF(ROW(K537)&lt;=COUNTA(E:E)*2,IF(MOD(ROW(K537),2)=1,INDEX(E:E,(ROW(K537)+1)/2),INDEX(G:G,ROW(K537)/2)),"")</f>
        <v>44.9</v>
      </c>
    </row>
    <row r="538" spans="1:11" x14ac:dyDescent="0.25">
      <c r="A538" s="25"/>
      <c r="B538" s="25"/>
      <c r="J538" s="28">
        <f t="array" ref="J538">IF(ROW(J538)&lt;=COUNTA(D:D)*2,IF(MOD(ROW(J538),2)=1,INDEX(D:D,(ROW(J538)+1)/2),INDEX(F:F,ROW(J538)/2)),"")</f>
        <v>-535.9</v>
      </c>
      <c r="K538" s="28">
        <f t="array" ref="K538">IF(ROW(K538)&lt;=COUNTA(E:E)*2,IF(MOD(ROW(K538),2)=1,INDEX(E:E,(ROW(K538)+1)/2),INDEX(G:G,ROW(K538)/2)),"")</f>
        <v>44.9</v>
      </c>
    </row>
    <row r="539" spans="1:11" x14ac:dyDescent="0.25">
      <c r="A539" s="25"/>
      <c r="B539" s="25"/>
      <c r="J539" s="28">
        <f t="array" ref="J539">IF(ROW(J539)&lt;=COUNTA(D:D)*2,IF(MOD(ROW(J539),2)=1,INDEX(D:D,(ROW(J539)+1)/2),INDEX(F:F,ROW(J539)/2)),"")</f>
        <v>-535.9</v>
      </c>
      <c r="K539" s="28">
        <f t="array" ref="K539">IF(ROW(K539)&lt;=COUNTA(E:E)*2,IF(MOD(ROW(K539),2)=1,INDEX(E:E,(ROW(K539)+1)/2),INDEX(G:G,ROW(K539)/2)),"")</f>
        <v>44.98</v>
      </c>
    </row>
    <row r="540" spans="1:11" x14ac:dyDescent="0.25">
      <c r="A540" s="25"/>
      <c r="B540" s="25"/>
      <c r="J540" s="28">
        <f t="array" ref="J540">IF(ROW(J540)&lt;=COUNTA(D:D)*2,IF(MOD(ROW(J540),2)=1,INDEX(D:D,(ROW(J540)+1)/2),INDEX(F:F,ROW(J540)/2)),"")</f>
        <v>-537.9</v>
      </c>
      <c r="K540" s="28">
        <f t="array" ref="K540">IF(ROW(K540)&lt;=COUNTA(E:E)*2,IF(MOD(ROW(K540),2)=1,INDEX(E:E,(ROW(K540)+1)/2),INDEX(G:G,ROW(K540)/2)),"")</f>
        <v>44.98</v>
      </c>
    </row>
    <row r="541" spans="1:11" x14ac:dyDescent="0.25">
      <c r="A541" s="25"/>
      <c r="B541" s="25"/>
      <c r="J541" s="28">
        <f t="array" ref="J541">IF(ROW(J541)&lt;=COUNTA(D:D)*2,IF(MOD(ROW(J541),2)=1,INDEX(D:D,(ROW(J541)+1)/2),INDEX(F:F,ROW(J541)/2)),"")</f>
        <v>-537.9</v>
      </c>
      <c r="K541" s="28">
        <f t="array" ref="K541">IF(ROW(K541)&lt;=COUNTA(E:E)*2,IF(MOD(ROW(K541),2)=1,INDEX(E:E,(ROW(K541)+1)/2),INDEX(G:G,ROW(K541)/2)),"")</f>
        <v>44.96</v>
      </c>
    </row>
    <row r="542" spans="1:11" x14ac:dyDescent="0.25">
      <c r="A542" s="25"/>
      <c r="B542" s="25"/>
      <c r="J542" s="28">
        <f t="array" ref="J542">IF(ROW(J542)&lt;=COUNTA(D:D)*2,IF(MOD(ROW(J542),2)=1,INDEX(D:D,(ROW(J542)+1)/2),INDEX(F:F,ROW(J542)/2)),"")</f>
        <v>-539.9</v>
      </c>
      <c r="K542" s="28">
        <f t="array" ref="K542">IF(ROW(K542)&lt;=COUNTA(E:E)*2,IF(MOD(ROW(K542),2)=1,INDEX(E:E,(ROW(K542)+1)/2),INDEX(G:G,ROW(K542)/2)),"")</f>
        <v>44.96</v>
      </c>
    </row>
    <row r="543" spans="1:11" x14ac:dyDescent="0.25">
      <c r="A543" s="25"/>
      <c r="B543" s="25"/>
      <c r="J543" s="28">
        <f t="array" ref="J543">IF(ROW(J543)&lt;=COUNTA(D:D)*2,IF(MOD(ROW(J543),2)=1,INDEX(D:D,(ROW(J543)+1)/2),INDEX(F:F,ROW(J543)/2)),"")</f>
        <v>-539.9</v>
      </c>
      <c r="K543" s="28">
        <f t="array" ref="K543">IF(ROW(K543)&lt;=COUNTA(E:E)*2,IF(MOD(ROW(K543),2)=1,INDEX(E:E,(ROW(K543)+1)/2),INDEX(G:G,ROW(K543)/2)),"")</f>
        <v>44.98</v>
      </c>
    </row>
    <row r="544" spans="1:11" x14ac:dyDescent="0.25">
      <c r="A544" s="25"/>
      <c r="B544" s="25"/>
      <c r="J544" s="28">
        <f t="array" ref="J544">IF(ROW(J544)&lt;=COUNTA(D:D)*2,IF(MOD(ROW(J544),2)=1,INDEX(D:D,(ROW(J544)+1)/2),INDEX(F:F,ROW(J544)/2)),"")</f>
        <v>-541.9</v>
      </c>
      <c r="K544" s="28">
        <f t="array" ref="K544">IF(ROW(K544)&lt;=COUNTA(E:E)*2,IF(MOD(ROW(K544),2)=1,INDEX(E:E,(ROW(K544)+1)/2),INDEX(G:G,ROW(K544)/2)),"")</f>
        <v>44.98</v>
      </c>
    </row>
    <row r="545" spans="1:11" x14ac:dyDescent="0.25">
      <c r="A545" s="25"/>
      <c r="B545" s="25"/>
      <c r="J545" s="28">
        <f t="array" ref="J545">IF(ROW(J545)&lt;=COUNTA(D:D)*2,IF(MOD(ROW(J545),2)=1,INDEX(D:D,(ROW(J545)+1)/2),INDEX(F:F,ROW(J545)/2)),"")</f>
        <v>-541.9</v>
      </c>
      <c r="K545" s="28">
        <f t="array" ref="K545">IF(ROW(K545)&lt;=COUNTA(E:E)*2,IF(MOD(ROW(K545),2)=1,INDEX(E:E,(ROW(K545)+1)/2),INDEX(G:G,ROW(K545)/2)),"")</f>
        <v>44.98</v>
      </c>
    </row>
    <row r="546" spans="1:11" x14ac:dyDescent="0.25">
      <c r="A546" s="25"/>
      <c r="B546" s="25"/>
      <c r="J546" s="28">
        <f t="array" ref="J546">IF(ROW(J546)&lt;=COUNTA(D:D)*2,IF(MOD(ROW(J546),2)=1,INDEX(D:D,(ROW(J546)+1)/2),INDEX(F:F,ROW(J546)/2)),"")</f>
        <v>-543.9</v>
      </c>
      <c r="K546" s="28">
        <f t="array" ref="K546">IF(ROW(K546)&lt;=COUNTA(E:E)*2,IF(MOD(ROW(K546),2)=1,INDEX(E:E,(ROW(K546)+1)/2),INDEX(G:G,ROW(K546)/2)),"")</f>
        <v>44.98</v>
      </c>
    </row>
    <row r="547" spans="1:11" x14ac:dyDescent="0.25">
      <c r="A547" s="25"/>
      <c r="B547" s="25"/>
      <c r="J547" s="28">
        <f t="array" ref="J547">IF(ROW(J547)&lt;=COUNTA(D:D)*2,IF(MOD(ROW(J547),2)=1,INDEX(D:D,(ROW(J547)+1)/2),INDEX(F:F,ROW(J547)/2)),"")</f>
        <v>-543.9</v>
      </c>
      <c r="K547" s="28">
        <f t="array" ref="K547">IF(ROW(K547)&lt;=COUNTA(E:E)*2,IF(MOD(ROW(K547),2)=1,INDEX(E:E,(ROW(K547)+1)/2),INDEX(G:G,ROW(K547)/2)),"")</f>
        <v>44.94</v>
      </c>
    </row>
    <row r="548" spans="1:11" x14ac:dyDescent="0.25">
      <c r="A548" s="25"/>
      <c r="B548" s="25"/>
      <c r="J548" s="28">
        <f t="array" ref="J548">IF(ROW(J548)&lt;=COUNTA(D:D)*2,IF(MOD(ROW(J548),2)=1,INDEX(D:D,(ROW(J548)+1)/2),INDEX(F:F,ROW(J548)/2)),"")</f>
        <v>-545.9</v>
      </c>
      <c r="K548" s="28">
        <f t="array" ref="K548">IF(ROW(K548)&lt;=COUNTA(E:E)*2,IF(MOD(ROW(K548),2)=1,INDEX(E:E,(ROW(K548)+1)/2),INDEX(G:G,ROW(K548)/2)),"")</f>
        <v>44.94</v>
      </c>
    </row>
    <row r="549" spans="1:11" x14ac:dyDescent="0.25">
      <c r="A549" s="25"/>
      <c r="B549" s="25"/>
      <c r="J549" s="28">
        <f t="array" ref="J549">IF(ROW(J549)&lt;=COUNTA(D:D)*2,IF(MOD(ROW(J549),2)=1,INDEX(D:D,(ROW(J549)+1)/2),INDEX(F:F,ROW(J549)/2)),"")</f>
        <v>-545.9</v>
      </c>
      <c r="K549" s="28">
        <f t="array" ref="K549">IF(ROW(K549)&lt;=COUNTA(E:E)*2,IF(MOD(ROW(K549),2)=1,INDEX(E:E,(ROW(K549)+1)/2),INDEX(G:G,ROW(K549)/2)),"")</f>
        <v>44.96</v>
      </c>
    </row>
    <row r="550" spans="1:11" x14ac:dyDescent="0.25">
      <c r="A550" s="25"/>
      <c r="B550" s="25"/>
      <c r="J550" s="28">
        <f t="array" ref="J550">IF(ROW(J550)&lt;=COUNTA(D:D)*2,IF(MOD(ROW(J550),2)=1,INDEX(D:D,(ROW(J550)+1)/2),INDEX(F:F,ROW(J550)/2)),"")</f>
        <v>-547.9</v>
      </c>
      <c r="K550" s="28">
        <f t="array" ref="K550">IF(ROW(K550)&lt;=COUNTA(E:E)*2,IF(MOD(ROW(K550),2)=1,INDEX(E:E,(ROW(K550)+1)/2),INDEX(G:G,ROW(K550)/2)),"")</f>
        <v>44.96</v>
      </c>
    </row>
    <row r="551" spans="1:11" x14ac:dyDescent="0.25">
      <c r="A551" s="25"/>
      <c r="B551" s="25"/>
      <c r="J551" s="28">
        <f t="array" ref="J551">IF(ROW(J551)&lt;=COUNTA(D:D)*2,IF(MOD(ROW(J551),2)=1,INDEX(D:D,(ROW(J551)+1)/2),INDEX(F:F,ROW(J551)/2)),"")</f>
        <v>-547.9</v>
      </c>
      <c r="K551" s="28">
        <f t="array" ref="K551">IF(ROW(K551)&lt;=COUNTA(E:E)*2,IF(MOD(ROW(K551),2)=1,INDEX(E:E,(ROW(K551)+1)/2),INDEX(G:G,ROW(K551)/2)),"")</f>
        <v>44.96</v>
      </c>
    </row>
    <row r="552" spans="1:11" x14ac:dyDescent="0.25">
      <c r="A552" s="25"/>
      <c r="B552" s="25"/>
      <c r="J552" s="28">
        <f t="array" ref="J552">IF(ROW(J552)&lt;=COUNTA(D:D)*2,IF(MOD(ROW(J552),2)=1,INDEX(D:D,(ROW(J552)+1)/2),INDEX(F:F,ROW(J552)/2)),"")</f>
        <v>-549.9</v>
      </c>
      <c r="K552" s="28">
        <f t="array" ref="K552">IF(ROW(K552)&lt;=COUNTA(E:E)*2,IF(MOD(ROW(K552),2)=1,INDEX(E:E,(ROW(K552)+1)/2),INDEX(G:G,ROW(K552)/2)),"")</f>
        <v>44.96</v>
      </c>
    </row>
    <row r="553" spans="1:11" x14ac:dyDescent="0.25">
      <c r="A553" s="25"/>
      <c r="B553" s="25"/>
      <c r="J553" s="28">
        <f t="array" ref="J553">IF(ROW(J553)&lt;=COUNTA(D:D)*2,IF(MOD(ROW(J553),2)=1,INDEX(D:D,(ROW(J553)+1)/2),INDEX(F:F,ROW(J553)/2)),"")</f>
        <v>-549.9</v>
      </c>
      <c r="K553" s="28">
        <f t="array" ref="K553">IF(ROW(K553)&lt;=COUNTA(E:E)*2,IF(MOD(ROW(K553),2)=1,INDEX(E:E,(ROW(K553)+1)/2),INDEX(G:G,ROW(K553)/2)),"")</f>
        <v>44.98</v>
      </c>
    </row>
    <row r="554" spans="1:11" x14ac:dyDescent="0.25">
      <c r="A554" s="25"/>
      <c r="B554" s="25"/>
      <c r="J554" s="28">
        <f t="array" ref="J554">IF(ROW(J554)&lt;=COUNTA(D:D)*2,IF(MOD(ROW(J554),2)=1,INDEX(D:D,(ROW(J554)+1)/2),INDEX(F:F,ROW(J554)/2)),"")</f>
        <v>-551.9</v>
      </c>
      <c r="K554" s="28">
        <f t="array" ref="K554">IF(ROW(K554)&lt;=COUNTA(E:E)*2,IF(MOD(ROW(K554),2)=1,INDEX(E:E,(ROW(K554)+1)/2),INDEX(G:G,ROW(K554)/2)),"")</f>
        <v>44.98</v>
      </c>
    </row>
    <row r="555" spans="1:11" x14ac:dyDescent="0.25">
      <c r="A555" s="25"/>
      <c r="B555" s="25"/>
      <c r="J555" s="28">
        <f t="array" ref="J555">IF(ROW(J555)&lt;=COUNTA(D:D)*2,IF(MOD(ROW(J555),2)=1,INDEX(D:D,(ROW(J555)+1)/2),INDEX(F:F,ROW(J555)/2)),"")</f>
        <v>-551.9</v>
      </c>
      <c r="K555" s="28">
        <f t="array" ref="K555">IF(ROW(K555)&lt;=COUNTA(E:E)*2,IF(MOD(ROW(K555),2)=1,INDEX(E:E,(ROW(K555)+1)/2),INDEX(G:G,ROW(K555)/2)),"")</f>
        <v>44.98</v>
      </c>
    </row>
    <row r="556" spans="1:11" x14ac:dyDescent="0.25">
      <c r="A556" s="25"/>
      <c r="B556" s="25"/>
      <c r="J556" s="28">
        <f t="array" ref="J556">IF(ROW(J556)&lt;=COUNTA(D:D)*2,IF(MOD(ROW(J556),2)=1,INDEX(D:D,(ROW(J556)+1)/2),INDEX(F:F,ROW(J556)/2)),"")</f>
        <v>-553.9</v>
      </c>
      <c r="K556" s="28">
        <f t="array" ref="K556">IF(ROW(K556)&lt;=COUNTA(E:E)*2,IF(MOD(ROW(K556),2)=1,INDEX(E:E,(ROW(K556)+1)/2),INDEX(G:G,ROW(K556)/2)),"")</f>
        <v>44.98</v>
      </c>
    </row>
    <row r="557" spans="1:11" x14ac:dyDescent="0.25">
      <c r="A557" s="25"/>
      <c r="B557" s="25"/>
      <c r="J557" s="28">
        <f t="array" ref="J557">IF(ROW(J557)&lt;=COUNTA(D:D)*2,IF(MOD(ROW(J557),2)=1,INDEX(D:D,(ROW(J557)+1)/2),INDEX(F:F,ROW(J557)/2)),"")</f>
        <v>-553.9</v>
      </c>
      <c r="K557" s="28">
        <f t="array" ref="K557">IF(ROW(K557)&lt;=COUNTA(E:E)*2,IF(MOD(ROW(K557),2)=1,INDEX(E:E,(ROW(K557)+1)/2),INDEX(G:G,ROW(K557)/2)),"")</f>
        <v>44.8</v>
      </c>
    </row>
    <row r="558" spans="1:11" x14ac:dyDescent="0.25">
      <c r="A558" s="25"/>
      <c r="B558" s="25"/>
      <c r="J558" s="28">
        <f t="array" ref="J558">IF(ROW(J558)&lt;=COUNTA(D:D)*2,IF(MOD(ROW(J558),2)=1,INDEX(D:D,(ROW(J558)+1)/2),INDEX(F:F,ROW(J558)/2)),"")</f>
        <v>-555.9</v>
      </c>
      <c r="K558" s="28">
        <f t="array" ref="K558">IF(ROW(K558)&lt;=COUNTA(E:E)*2,IF(MOD(ROW(K558),2)=1,INDEX(E:E,(ROW(K558)+1)/2),INDEX(G:G,ROW(K558)/2)),"")</f>
        <v>44.8</v>
      </c>
    </row>
    <row r="559" spans="1:11" x14ac:dyDescent="0.25">
      <c r="A559" s="25"/>
      <c r="B559" s="25"/>
      <c r="J559" s="28">
        <f t="array" ref="J559">IF(ROW(J559)&lt;=COUNTA(D:D)*2,IF(MOD(ROW(J559),2)=1,INDEX(D:D,(ROW(J559)+1)/2),INDEX(F:F,ROW(J559)/2)),"")</f>
        <v>-555.9</v>
      </c>
      <c r="K559" s="28">
        <f t="array" ref="K559">IF(ROW(K559)&lt;=COUNTA(E:E)*2,IF(MOD(ROW(K559),2)=1,INDEX(E:E,(ROW(K559)+1)/2),INDEX(G:G,ROW(K559)/2)),"")</f>
        <v>44.98</v>
      </c>
    </row>
    <row r="560" spans="1:11" x14ac:dyDescent="0.25">
      <c r="A560" s="25"/>
      <c r="B560" s="25"/>
      <c r="J560" s="28">
        <f t="array" ref="J560">IF(ROW(J560)&lt;=COUNTA(D:D)*2,IF(MOD(ROW(J560),2)=1,INDEX(D:D,(ROW(J560)+1)/2),INDEX(F:F,ROW(J560)/2)),"")</f>
        <v>-557.9</v>
      </c>
      <c r="K560" s="28">
        <f t="array" ref="K560">IF(ROW(K560)&lt;=COUNTA(E:E)*2,IF(MOD(ROW(K560),2)=1,INDEX(E:E,(ROW(K560)+1)/2),INDEX(G:G,ROW(K560)/2)),"")</f>
        <v>44.98</v>
      </c>
    </row>
    <row r="561" spans="1:11" x14ac:dyDescent="0.25">
      <c r="A561" s="25"/>
      <c r="B561" s="25"/>
      <c r="J561" s="28">
        <f t="array" ref="J561">IF(ROW(J561)&lt;=COUNTA(D:D)*2,IF(MOD(ROW(J561),2)=1,INDEX(D:D,(ROW(J561)+1)/2),INDEX(F:F,ROW(J561)/2)),"")</f>
        <v>-557.9</v>
      </c>
      <c r="K561" s="28">
        <f t="array" ref="K561">IF(ROW(K561)&lt;=COUNTA(E:E)*2,IF(MOD(ROW(K561),2)=1,INDEX(E:E,(ROW(K561)+1)/2),INDEX(G:G,ROW(K561)/2)),"")</f>
        <v>44.92</v>
      </c>
    </row>
    <row r="562" spans="1:11" x14ac:dyDescent="0.25">
      <c r="A562" s="25"/>
      <c r="B562" s="25"/>
      <c r="J562" s="28">
        <f t="array" ref="J562">IF(ROW(J562)&lt;=COUNTA(D:D)*2,IF(MOD(ROW(J562),2)=1,INDEX(D:D,(ROW(J562)+1)/2),INDEX(F:F,ROW(J562)/2)),"")</f>
        <v>-559.9</v>
      </c>
      <c r="K562" s="28">
        <f t="array" ref="K562">IF(ROW(K562)&lt;=COUNTA(E:E)*2,IF(MOD(ROW(K562),2)=1,INDEX(E:E,(ROW(K562)+1)/2),INDEX(G:G,ROW(K562)/2)),"")</f>
        <v>44.92</v>
      </c>
    </row>
    <row r="563" spans="1:11" x14ac:dyDescent="0.25">
      <c r="A563" s="25"/>
      <c r="B563" s="25"/>
      <c r="J563" s="28">
        <f t="array" ref="J563">IF(ROW(J563)&lt;=COUNTA(D:D)*2,IF(MOD(ROW(J563),2)=1,INDEX(D:D,(ROW(J563)+1)/2),INDEX(F:F,ROW(J563)/2)),"")</f>
        <v>-559.9</v>
      </c>
      <c r="K563" s="28">
        <f t="array" ref="K563">IF(ROW(K563)&lt;=COUNTA(E:E)*2,IF(MOD(ROW(K563),2)=1,INDEX(E:E,(ROW(K563)+1)/2),INDEX(G:G,ROW(K563)/2)),"")</f>
        <v>44.98</v>
      </c>
    </row>
    <row r="564" spans="1:11" x14ac:dyDescent="0.25">
      <c r="A564" s="25"/>
      <c r="B564" s="25"/>
      <c r="J564" s="28">
        <f t="array" ref="J564">IF(ROW(J564)&lt;=COUNTA(D:D)*2,IF(MOD(ROW(J564),2)=1,INDEX(D:D,(ROW(J564)+1)/2),INDEX(F:F,ROW(J564)/2)),"")</f>
        <v>-561.9</v>
      </c>
      <c r="K564" s="28">
        <f t="array" ref="K564">IF(ROW(K564)&lt;=COUNTA(E:E)*2,IF(MOD(ROW(K564),2)=1,INDEX(E:E,(ROW(K564)+1)/2),INDEX(G:G,ROW(K564)/2)),"")</f>
        <v>44.98</v>
      </c>
    </row>
    <row r="565" spans="1:11" x14ac:dyDescent="0.25">
      <c r="A565" s="25"/>
      <c r="B565" s="25"/>
      <c r="J565" s="28">
        <f t="array" ref="J565">IF(ROW(J565)&lt;=COUNTA(D:D)*2,IF(MOD(ROW(J565),2)=1,INDEX(D:D,(ROW(J565)+1)/2),INDEX(F:F,ROW(J565)/2)),"")</f>
        <v>-561.9</v>
      </c>
      <c r="K565" s="28">
        <f t="array" ref="K565">IF(ROW(K565)&lt;=COUNTA(E:E)*2,IF(MOD(ROW(K565),2)=1,INDEX(E:E,(ROW(K565)+1)/2),INDEX(G:G,ROW(K565)/2)),"")</f>
        <v>44.9</v>
      </c>
    </row>
    <row r="566" spans="1:11" x14ac:dyDescent="0.25">
      <c r="A566" s="25"/>
      <c r="B566" s="25"/>
      <c r="J566" s="28">
        <f t="array" ref="J566">IF(ROW(J566)&lt;=COUNTA(D:D)*2,IF(MOD(ROW(J566),2)=1,INDEX(D:D,(ROW(J566)+1)/2),INDEX(F:F,ROW(J566)/2)),"")</f>
        <v>-563.9</v>
      </c>
      <c r="K566" s="28">
        <f t="array" ref="K566">IF(ROW(K566)&lt;=COUNTA(E:E)*2,IF(MOD(ROW(K566),2)=1,INDEX(E:E,(ROW(K566)+1)/2),INDEX(G:G,ROW(K566)/2)),"")</f>
        <v>44.9</v>
      </c>
    </row>
    <row r="567" spans="1:11" x14ac:dyDescent="0.25">
      <c r="A567" s="25"/>
      <c r="B567" s="25"/>
      <c r="J567" s="28">
        <f t="array" ref="J567">IF(ROW(J567)&lt;=COUNTA(D:D)*2,IF(MOD(ROW(J567),2)=1,INDEX(D:D,(ROW(J567)+1)/2),INDEX(F:F,ROW(J567)/2)),"")</f>
        <v>-563.9</v>
      </c>
      <c r="K567" s="28">
        <f t="array" ref="K567">IF(ROW(K567)&lt;=COUNTA(E:E)*2,IF(MOD(ROW(K567),2)=1,INDEX(E:E,(ROW(K567)+1)/2),INDEX(G:G,ROW(K567)/2)),"")</f>
        <v>44.98</v>
      </c>
    </row>
    <row r="568" spans="1:11" x14ac:dyDescent="0.25">
      <c r="A568" s="25"/>
      <c r="B568" s="25"/>
      <c r="J568" s="28">
        <f t="array" ref="J568">IF(ROW(J568)&lt;=COUNTA(D:D)*2,IF(MOD(ROW(J568),2)=1,INDEX(D:D,(ROW(J568)+1)/2),INDEX(F:F,ROW(J568)/2)),"")</f>
        <v>-565.9</v>
      </c>
      <c r="K568" s="28">
        <f t="array" ref="K568">IF(ROW(K568)&lt;=COUNTA(E:E)*2,IF(MOD(ROW(K568),2)=1,INDEX(E:E,(ROW(K568)+1)/2),INDEX(G:G,ROW(K568)/2)),"")</f>
        <v>44.98</v>
      </c>
    </row>
    <row r="569" spans="1:11" x14ac:dyDescent="0.25">
      <c r="A569" s="25"/>
      <c r="B569" s="25"/>
      <c r="J569" s="28">
        <f t="array" ref="J569">IF(ROW(J569)&lt;=COUNTA(D:D)*2,IF(MOD(ROW(J569),2)=1,INDEX(D:D,(ROW(J569)+1)/2),INDEX(F:F,ROW(J569)/2)),"")</f>
        <v>-565.9</v>
      </c>
      <c r="K569" s="28">
        <f t="array" ref="K569">IF(ROW(K569)&lt;=COUNTA(E:E)*2,IF(MOD(ROW(K569),2)=1,INDEX(E:E,(ROW(K569)+1)/2),INDEX(G:G,ROW(K569)/2)),"")</f>
        <v>44.94</v>
      </c>
    </row>
    <row r="570" spans="1:11" x14ac:dyDescent="0.25">
      <c r="A570" s="25"/>
      <c r="B570" s="25"/>
      <c r="J570" s="28">
        <f t="array" ref="J570">IF(ROW(J570)&lt;=COUNTA(D:D)*2,IF(MOD(ROW(J570),2)=1,INDEX(D:D,(ROW(J570)+1)/2),INDEX(F:F,ROW(J570)/2)),"")</f>
        <v>-567.9</v>
      </c>
      <c r="K570" s="28">
        <f t="array" ref="K570">IF(ROW(K570)&lt;=COUNTA(E:E)*2,IF(MOD(ROW(K570),2)=1,INDEX(E:E,(ROW(K570)+1)/2),INDEX(G:G,ROW(K570)/2)),"")</f>
        <v>44.94</v>
      </c>
    </row>
    <row r="571" spans="1:11" x14ac:dyDescent="0.25">
      <c r="A571" s="25"/>
      <c r="B571" s="25"/>
      <c r="J571" s="28">
        <f t="array" ref="J571">IF(ROW(J571)&lt;=COUNTA(D:D)*2,IF(MOD(ROW(J571),2)=1,INDEX(D:D,(ROW(J571)+1)/2),INDEX(F:F,ROW(J571)/2)),"")</f>
        <v>-567.9</v>
      </c>
      <c r="K571" s="28">
        <f t="array" ref="K571">IF(ROW(K571)&lt;=COUNTA(E:E)*2,IF(MOD(ROW(K571),2)=1,INDEX(E:E,(ROW(K571)+1)/2),INDEX(G:G,ROW(K571)/2)),"")</f>
        <v>44.94</v>
      </c>
    </row>
    <row r="572" spans="1:11" x14ac:dyDescent="0.25">
      <c r="A572" s="25"/>
      <c r="B572" s="25"/>
      <c r="J572" s="28">
        <f t="array" ref="J572">IF(ROW(J572)&lt;=COUNTA(D:D)*2,IF(MOD(ROW(J572),2)=1,INDEX(D:D,(ROW(J572)+1)/2),INDEX(F:F,ROW(J572)/2)),"")</f>
        <v>-569.9</v>
      </c>
      <c r="K572" s="28">
        <f t="array" ref="K572">IF(ROW(K572)&lt;=COUNTA(E:E)*2,IF(MOD(ROW(K572),2)=1,INDEX(E:E,(ROW(K572)+1)/2),INDEX(G:G,ROW(K572)/2)),"")</f>
        <v>44.94</v>
      </c>
    </row>
    <row r="573" spans="1:11" x14ac:dyDescent="0.25">
      <c r="A573" s="25"/>
      <c r="B573" s="25"/>
      <c r="J573" s="28">
        <f t="array" ref="J573">IF(ROW(J573)&lt;=COUNTA(D:D)*2,IF(MOD(ROW(J573),2)=1,INDEX(D:D,(ROW(J573)+1)/2),INDEX(F:F,ROW(J573)/2)),"")</f>
        <v>-569.9</v>
      </c>
      <c r="K573" s="28">
        <f t="array" ref="K573">IF(ROW(K573)&lt;=COUNTA(E:E)*2,IF(MOD(ROW(K573),2)=1,INDEX(E:E,(ROW(K573)+1)/2),INDEX(G:G,ROW(K573)/2)),"")</f>
        <v>44.98</v>
      </c>
    </row>
    <row r="574" spans="1:11" x14ac:dyDescent="0.25">
      <c r="A574" s="25"/>
      <c r="B574" s="25"/>
      <c r="J574" s="28">
        <f t="array" ref="J574">IF(ROW(J574)&lt;=COUNTA(D:D)*2,IF(MOD(ROW(J574),2)=1,INDEX(D:D,(ROW(J574)+1)/2),INDEX(F:F,ROW(J574)/2)),"")</f>
        <v>-571.9</v>
      </c>
      <c r="K574" s="28">
        <f t="array" ref="K574">IF(ROW(K574)&lt;=COUNTA(E:E)*2,IF(MOD(ROW(K574),2)=1,INDEX(E:E,(ROW(K574)+1)/2),INDEX(G:G,ROW(K574)/2)),"")</f>
        <v>44.98</v>
      </c>
    </row>
    <row r="575" spans="1:11" x14ac:dyDescent="0.25">
      <c r="A575" s="25"/>
      <c r="B575" s="25"/>
      <c r="J575" s="28">
        <f t="array" ref="J575">IF(ROW(J575)&lt;=COUNTA(D:D)*2,IF(MOD(ROW(J575),2)=1,INDEX(D:D,(ROW(J575)+1)/2),INDEX(F:F,ROW(J575)/2)),"")</f>
        <v>-571.9</v>
      </c>
      <c r="K575" s="28">
        <f t="array" ref="K575">IF(ROW(K575)&lt;=COUNTA(E:E)*2,IF(MOD(ROW(K575),2)=1,INDEX(E:E,(ROW(K575)+1)/2),INDEX(G:G,ROW(K575)/2)),"")</f>
        <v>44.98</v>
      </c>
    </row>
    <row r="576" spans="1:11" x14ac:dyDescent="0.25">
      <c r="A576" s="25"/>
      <c r="B576" s="25"/>
      <c r="J576" s="28">
        <f t="array" ref="J576">IF(ROW(J576)&lt;=COUNTA(D:D)*2,IF(MOD(ROW(J576),2)=1,INDEX(D:D,(ROW(J576)+1)/2),INDEX(F:F,ROW(J576)/2)),"")</f>
        <v>-573.9</v>
      </c>
      <c r="K576" s="28">
        <f t="array" ref="K576">IF(ROW(K576)&lt;=COUNTA(E:E)*2,IF(MOD(ROW(K576),2)=1,INDEX(E:E,(ROW(K576)+1)/2),INDEX(G:G,ROW(K576)/2)),"")</f>
        <v>44.98</v>
      </c>
    </row>
    <row r="577" spans="1:11" x14ac:dyDescent="0.25">
      <c r="A577" s="25"/>
      <c r="B577" s="25"/>
      <c r="J577" s="28">
        <f t="array" ref="J577">IF(ROW(J577)&lt;=COUNTA(D:D)*2,IF(MOD(ROW(J577),2)=1,INDEX(D:D,(ROW(J577)+1)/2),INDEX(F:F,ROW(J577)/2)),"")</f>
        <v>-573.9</v>
      </c>
      <c r="K577" s="28">
        <f t="array" ref="K577">IF(ROW(K577)&lt;=COUNTA(E:E)*2,IF(MOD(ROW(K577),2)=1,INDEX(E:E,(ROW(K577)+1)/2),INDEX(G:G,ROW(K577)/2)),"")</f>
        <v>44.98</v>
      </c>
    </row>
    <row r="578" spans="1:11" x14ac:dyDescent="0.25">
      <c r="A578" s="25"/>
      <c r="B578" s="25"/>
      <c r="J578" s="28">
        <f t="array" ref="J578">IF(ROW(J578)&lt;=COUNTA(D:D)*2,IF(MOD(ROW(J578),2)=1,INDEX(D:D,(ROW(J578)+1)/2),INDEX(F:F,ROW(J578)/2)),"")</f>
        <v>-575.9</v>
      </c>
      <c r="K578" s="28">
        <f t="array" ref="K578">IF(ROW(K578)&lt;=COUNTA(E:E)*2,IF(MOD(ROW(K578),2)=1,INDEX(E:E,(ROW(K578)+1)/2),INDEX(G:G,ROW(K578)/2)),"")</f>
        <v>44.98</v>
      </c>
    </row>
    <row r="579" spans="1:11" x14ac:dyDescent="0.25">
      <c r="A579" s="25"/>
      <c r="B579" s="25"/>
      <c r="J579" s="28">
        <f t="array" ref="J579">IF(ROW(J579)&lt;=COUNTA(D:D)*2,IF(MOD(ROW(J579),2)=1,INDEX(D:D,(ROW(J579)+1)/2),INDEX(F:F,ROW(J579)/2)),"")</f>
        <v>-575.9</v>
      </c>
      <c r="K579" s="28">
        <f t="array" ref="K579">IF(ROW(K579)&lt;=COUNTA(E:E)*2,IF(MOD(ROW(K579),2)=1,INDEX(E:E,(ROW(K579)+1)/2),INDEX(G:G,ROW(K579)/2)),"")</f>
        <v>44.98</v>
      </c>
    </row>
    <row r="580" spans="1:11" x14ac:dyDescent="0.25">
      <c r="A580" s="25"/>
      <c r="B580" s="25"/>
      <c r="J580" s="28">
        <f t="array" ref="J580">IF(ROW(J580)&lt;=COUNTA(D:D)*2,IF(MOD(ROW(J580),2)=1,INDEX(D:D,(ROW(J580)+1)/2),INDEX(F:F,ROW(J580)/2)),"")</f>
        <v>-577.9</v>
      </c>
      <c r="K580" s="28">
        <f t="array" ref="K580">IF(ROW(K580)&lt;=COUNTA(E:E)*2,IF(MOD(ROW(K580),2)=1,INDEX(E:E,(ROW(K580)+1)/2),INDEX(G:G,ROW(K580)/2)),"")</f>
        <v>44.98</v>
      </c>
    </row>
    <row r="581" spans="1:11" x14ac:dyDescent="0.25">
      <c r="A581" s="25"/>
      <c r="B581" s="25"/>
      <c r="J581" s="28">
        <f t="array" ref="J581">IF(ROW(J581)&lt;=COUNTA(D:D)*2,IF(MOD(ROW(J581),2)=1,INDEX(D:D,(ROW(J581)+1)/2),INDEX(F:F,ROW(J581)/2)),"")</f>
        <v>-577.9</v>
      </c>
      <c r="K581" s="28">
        <f t="array" ref="K581">IF(ROW(K581)&lt;=COUNTA(E:E)*2,IF(MOD(ROW(K581),2)=1,INDEX(E:E,(ROW(K581)+1)/2),INDEX(G:G,ROW(K581)/2)),"")</f>
        <v>44.98</v>
      </c>
    </row>
    <row r="582" spans="1:11" x14ac:dyDescent="0.25">
      <c r="A582" s="25"/>
      <c r="B582" s="25"/>
      <c r="J582" s="28">
        <f t="array" ref="J582">IF(ROW(J582)&lt;=COUNTA(D:D)*2,IF(MOD(ROW(J582),2)=1,INDEX(D:D,(ROW(J582)+1)/2),INDEX(F:F,ROW(J582)/2)),"")</f>
        <v>-579.9</v>
      </c>
      <c r="K582" s="28">
        <f t="array" ref="K582">IF(ROW(K582)&lt;=COUNTA(E:E)*2,IF(MOD(ROW(K582),2)=1,INDEX(E:E,(ROW(K582)+1)/2),INDEX(G:G,ROW(K582)/2)),"")</f>
        <v>44.98</v>
      </c>
    </row>
    <row r="583" spans="1:11" x14ac:dyDescent="0.25">
      <c r="A583" s="25"/>
      <c r="B583" s="25"/>
      <c r="J583" s="28">
        <f t="array" ref="J583">IF(ROW(J583)&lt;=COUNTA(D:D)*2,IF(MOD(ROW(J583),2)=1,INDEX(D:D,(ROW(J583)+1)/2),INDEX(F:F,ROW(J583)/2)),"")</f>
        <v>-579.9</v>
      </c>
      <c r="K583" s="28">
        <f t="array" ref="K583">IF(ROW(K583)&lt;=COUNTA(E:E)*2,IF(MOD(ROW(K583),2)=1,INDEX(E:E,(ROW(K583)+1)/2),INDEX(G:G,ROW(K583)/2)),"")</f>
        <v>44.92</v>
      </c>
    </row>
    <row r="584" spans="1:11" x14ac:dyDescent="0.25">
      <c r="A584" s="25"/>
      <c r="B584" s="25"/>
      <c r="J584" s="28">
        <f t="array" ref="J584">IF(ROW(J584)&lt;=COUNTA(D:D)*2,IF(MOD(ROW(J584),2)=1,INDEX(D:D,(ROW(J584)+1)/2),INDEX(F:F,ROW(J584)/2)),"")</f>
        <v>-581.9</v>
      </c>
      <c r="K584" s="28">
        <f t="array" ref="K584">IF(ROW(K584)&lt;=COUNTA(E:E)*2,IF(MOD(ROW(K584),2)=1,INDEX(E:E,(ROW(K584)+1)/2),INDEX(G:G,ROW(K584)/2)),"")</f>
        <v>44.92</v>
      </c>
    </row>
    <row r="585" spans="1:11" x14ac:dyDescent="0.25">
      <c r="A585" s="25"/>
      <c r="B585" s="25"/>
      <c r="J585" s="28">
        <f t="array" ref="J585">IF(ROW(J585)&lt;=COUNTA(D:D)*2,IF(MOD(ROW(J585),2)=1,INDEX(D:D,(ROW(J585)+1)/2),INDEX(F:F,ROW(J585)/2)),"")</f>
        <v>-581.9</v>
      </c>
      <c r="K585" s="28">
        <f t="array" ref="K585">IF(ROW(K585)&lt;=COUNTA(E:E)*2,IF(MOD(ROW(K585),2)=1,INDEX(E:E,(ROW(K585)+1)/2),INDEX(G:G,ROW(K585)/2)),"")</f>
        <v>44.92</v>
      </c>
    </row>
    <row r="586" spans="1:11" x14ac:dyDescent="0.25">
      <c r="A586" s="25"/>
      <c r="B586" s="25"/>
      <c r="J586" s="28">
        <f t="array" ref="J586">IF(ROW(J586)&lt;=COUNTA(D:D)*2,IF(MOD(ROW(J586),2)=1,INDEX(D:D,(ROW(J586)+1)/2),INDEX(F:F,ROW(J586)/2)),"")</f>
        <v>-583.9</v>
      </c>
      <c r="K586" s="28">
        <f t="array" ref="K586">IF(ROW(K586)&lt;=COUNTA(E:E)*2,IF(MOD(ROW(K586),2)=1,INDEX(E:E,(ROW(K586)+1)/2),INDEX(G:G,ROW(K586)/2)),"")</f>
        <v>44.92</v>
      </c>
    </row>
    <row r="587" spans="1:11" x14ac:dyDescent="0.25">
      <c r="A587" s="25"/>
      <c r="B587" s="25"/>
      <c r="J587" s="28">
        <f t="array" ref="J587">IF(ROW(J587)&lt;=COUNTA(D:D)*2,IF(MOD(ROW(J587),2)=1,INDEX(D:D,(ROW(J587)+1)/2),INDEX(F:F,ROW(J587)/2)),"")</f>
        <v>-583.9</v>
      </c>
      <c r="K587" s="28">
        <f t="array" ref="K587">IF(ROW(K587)&lt;=COUNTA(E:E)*2,IF(MOD(ROW(K587),2)=1,INDEX(E:E,(ROW(K587)+1)/2),INDEX(G:G,ROW(K587)/2)),"")</f>
        <v>44.98</v>
      </c>
    </row>
    <row r="588" spans="1:11" x14ac:dyDescent="0.25">
      <c r="A588" s="25"/>
      <c r="B588" s="25"/>
      <c r="J588" s="28">
        <f t="array" ref="J588">IF(ROW(J588)&lt;=COUNTA(D:D)*2,IF(MOD(ROW(J588),2)=1,INDEX(D:D,(ROW(J588)+1)/2),INDEX(F:F,ROW(J588)/2)),"")</f>
        <v>-585.9</v>
      </c>
      <c r="K588" s="28">
        <f t="array" ref="K588">IF(ROW(K588)&lt;=COUNTA(E:E)*2,IF(MOD(ROW(K588),2)=1,INDEX(E:E,(ROW(K588)+1)/2),INDEX(G:G,ROW(K588)/2)),"")</f>
        <v>44.98</v>
      </c>
    </row>
    <row r="589" spans="1:11" x14ac:dyDescent="0.25">
      <c r="A589" s="25"/>
      <c r="B589" s="25"/>
      <c r="J589" s="28">
        <f t="array" ref="J589">IF(ROW(J589)&lt;=COUNTA(D:D)*2,IF(MOD(ROW(J589),2)=1,INDEX(D:D,(ROW(J589)+1)/2),INDEX(F:F,ROW(J589)/2)),"")</f>
        <v>-585.9</v>
      </c>
      <c r="K589" s="28">
        <f t="array" ref="K589">IF(ROW(K589)&lt;=COUNTA(E:E)*2,IF(MOD(ROW(K589),2)=1,INDEX(E:E,(ROW(K589)+1)/2),INDEX(G:G,ROW(K589)/2)),"")</f>
        <v>44.98</v>
      </c>
    </row>
    <row r="590" spans="1:11" x14ac:dyDescent="0.25">
      <c r="A590" s="25"/>
      <c r="B590" s="25"/>
      <c r="J590" s="28">
        <f t="array" ref="J590">IF(ROW(J590)&lt;=COUNTA(D:D)*2,IF(MOD(ROW(J590),2)=1,INDEX(D:D,(ROW(J590)+1)/2),INDEX(F:F,ROW(J590)/2)),"")</f>
        <v>-587.9</v>
      </c>
      <c r="K590" s="28">
        <f t="array" ref="K590">IF(ROW(K590)&lt;=COUNTA(E:E)*2,IF(MOD(ROW(K590),2)=1,INDEX(E:E,(ROW(K590)+1)/2),INDEX(G:G,ROW(K590)/2)),"")</f>
        <v>44.98</v>
      </c>
    </row>
    <row r="591" spans="1:11" x14ac:dyDescent="0.25">
      <c r="A591" s="25"/>
      <c r="B591" s="25"/>
      <c r="J591" s="28">
        <f t="array" ref="J591">IF(ROW(J591)&lt;=COUNTA(D:D)*2,IF(MOD(ROW(J591),2)=1,INDEX(D:D,(ROW(J591)+1)/2),INDEX(F:F,ROW(J591)/2)),"")</f>
        <v>-587.9</v>
      </c>
      <c r="K591" s="28">
        <f t="array" ref="K591">IF(ROW(K591)&lt;=COUNTA(E:E)*2,IF(MOD(ROW(K591),2)=1,INDEX(E:E,(ROW(K591)+1)/2),INDEX(G:G,ROW(K591)/2)),"")</f>
        <v>44.98</v>
      </c>
    </row>
    <row r="592" spans="1:11" x14ac:dyDescent="0.25">
      <c r="A592" s="25"/>
      <c r="B592" s="25"/>
      <c r="J592" s="28">
        <f t="array" ref="J592">IF(ROW(J592)&lt;=COUNTA(D:D)*2,IF(MOD(ROW(J592),2)=1,INDEX(D:D,(ROW(J592)+1)/2),INDEX(F:F,ROW(J592)/2)),"")</f>
        <v>-589.9</v>
      </c>
      <c r="K592" s="28">
        <f t="array" ref="K592">IF(ROW(K592)&lt;=COUNTA(E:E)*2,IF(MOD(ROW(K592),2)=1,INDEX(E:E,(ROW(K592)+1)/2),INDEX(G:G,ROW(K592)/2)),"")</f>
        <v>44.98</v>
      </c>
    </row>
    <row r="593" spans="1:11" x14ac:dyDescent="0.25">
      <c r="A593" s="25"/>
      <c r="B593" s="25"/>
      <c r="J593" s="28">
        <f t="array" ref="J593">IF(ROW(J593)&lt;=COUNTA(D:D)*2,IF(MOD(ROW(J593),2)=1,INDEX(D:D,(ROW(J593)+1)/2),INDEX(F:F,ROW(J593)/2)),"")</f>
        <v>-589.9</v>
      </c>
      <c r="K593" s="28">
        <f t="array" ref="K593">IF(ROW(K593)&lt;=COUNTA(E:E)*2,IF(MOD(ROW(K593),2)=1,INDEX(E:E,(ROW(K593)+1)/2),INDEX(G:G,ROW(K593)/2)),"")</f>
        <v>44.98</v>
      </c>
    </row>
    <row r="594" spans="1:11" x14ac:dyDescent="0.25">
      <c r="A594" s="25"/>
      <c r="B594" s="25"/>
      <c r="J594" s="28">
        <f t="array" ref="J594">IF(ROW(J594)&lt;=COUNTA(D:D)*2,IF(MOD(ROW(J594),2)=1,INDEX(D:D,(ROW(J594)+1)/2),INDEX(F:F,ROW(J594)/2)),"")</f>
        <v>-591.9</v>
      </c>
      <c r="K594" s="28">
        <f t="array" ref="K594">IF(ROW(K594)&lt;=COUNTA(E:E)*2,IF(MOD(ROW(K594),2)=1,INDEX(E:E,(ROW(K594)+1)/2),INDEX(G:G,ROW(K594)/2)),"")</f>
        <v>44.98</v>
      </c>
    </row>
    <row r="595" spans="1:11" x14ac:dyDescent="0.25">
      <c r="A595" s="25"/>
      <c r="B595" s="25"/>
      <c r="J595" s="28">
        <f t="array" ref="J595">IF(ROW(J595)&lt;=COUNTA(D:D)*2,IF(MOD(ROW(J595),2)=1,INDEX(D:D,(ROW(J595)+1)/2),INDEX(F:F,ROW(J595)/2)),"")</f>
        <v>-591.9</v>
      </c>
      <c r="K595" s="28">
        <f t="array" ref="K595">IF(ROW(K595)&lt;=COUNTA(E:E)*2,IF(MOD(ROW(K595),2)=1,INDEX(E:E,(ROW(K595)+1)/2),INDEX(G:G,ROW(K595)/2)),"")</f>
        <v>44.9</v>
      </c>
    </row>
    <row r="596" spans="1:11" x14ac:dyDescent="0.25">
      <c r="A596" s="25"/>
      <c r="B596" s="25"/>
      <c r="J596" s="28">
        <f t="array" ref="J596">IF(ROW(J596)&lt;=COUNTA(D:D)*2,IF(MOD(ROW(J596),2)=1,INDEX(D:D,(ROW(J596)+1)/2),INDEX(F:F,ROW(J596)/2)),"")</f>
        <v>-593.9</v>
      </c>
      <c r="K596" s="28">
        <f t="array" ref="K596">IF(ROW(K596)&lt;=COUNTA(E:E)*2,IF(MOD(ROW(K596),2)=1,INDEX(E:E,(ROW(K596)+1)/2),INDEX(G:G,ROW(K596)/2)),"")</f>
        <v>44.9</v>
      </c>
    </row>
    <row r="597" spans="1:11" x14ac:dyDescent="0.25">
      <c r="A597" s="25"/>
      <c r="B597" s="25"/>
      <c r="J597" s="28">
        <f t="array" ref="J597">IF(ROW(J597)&lt;=COUNTA(D:D)*2,IF(MOD(ROW(J597),2)=1,INDEX(D:D,(ROW(J597)+1)/2),INDEX(F:F,ROW(J597)/2)),"")</f>
        <v>-593.9</v>
      </c>
      <c r="K597" s="28">
        <f t="array" ref="K597">IF(ROW(K597)&lt;=COUNTA(E:E)*2,IF(MOD(ROW(K597),2)=1,INDEX(E:E,(ROW(K597)+1)/2),INDEX(G:G,ROW(K597)/2)),"")</f>
        <v>44.98</v>
      </c>
    </row>
    <row r="598" spans="1:11" x14ac:dyDescent="0.25">
      <c r="A598" s="25"/>
      <c r="B598" s="25"/>
      <c r="J598" s="28">
        <f t="array" ref="J598">IF(ROW(J598)&lt;=COUNTA(D:D)*2,IF(MOD(ROW(J598),2)=1,INDEX(D:D,(ROW(J598)+1)/2),INDEX(F:F,ROW(J598)/2)),"")</f>
        <v>-595.9</v>
      </c>
      <c r="K598" s="28">
        <f t="array" ref="K598">IF(ROW(K598)&lt;=COUNTA(E:E)*2,IF(MOD(ROW(K598),2)=1,INDEX(E:E,(ROW(K598)+1)/2),INDEX(G:G,ROW(K598)/2)),"")</f>
        <v>44.98</v>
      </c>
    </row>
    <row r="599" spans="1:11" x14ac:dyDescent="0.25">
      <c r="A599" s="25"/>
      <c r="B599" s="25"/>
      <c r="J599" s="28">
        <f t="array" ref="J599">IF(ROW(J599)&lt;=COUNTA(D:D)*2,IF(MOD(ROW(J599),2)=1,INDEX(D:D,(ROW(J599)+1)/2),INDEX(F:F,ROW(J599)/2)),"")</f>
        <v>-595.9</v>
      </c>
      <c r="K599" s="28">
        <f t="array" ref="K599">IF(ROW(K599)&lt;=COUNTA(E:E)*2,IF(MOD(ROW(K599),2)=1,INDEX(E:E,(ROW(K599)+1)/2),INDEX(G:G,ROW(K599)/2)),"")</f>
        <v>44.98</v>
      </c>
    </row>
    <row r="600" spans="1:11" x14ac:dyDescent="0.25">
      <c r="A600" s="25"/>
      <c r="B600" s="25"/>
      <c r="J600" s="28">
        <f t="array" ref="J600">IF(ROW(J600)&lt;=COUNTA(D:D)*2,IF(MOD(ROW(J600),2)=1,INDEX(D:D,(ROW(J600)+1)/2),INDEX(F:F,ROW(J600)/2)),"")</f>
        <v>-597.9</v>
      </c>
      <c r="K600" s="28">
        <f t="array" ref="K600">IF(ROW(K600)&lt;=COUNTA(E:E)*2,IF(MOD(ROW(K600),2)=1,INDEX(E:E,(ROW(K600)+1)/2),INDEX(G:G,ROW(K600)/2)),"")</f>
        <v>44.98</v>
      </c>
    </row>
    <row r="601" spans="1:11" x14ac:dyDescent="0.25">
      <c r="A601" s="25"/>
      <c r="B601" s="25"/>
      <c r="J601" s="28">
        <f t="array" ref="J601">IF(ROW(J601)&lt;=COUNTA(D:D)*2,IF(MOD(ROW(J601),2)=1,INDEX(D:D,(ROW(J601)+1)/2),INDEX(F:F,ROW(J601)/2)),"")</f>
        <v>-597.9</v>
      </c>
      <c r="K601" s="28">
        <f t="array" ref="K601">IF(ROW(K601)&lt;=COUNTA(E:E)*2,IF(MOD(ROW(K601),2)=1,INDEX(E:E,(ROW(K601)+1)/2),INDEX(G:G,ROW(K601)/2)),"")</f>
        <v>44.94</v>
      </c>
    </row>
    <row r="602" spans="1:11" x14ac:dyDescent="0.25">
      <c r="A602" s="25"/>
      <c r="B602" s="25"/>
      <c r="J602" s="28">
        <f t="array" ref="J602">IF(ROW(J602)&lt;=COUNTA(D:D)*2,IF(MOD(ROW(J602),2)=1,INDEX(D:D,(ROW(J602)+1)/2),INDEX(F:F,ROW(J602)/2)),"")</f>
        <v>-599.9</v>
      </c>
      <c r="K602" s="28">
        <f t="array" ref="K602">IF(ROW(K602)&lt;=COUNTA(E:E)*2,IF(MOD(ROW(K602),2)=1,INDEX(E:E,(ROW(K602)+1)/2),INDEX(G:G,ROW(K602)/2)),"")</f>
        <v>44.94</v>
      </c>
    </row>
    <row r="603" spans="1:11" x14ac:dyDescent="0.25">
      <c r="A603" s="25"/>
      <c r="B603" s="25"/>
      <c r="J603" s="28">
        <f t="array" ref="J603">IF(ROW(J603)&lt;=COUNTA(D:D)*2,IF(MOD(ROW(J603),2)=1,INDEX(D:D,(ROW(J603)+1)/2),INDEX(F:F,ROW(J603)/2)),"")</f>
        <v>-599.9</v>
      </c>
      <c r="K603" s="28">
        <f t="array" ref="K603">IF(ROW(K603)&lt;=COUNTA(E:E)*2,IF(MOD(ROW(K603),2)=1,INDEX(E:E,(ROW(K603)+1)/2),INDEX(G:G,ROW(K603)/2)),"")</f>
        <v>44.8</v>
      </c>
    </row>
    <row r="604" spans="1:11" x14ac:dyDescent="0.25">
      <c r="A604" s="25"/>
      <c r="B604" s="25"/>
      <c r="J604" s="28">
        <f t="array" ref="J604">IF(ROW(J604)&lt;=COUNTA(D:D)*2,IF(MOD(ROW(J604),2)=1,INDEX(D:D,(ROW(J604)+1)/2),INDEX(F:F,ROW(J604)/2)),"")</f>
        <v>-601.9</v>
      </c>
      <c r="K604" s="28">
        <f t="array" ref="K604">IF(ROW(K604)&lt;=COUNTA(E:E)*2,IF(MOD(ROW(K604),2)=1,INDEX(E:E,(ROW(K604)+1)/2),INDEX(G:G,ROW(K604)/2)),"")</f>
        <v>44.8</v>
      </c>
    </row>
    <row r="605" spans="1:11" x14ac:dyDescent="0.25">
      <c r="A605" s="25"/>
      <c r="B605" s="25"/>
      <c r="J605" s="28">
        <f t="array" ref="J605">IF(ROW(J605)&lt;=COUNTA(D:D)*2,IF(MOD(ROW(J605),2)=1,INDEX(D:D,(ROW(J605)+1)/2),INDEX(F:F,ROW(J605)/2)),"")</f>
        <v>-601.9</v>
      </c>
      <c r="K605" s="28">
        <f t="array" ref="K605">IF(ROW(K605)&lt;=COUNTA(E:E)*2,IF(MOD(ROW(K605),2)=1,INDEX(E:E,(ROW(K605)+1)/2),INDEX(G:G,ROW(K605)/2)),"")</f>
        <v>44.82</v>
      </c>
    </row>
    <row r="606" spans="1:11" x14ac:dyDescent="0.25">
      <c r="A606" s="25"/>
      <c r="B606" s="25"/>
      <c r="J606" s="28">
        <f t="array" ref="J606">IF(ROW(J606)&lt;=COUNTA(D:D)*2,IF(MOD(ROW(J606),2)=1,INDEX(D:D,(ROW(J606)+1)/2),INDEX(F:F,ROW(J606)/2)),"")</f>
        <v>-603.9</v>
      </c>
      <c r="K606" s="28">
        <f t="array" ref="K606">IF(ROW(K606)&lt;=COUNTA(E:E)*2,IF(MOD(ROW(K606),2)=1,INDEX(E:E,(ROW(K606)+1)/2),INDEX(G:G,ROW(K606)/2)),"")</f>
        <v>44.82</v>
      </c>
    </row>
    <row r="607" spans="1:11" x14ac:dyDescent="0.25">
      <c r="A607" s="25"/>
      <c r="B607" s="25"/>
      <c r="J607" s="28">
        <f t="array" ref="J607">IF(ROW(J607)&lt;=COUNTA(D:D)*2,IF(MOD(ROW(J607),2)=1,INDEX(D:D,(ROW(J607)+1)/2),INDEX(F:F,ROW(J607)/2)),"")</f>
        <v>-603.9</v>
      </c>
      <c r="K607" s="28">
        <f t="array" ref="K607">IF(ROW(K607)&lt;=COUNTA(E:E)*2,IF(MOD(ROW(K607),2)=1,INDEX(E:E,(ROW(K607)+1)/2),INDEX(G:G,ROW(K607)/2)),"")</f>
        <v>44.96</v>
      </c>
    </row>
    <row r="608" spans="1:11" x14ac:dyDescent="0.25">
      <c r="A608" s="25"/>
      <c r="B608" s="25"/>
      <c r="J608" s="28">
        <f t="array" ref="J608">IF(ROW(J608)&lt;=COUNTA(D:D)*2,IF(MOD(ROW(J608),2)=1,INDEX(D:D,(ROW(J608)+1)/2),INDEX(F:F,ROW(J608)/2)),"")</f>
        <v>-605.9</v>
      </c>
      <c r="K608" s="28">
        <f t="array" ref="K608">IF(ROW(K608)&lt;=COUNTA(E:E)*2,IF(MOD(ROW(K608),2)=1,INDEX(E:E,(ROW(K608)+1)/2),INDEX(G:G,ROW(K608)/2)),"")</f>
        <v>44.96</v>
      </c>
    </row>
    <row r="609" spans="1:11" x14ac:dyDescent="0.25">
      <c r="A609" s="25"/>
      <c r="B609" s="25"/>
      <c r="J609" s="28">
        <f t="array" ref="J609">IF(ROW(J609)&lt;=COUNTA(D:D)*2,IF(MOD(ROW(J609),2)=1,INDEX(D:D,(ROW(J609)+1)/2),INDEX(F:F,ROW(J609)/2)),"")</f>
        <v>-605.9</v>
      </c>
      <c r="K609" s="28">
        <f t="array" ref="K609">IF(ROW(K609)&lt;=COUNTA(E:E)*2,IF(MOD(ROW(K609),2)=1,INDEX(E:E,(ROW(K609)+1)/2),INDEX(G:G,ROW(K609)/2)),"")</f>
        <v>44.98</v>
      </c>
    </row>
    <row r="610" spans="1:11" x14ac:dyDescent="0.25">
      <c r="A610" s="25"/>
      <c r="B610" s="25"/>
      <c r="J610" s="28">
        <f t="array" ref="J610">IF(ROW(J610)&lt;=COUNTA(D:D)*2,IF(MOD(ROW(J610),2)=1,INDEX(D:D,(ROW(J610)+1)/2),INDEX(F:F,ROW(J610)/2)),"")</f>
        <v>-607.9</v>
      </c>
      <c r="K610" s="28">
        <f t="array" ref="K610">IF(ROW(K610)&lt;=COUNTA(E:E)*2,IF(MOD(ROW(K610),2)=1,INDEX(E:E,(ROW(K610)+1)/2),INDEX(G:G,ROW(K610)/2)),"")</f>
        <v>44.98</v>
      </c>
    </row>
    <row r="611" spans="1:11" x14ac:dyDescent="0.25">
      <c r="A611" s="25"/>
      <c r="B611" s="25"/>
      <c r="J611" s="28">
        <f t="array" ref="J611">IF(ROW(J611)&lt;=COUNTA(D:D)*2,IF(MOD(ROW(J611),2)=1,INDEX(D:D,(ROW(J611)+1)/2),INDEX(F:F,ROW(J611)/2)),"")</f>
        <v>-607.9</v>
      </c>
      <c r="K611" s="28">
        <f t="array" ref="K611">IF(ROW(K611)&lt;=COUNTA(E:E)*2,IF(MOD(ROW(K611),2)=1,INDEX(E:E,(ROW(K611)+1)/2),INDEX(G:G,ROW(K611)/2)),"")</f>
        <v>44.96</v>
      </c>
    </row>
    <row r="612" spans="1:11" x14ac:dyDescent="0.25">
      <c r="A612" s="25"/>
      <c r="B612" s="25"/>
      <c r="J612" s="28">
        <f t="array" ref="J612">IF(ROW(J612)&lt;=COUNTA(D:D)*2,IF(MOD(ROW(J612),2)=1,INDEX(D:D,(ROW(J612)+1)/2),INDEX(F:F,ROW(J612)/2)),"")</f>
        <v>-609.9</v>
      </c>
      <c r="K612" s="28">
        <f t="array" ref="K612">IF(ROW(K612)&lt;=COUNTA(E:E)*2,IF(MOD(ROW(K612),2)=1,INDEX(E:E,(ROW(K612)+1)/2),INDEX(G:G,ROW(K612)/2)),"")</f>
        <v>44.96</v>
      </c>
    </row>
    <row r="613" spans="1:11" x14ac:dyDescent="0.25">
      <c r="A613" s="25"/>
      <c r="B613" s="25"/>
      <c r="J613" s="28">
        <f t="array" ref="J613">IF(ROW(J613)&lt;=COUNTA(D:D)*2,IF(MOD(ROW(J613),2)=1,INDEX(D:D,(ROW(J613)+1)/2),INDEX(F:F,ROW(J613)/2)),"")</f>
        <v>-609.9</v>
      </c>
      <c r="K613" s="28">
        <f t="array" ref="K613">IF(ROW(K613)&lt;=COUNTA(E:E)*2,IF(MOD(ROW(K613),2)=1,INDEX(E:E,(ROW(K613)+1)/2),INDEX(G:G,ROW(K613)/2)),"")</f>
        <v>44.98</v>
      </c>
    </row>
    <row r="614" spans="1:11" x14ac:dyDescent="0.25">
      <c r="A614" s="25"/>
      <c r="B614" s="25"/>
      <c r="J614" s="28">
        <f t="array" ref="J614">IF(ROW(J614)&lt;=COUNTA(D:D)*2,IF(MOD(ROW(J614),2)=1,INDEX(D:D,(ROW(J614)+1)/2),INDEX(F:F,ROW(J614)/2)),"")</f>
        <v>-611.9</v>
      </c>
      <c r="K614" s="28">
        <f t="array" ref="K614">IF(ROW(K614)&lt;=COUNTA(E:E)*2,IF(MOD(ROW(K614),2)=1,INDEX(E:E,(ROW(K614)+1)/2),INDEX(G:G,ROW(K614)/2)),"")</f>
        <v>44.98</v>
      </c>
    </row>
    <row r="615" spans="1:11" x14ac:dyDescent="0.25">
      <c r="A615" s="25"/>
      <c r="B615" s="25"/>
      <c r="J615" s="28">
        <f t="array" ref="J615">IF(ROW(J615)&lt;=COUNTA(D:D)*2,IF(MOD(ROW(J615),2)=1,INDEX(D:D,(ROW(J615)+1)/2),INDEX(F:F,ROW(J615)/2)),"")</f>
        <v>-611.9</v>
      </c>
      <c r="K615" s="28">
        <f t="array" ref="K615">IF(ROW(K615)&lt;=COUNTA(E:E)*2,IF(MOD(ROW(K615),2)=1,INDEX(E:E,(ROW(K615)+1)/2),INDEX(G:G,ROW(K615)/2)),"")</f>
        <v>44.84</v>
      </c>
    </row>
    <row r="616" spans="1:11" x14ac:dyDescent="0.25">
      <c r="A616" s="25"/>
      <c r="B616" s="25"/>
      <c r="J616" s="28">
        <f t="array" ref="J616">IF(ROW(J616)&lt;=COUNTA(D:D)*2,IF(MOD(ROW(J616),2)=1,INDEX(D:D,(ROW(J616)+1)/2),INDEX(F:F,ROW(J616)/2)),"")</f>
        <v>-613.9</v>
      </c>
      <c r="K616" s="28">
        <f t="array" ref="K616">IF(ROW(K616)&lt;=COUNTA(E:E)*2,IF(MOD(ROW(K616),2)=1,INDEX(E:E,(ROW(K616)+1)/2),INDEX(G:G,ROW(K616)/2)),"")</f>
        <v>44.84</v>
      </c>
    </row>
    <row r="617" spans="1:11" x14ac:dyDescent="0.25">
      <c r="A617" s="25"/>
      <c r="B617" s="25"/>
      <c r="J617" s="28">
        <f t="array" ref="J617">IF(ROW(J617)&lt;=COUNTA(D:D)*2,IF(MOD(ROW(J617),2)=1,INDEX(D:D,(ROW(J617)+1)/2),INDEX(F:F,ROW(J617)/2)),"")</f>
        <v>-613.9</v>
      </c>
      <c r="K617" s="28">
        <f t="array" ref="K617">IF(ROW(K617)&lt;=COUNTA(E:E)*2,IF(MOD(ROW(K617),2)=1,INDEX(E:E,(ROW(K617)+1)/2),INDEX(G:G,ROW(K617)/2)),"")</f>
        <v>44.98</v>
      </c>
    </row>
    <row r="618" spans="1:11" x14ac:dyDescent="0.25">
      <c r="A618" s="25"/>
      <c r="B618" s="25"/>
      <c r="J618" s="28">
        <f t="array" ref="J618">IF(ROW(J618)&lt;=COUNTA(D:D)*2,IF(MOD(ROW(J618),2)=1,INDEX(D:D,(ROW(J618)+1)/2),INDEX(F:F,ROW(J618)/2)),"")</f>
        <v>-615.9</v>
      </c>
      <c r="K618" s="28">
        <f t="array" ref="K618">IF(ROW(K618)&lt;=COUNTA(E:E)*2,IF(MOD(ROW(K618),2)=1,INDEX(E:E,(ROW(K618)+1)/2),INDEX(G:G,ROW(K618)/2)),"")</f>
        <v>44.98</v>
      </c>
    </row>
    <row r="619" spans="1:11" x14ac:dyDescent="0.25">
      <c r="A619" s="25"/>
      <c r="B619" s="25"/>
      <c r="J619" s="28">
        <f t="array" ref="J619">IF(ROW(J619)&lt;=COUNTA(D:D)*2,IF(MOD(ROW(J619),2)=1,INDEX(D:D,(ROW(J619)+1)/2),INDEX(F:F,ROW(J619)/2)),"")</f>
        <v>-615.9</v>
      </c>
      <c r="K619" s="28">
        <f t="array" ref="K619">IF(ROW(K619)&lt;=COUNTA(E:E)*2,IF(MOD(ROW(K619),2)=1,INDEX(E:E,(ROW(K619)+1)/2),INDEX(G:G,ROW(K619)/2)),"")</f>
        <v>44.9</v>
      </c>
    </row>
    <row r="620" spans="1:11" x14ac:dyDescent="0.25">
      <c r="A620" s="25"/>
      <c r="B620" s="25"/>
      <c r="J620" s="28">
        <f t="array" ref="J620">IF(ROW(J620)&lt;=COUNTA(D:D)*2,IF(MOD(ROW(J620),2)=1,INDEX(D:D,(ROW(J620)+1)/2),INDEX(F:F,ROW(J620)/2)),"")</f>
        <v>-617.9</v>
      </c>
      <c r="K620" s="28">
        <f t="array" ref="K620">IF(ROW(K620)&lt;=COUNTA(E:E)*2,IF(MOD(ROW(K620),2)=1,INDEX(E:E,(ROW(K620)+1)/2),INDEX(G:G,ROW(K620)/2)),"")</f>
        <v>44.9</v>
      </c>
    </row>
    <row r="621" spans="1:11" x14ac:dyDescent="0.25">
      <c r="A621" s="25"/>
      <c r="B621" s="25"/>
      <c r="J621" s="28">
        <f t="array" ref="J621">IF(ROW(J621)&lt;=COUNTA(D:D)*2,IF(MOD(ROW(J621),2)=1,INDEX(D:D,(ROW(J621)+1)/2),INDEX(F:F,ROW(J621)/2)),"")</f>
        <v>-617.9</v>
      </c>
      <c r="K621" s="28">
        <f t="array" ref="K621">IF(ROW(K621)&lt;=COUNTA(E:E)*2,IF(MOD(ROW(K621),2)=1,INDEX(E:E,(ROW(K621)+1)/2),INDEX(G:G,ROW(K621)/2)),"")</f>
        <v>44.96</v>
      </c>
    </row>
    <row r="622" spans="1:11" x14ac:dyDescent="0.25">
      <c r="A622" s="25"/>
      <c r="B622" s="25"/>
      <c r="J622" s="28">
        <f t="array" ref="J622">IF(ROW(J622)&lt;=COUNTA(D:D)*2,IF(MOD(ROW(J622),2)=1,INDEX(D:D,(ROW(J622)+1)/2),INDEX(F:F,ROW(J622)/2)),"")</f>
        <v>-619.9</v>
      </c>
      <c r="K622" s="28">
        <f t="array" ref="K622">IF(ROW(K622)&lt;=COUNTA(E:E)*2,IF(MOD(ROW(K622),2)=1,INDEX(E:E,(ROW(K622)+1)/2),INDEX(G:G,ROW(K622)/2)),"")</f>
        <v>44.96</v>
      </c>
    </row>
    <row r="623" spans="1:11" x14ac:dyDescent="0.25">
      <c r="A623" s="25"/>
      <c r="B623" s="25"/>
      <c r="J623" s="28">
        <f t="array" ref="J623">IF(ROW(J623)&lt;=COUNTA(D:D)*2,IF(MOD(ROW(J623),2)=1,INDEX(D:D,(ROW(J623)+1)/2),INDEX(F:F,ROW(J623)/2)),"")</f>
        <v>-619.9</v>
      </c>
      <c r="K623" s="28">
        <f t="array" ref="K623">IF(ROW(K623)&lt;=COUNTA(E:E)*2,IF(MOD(ROW(K623),2)=1,INDEX(E:E,(ROW(K623)+1)/2),INDEX(G:G,ROW(K623)/2)),"")</f>
        <v>44.9</v>
      </c>
    </row>
    <row r="624" spans="1:11" x14ac:dyDescent="0.25">
      <c r="A624" s="25"/>
      <c r="B624" s="25"/>
      <c r="J624" s="28">
        <f t="array" ref="J624">IF(ROW(J624)&lt;=COUNTA(D:D)*2,IF(MOD(ROW(J624),2)=1,INDEX(D:D,(ROW(J624)+1)/2),INDEX(F:F,ROW(J624)/2)),"")</f>
        <v>-621.9</v>
      </c>
      <c r="K624" s="28">
        <f t="array" ref="K624">IF(ROW(K624)&lt;=COUNTA(E:E)*2,IF(MOD(ROW(K624),2)=1,INDEX(E:E,(ROW(K624)+1)/2),INDEX(G:G,ROW(K624)/2)),"")</f>
        <v>44.9</v>
      </c>
    </row>
    <row r="625" spans="1:11" x14ac:dyDescent="0.25">
      <c r="A625" s="25"/>
      <c r="B625" s="25"/>
      <c r="J625" s="28">
        <f t="array" ref="J625">IF(ROW(J625)&lt;=COUNTA(D:D)*2,IF(MOD(ROW(J625),2)=1,INDEX(D:D,(ROW(J625)+1)/2),INDEX(F:F,ROW(J625)/2)),"")</f>
        <v>-621.9</v>
      </c>
      <c r="K625" s="28">
        <f t="array" ref="K625">IF(ROW(K625)&lt;=COUNTA(E:E)*2,IF(MOD(ROW(K625),2)=1,INDEX(E:E,(ROW(K625)+1)/2),INDEX(G:G,ROW(K625)/2)),"")</f>
        <v>44.98</v>
      </c>
    </row>
    <row r="626" spans="1:11" x14ac:dyDescent="0.25">
      <c r="A626" s="25"/>
      <c r="B626" s="25"/>
      <c r="J626" s="28">
        <f t="array" ref="J626">IF(ROW(J626)&lt;=COUNTA(D:D)*2,IF(MOD(ROW(J626),2)=1,INDEX(D:D,(ROW(J626)+1)/2),INDEX(F:F,ROW(J626)/2)),"")</f>
        <v>-623.9</v>
      </c>
      <c r="K626" s="28">
        <f t="array" ref="K626">IF(ROW(K626)&lt;=COUNTA(E:E)*2,IF(MOD(ROW(K626),2)=1,INDEX(E:E,(ROW(K626)+1)/2),INDEX(G:G,ROW(K626)/2)),"")</f>
        <v>44.98</v>
      </c>
    </row>
    <row r="627" spans="1:11" x14ac:dyDescent="0.25">
      <c r="A627" s="25"/>
      <c r="B627" s="25"/>
      <c r="J627" s="28">
        <f t="array" ref="J627">IF(ROW(J627)&lt;=COUNTA(D:D)*2,IF(MOD(ROW(J627),2)=1,INDEX(D:D,(ROW(J627)+1)/2),INDEX(F:F,ROW(J627)/2)),"")</f>
        <v>-623.9</v>
      </c>
      <c r="K627" s="28">
        <f t="array" ref="K627">IF(ROW(K627)&lt;=COUNTA(E:E)*2,IF(MOD(ROW(K627),2)=1,INDEX(E:E,(ROW(K627)+1)/2),INDEX(G:G,ROW(K627)/2)),"")</f>
        <v>44.98</v>
      </c>
    </row>
    <row r="628" spans="1:11" x14ac:dyDescent="0.25">
      <c r="A628" s="25"/>
      <c r="B628" s="25"/>
      <c r="J628" s="28">
        <f t="array" ref="J628">IF(ROW(J628)&lt;=COUNTA(D:D)*2,IF(MOD(ROW(J628),2)=1,INDEX(D:D,(ROW(J628)+1)/2),INDEX(F:F,ROW(J628)/2)),"")</f>
        <v>-625.9</v>
      </c>
      <c r="K628" s="28">
        <f t="array" ref="K628">IF(ROW(K628)&lt;=COUNTA(E:E)*2,IF(MOD(ROW(K628),2)=1,INDEX(E:E,(ROW(K628)+1)/2),INDEX(G:G,ROW(K628)/2)),"")</f>
        <v>44.98</v>
      </c>
    </row>
    <row r="629" spans="1:11" x14ac:dyDescent="0.25">
      <c r="A629" s="25"/>
      <c r="B629" s="25"/>
      <c r="J629" s="28">
        <f t="array" ref="J629">IF(ROW(J629)&lt;=COUNTA(D:D)*2,IF(MOD(ROW(J629),2)=1,INDEX(D:D,(ROW(J629)+1)/2),INDEX(F:F,ROW(J629)/2)),"")</f>
        <v>-625.9</v>
      </c>
      <c r="K629" s="28">
        <f t="array" ref="K629">IF(ROW(K629)&lt;=COUNTA(E:E)*2,IF(MOD(ROW(K629),2)=1,INDEX(E:E,(ROW(K629)+1)/2),INDEX(G:G,ROW(K629)/2)),"")</f>
        <v>44.98</v>
      </c>
    </row>
    <row r="630" spans="1:11" x14ac:dyDescent="0.25">
      <c r="A630" s="25"/>
      <c r="B630" s="25"/>
      <c r="J630" s="28">
        <f t="array" ref="J630">IF(ROW(J630)&lt;=COUNTA(D:D)*2,IF(MOD(ROW(J630),2)=1,INDEX(D:D,(ROW(J630)+1)/2),INDEX(F:F,ROW(J630)/2)),"")</f>
        <v>-627.9</v>
      </c>
      <c r="K630" s="28">
        <f t="array" ref="K630">IF(ROW(K630)&lt;=COUNTA(E:E)*2,IF(MOD(ROW(K630),2)=1,INDEX(E:E,(ROW(K630)+1)/2),INDEX(G:G,ROW(K630)/2)),"")</f>
        <v>44.98</v>
      </c>
    </row>
    <row r="631" spans="1:11" x14ac:dyDescent="0.25">
      <c r="A631" s="25"/>
      <c r="B631" s="25"/>
      <c r="J631" s="28">
        <f t="array" ref="J631">IF(ROW(J631)&lt;=COUNTA(D:D)*2,IF(MOD(ROW(J631),2)=1,INDEX(D:D,(ROW(J631)+1)/2),INDEX(F:F,ROW(J631)/2)),"")</f>
        <v>-627.9</v>
      </c>
      <c r="K631" s="28">
        <f t="array" ref="K631">IF(ROW(K631)&lt;=COUNTA(E:E)*2,IF(MOD(ROW(K631),2)=1,INDEX(E:E,(ROW(K631)+1)/2),INDEX(G:G,ROW(K631)/2)),"")</f>
        <v>44.92</v>
      </c>
    </row>
    <row r="632" spans="1:11" x14ac:dyDescent="0.25">
      <c r="A632" s="25"/>
      <c r="B632" s="25"/>
      <c r="J632" s="28">
        <f t="array" ref="J632">IF(ROW(J632)&lt;=COUNTA(D:D)*2,IF(MOD(ROW(J632),2)=1,INDEX(D:D,(ROW(J632)+1)/2),INDEX(F:F,ROW(J632)/2)),"")</f>
        <v>-629.9</v>
      </c>
      <c r="K632" s="28">
        <f t="array" ref="K632">IF(ROW(K632)&lt;=COUNTA(E:E)*2,IF(MOD(ROW(K632),2)=1,INDEX(E:E,(ROW(K632)+1)/2),INDEX(G:G,ROW(K632)/2)),"")</f>
        <v>44.92</v>
      </c>
    </row>
    <row r="633" spans="1:11" x14ac:dyDescent="0.25">
      <c r="A633" s="25"/>
      <c r="B633" s="25"/>
      <c r="J633" s="28">
        <f t="array" ref="J633">IF(ROW(J633)&lt;=COUNTA(D:D)*2,IF(MOD(ROW(J633),2)=1,INDEX(D:D,(ROW(J633)+1)/2),INDEX(F:F,ROW(J633)/2)),"")</f>
        <v>-629.9</v>
      </c>
      <c r="K633" s="28">
        <f t="array" ref="K633">IF(ROW(K633)&lt;=COUNTA(E:E)*2,IF(MOD(ROW(K633),2)=1,INDEX(E:E,(ROW(K633)+1)/2),INDEX(G:G,ROW(K633)/2)),"")</f>
        <v>44.96</v>
      </c>
    </row>
    <row r="634" spans="1:11" x14ac:dyDescent="0.25">
      <c r="A634" s="25"/>
      <c r="B634" s="25"/>
      <c r="J634" s="28">
        <f t="array" ref="J634">IF(ROW(J634)&lt;=COUNTA(D:D)*2,IF(MOD(ROW(J634),2)=1,INDEX(D:D,(ROW(J634)+1)/2),INDEX(F:F,ROW(J634)/2)),"")</f>
        <v>-631.9</v>
      </c>
      <c r="K634" s="28">
        <f t="array" ref="K634">IF(ROW(K634)&lt;=COUNTA(E:E)*2,IF(MOD(ROW(K634),2)=1,INDEX(E:E,(ROW(K634)+1)/2),INDEX(G:G,ROW(K634)/2)),"")</f>
        <v>44.96</v>
      </c>
    </row>
    <row r="635" spans="1:11" x14ac:dyDescent="0.25">
      <c r="A635" s="25"/>
      <c r="B635" s="25"/>
      <c r="J635" s="28">
        <f t="array" ref="J635">IF(ROW(J635)&lt;=COUNTA(D:D)*2,IF(MOD(ROW(J635),2)=1,INDEX(D:D,(ROW(J635)+1)/2),INDEX(F:F,ROW(J635)/2)),"")</f>
        <v>-631.9</v>
      </c>
      <c r="K635" s="28">
        <f t="array" ref="K635">IF(ROW(K635)&lt;=COUNTA(E:E)*2,IF(MOD(ROW(K635),2)=1,INDEX(E:E,(ROW(K635)+1)/2),INDEX(G:G,ROW(K635)/2)),"")</f>
        <v>44.92</v>
      </c>
    </row>
    <row r="636" spans="1:11" x14ac:dyDescent="0.25">
      <c r="A636" s="25"/>
      <c r="B636" s="25"/>
      <c r="J636" s="28">
        <f t="array" ref="J636">IF(ROW(J636)&lt;=COUNTA(D:D)*2,IF(MOD(ROW(J636),2)=1,INDEX(D:D,(ROW(J636)+1)/2),INDEX(F:F,ROW(J636)/2)),"")</f>
        <v>-633.9</v>
      </c>
      <c r="K636" s="28">
        <f t="array" ref="K636">IF(ROW(K636)&lt;=COUNTA(E:E)*2,IF(MOD(ROW(K636),2)=1,INDEX(E:E,(ROW(K636)+1)/2),INDEX(G:G,ROW(K636)/2)),"")</f>
        <v>44.92</v>
      </c>
    </row>
    <row r="637" spans="1:11" x14ac:dyDescent="0.25">
      <c r="A637" s="25"/>
      <c r="B637" s="25"/>
      <c r="J637" s="28">
        <f t="array" ref="J637">IF(ROW(J637)&lt;=COUNTA(D:D)*2,IF(MOD(ROW(J637),2)=1,INDEX(D:D,(ROW(J637)+1)/2),INDEX(F:F,ROW(J637)/2)),"")</f>
        <v>-633.9</v>
      </c>
      <c r="K637" s="28">
        <f t="array" ref="K637">IF(ROW(K637)&lt;=COUNTA(E:E)*2,IF(MOD(ROW(K637),2)=1,INDEX(E:E,(ROW(K637)+1)/2),INDEX(G:G,ROW(K637)/2)),"")</f>
        <v>44.98</v>
      </c>
    </row>
    <row r="638" spans="1:11" x14ac:dyDescent="0.25">
      <c r="A638" s="25"/>
      <c r="B638" s="25"/>
      <c r="J638" s="28">
        <f t="array" ref="J638">IF(ROW(J638)&lt;=COUNTA(D:D)*2,IF(MOD(ROW(J638),2)=1,INDEX(D:D,(ROW(J638)+1)/2),INDEX(F:F,ROW(J638)/2)),"")</f>
        <v>-635.9</v>
      </c>
      <c r="K638" s="28">
        <f t="array" ref="K638">IF(ROW(K638)&lt;=COUNTA(E:E)*2,IF(MOD(ROW(K638),2)=1,INDEX(E:E,(ROW(K638)+1)/2),INDEX(G:G,ROW(K638)/2)),"")</f>
        <v>44.98</v>
      </c>
    </row>
    <row r="639" spans="1:11" x14ac:dyDescent="0.25">
      <c r="A639" s="25"/>
      <c r="B639" s="25"/>
      <c r="J639" s="28">
        <f t="array" ref="J639">IF(ROW(J639)&lt;=COUNTA(D:D)*2,IF(MOD(ROW(J639),2)=1,INDEX(D:D,(ROW(J639)+1)/2),INDEX(F:F,ROW(J639)/2)),"")</f>
        <v>-635.9</v>
      </c>
      <c r="K639" s="28">
        <f t="array" ref="K639">IF(ROW(K639)&lt;=COUNTA(E:E)*2,IF(MOD(ROW(K639),2)=1,INDEX(E:E,(ROW(K639)+1)/2),INDEX(G:G,ROW(K639)/2)),"")</f>
        <v>44.98</v>
      </c>
    </row>
    <row r="640" spans="1:11" x14ac:dyDescent="0.25">
      <c r="A640" s="25"/>
      <c r="B640" s="25"/>
      <c r="J640" s="28">
        <f t="array" ref="J640">IF(ROW(J640)&lt;=COUNTA(D:D)*2,IF(MOD(ROW(J640),2)=1,INDEX(D:D,(ROW(J640)+1)/2),INDEX(F:F,ROW(J640)/2)),"")</f>
        <v>-637.9</v>
      </c>
      <c r="K640" s="28">
        <f t="array" ref="K640">IF(ROW(K640)&lt;=COUNTA(E:E)*2,IF(MOD(ROW(K640),2)=1,INDEX(E:E,(ROW(K640)+1)/2),INDEX(G:G,ROW(K640)/2)),"")</f>
        <v>44.98</v>
      </c>
    </row>
    <row r="641" spans="1:11" x14ac:dyDescent="0.25">
      <c r="A641" s="25"/>
      <c r="B641" s="25"/>
      <c r="J641" s="28">
        <f t="array" ref="J641">IF(ROW(J641)&lt;=COUNTA(D:D)*2,IF(MOD(ROW(J641),2)=1,INDEX(D:D,(ROW(J641)+1)/2),INDEX(F:F,ROW(J641)/2)),"")</f>
        <v>-637.9</v>
      </c>
      <c r="K641" s="28">
        <f t="array" ref="K641">IF(ROW(K641)&lt;=COUNTA(E:E)*2,IF(MOD(ROW(K641),2)=1,INDEX(E:E,(ROW(K641)+1)/2),INDEX(G:G,ROW(K641)/2)),"")</f>
        <v>44.98</v>
      </c>
    </row>
    <row r="642" spans="1:11" x14ac:dyDescent="0.25">
      <c r="A642" s="25"/>
      <c r="B642" s="25"/>
      <c r="J642" s="28">
        <f t="array" ref="J642">IF(ROW(J642)&lt;=COUNTA(D:D)*2,IF(MOD(ROW(J642),2)=1,INDEX(D:D,(ROW(J642)+1)/2),INDEX(F:F,ROW(J642)/2)),"")</f>
        <v>-639.9</v>
      </c>
      <c r="K642" s="28">
        <f t="array" ref="K642">IF(ROW(K642)&lt;=COUNTA(E:E)*2,IF(MOD(ROW(K642),2)=1,INDEX(E:E,(ROW(K642)+1)/2),INDEX(G:G,ROW(K642)/2)),"")</f>
        <v>44.98</v>
      </c>
    </row>
    <row r="643" spans="1:11" x14ac:dyDescent="0.25">
      <c r="A643" s="25"/>
      <c r="B643" s="25"/>
      <c r="J643" s="28">
        <f t="array" ref="J643">IF(ROW(J643)&lt;=COUNTA(D:D)*2,IF(MOD(ROW(J643),2)=1,INDEX(D:D,(ROW(J643)+1)/2),INDEX(F:F,ROW(J643)/2)),"")</f>
        <v>-639.9</v>
      </c>
      <c r="K643" s="28">
        <f t="array" ref="K643">IF(ROW(K643)&lt;=COUNTA(E:E)*2,IF(MOD(ROW(K643),2)=1,INDEX(E:E,(ROW(K643)+1)/2),INDEX(G:G,ROW(K643)/2)),"")</f>
        <v>44.98</v>
      </c>
    </row>
    <row r="644" spans="1:11" x14ac:dyDescent="0.25">
      <c r="A644" s="25"/>
      <c r="B644" s="25"/>
      <c r="J644" s="28">
        <f t="array" ref="J644">IF(ROW(J644)&lt;=COUNTA(D:D)*2,IF(MOD(ROW(J644),2)=1,INDEX(D:D,(ROW(J644)+1)/2),INDEX(F:F,ROW(J644)/2)),"")</f>
        <v>-641.9</v>
      </c>
      <c r="K644" s="28">
        <f t="array" ref="K644">IF(ROW(K644)&lt;=COUNTA(E:E)*2,IF(MOD(ROW(K644),2)=1,INDEX(E:E,(ROW(K644)+1)/2),INDEX(G:G,ROW(K644)/2)),"")</f>
        <v>44.98</v>
      </c>
    </row>
    <row r="645" spans="1:11" x14ac:dyDescent="0.25">
      <c r="A645" s="25"/>
      <c r="B645" s="25"/>
      <c r="J645" s="28">
        <f t="array" ref="J645">IF(ROW(J645)&lt;=COUNTA(D:D)*2,IF(MOD(ROW(J645),2)=1,INDEX(D:D,(ROW(J645)+1)/2),INDEX(F:F,ROW(J645)/2)),"")</f>
        <v>-641.9</v>
      </c>
      <c r="K645" s="28">
        <f t="array" ref="K645">IF(ROW(K645)&lt;=COUNTA(E:E)*2,IF(MOD(ROW(K645),2)=1,INDEX(E:E,(ROW(K645)+1)/2),INDEX(G:G,ROW(K645)/2)),"")</f>
        <v>44.98</v>
      </c>
    </row>
    <row r="646" spans="1:11" x14ac:dyDescent="0.25">
      <c r="A646" s="25"/>
      <c r="B646" s="25"/>
      <c r="J646" s="28">
        <f t="array" ref="J646">IF(ROW(J646)&lt;=COUNTA(D:D)*2,IF(MOD(ROW(J646),2)=1,INDEX(D:D,(ROW(J646)+1)/2),INDEX(F:F,ROW(J646)/2)),"")</f>
        <v>-643.9</v>
      </c>
      <c r="K646" s="28">
        <f t="array" ref="K646">IF(ROW(K646)&lt;=COUNTA(E:E)*2,IF(MOD(ROW(K646),2)=1,INDEX(E:E,(ROW(K646)+1)/2),INDEX(G:G,ROW(K646)/2)),"")</f>
        <v>44.98</v>
      </c>
    </row>
    <row r="647" spans="1:11" x14ac:dyDescent="0.25">
      <c r="A647" s="25"/>
      <c r="B647" s="25"/>
      <c r="J647" s="28">
        <f t="array" ref="J647">IF(ROW(J647)&lt;=COUNTA(D:D)*2,IF(MOD(ROW(J647),2)=1,INDEX(D:D,(ROW(J647)+1)/2),INDEX(F:F,ROW(J647)/2)),"")</f>
        <v>-643.9</v>
      </c>
      <c r="K647" s="28">
        <f t="array" ref="K647">IF(ROW(K647)&lt;=COUNTA(E:E)*2,IF(MOD(ROW(K647),2)=1,INDEX(E:E,(ROW(K647)+1)/2),INDEX(G:G,ROW(K647)/2)),"")</f>
        <v>44.98</v>
      </c>
    </row>
    <row r="648" spans="1:11" x14ac:dyDescent="0.25">
      <c r="A648" s="25"/>
      <c r="B648" s="25"/>
      <c r="J648" s="28">
        <f t="array" ref="J648">IF(ROW(J648)&lt;=COUNTA(D:D)*2,IF(MOD(ROW(J648),2)=1,INDEX(D:D,(ROW(J648)+1)/2),INDEX(F:F,ROW(J648)/2)),"")</f>
        <v>-645.9</v>
      </c>
      <c r="K648" s="28">
        <f t="array" ref="K648">IF(ROW(K648)&lt;=COUNTA(E:E)*2,IF(MOD(ROW(K648),2)=1,INDEX(E:E,(ROW(K648)+1)/2),INDEX(G:G,ROW(K648)/2)),"")</f>
        <v>44.98</v>
      </c>
    </row>
    <row r="649" spans="1:11" x14ac:dyDescent="0.25">
      <c r="A649" s="25"/>
      <c r="B649" s="25"/>
      <c r="J649" s="28">
        <f t="array" ref="J649">IF(ROW(J649)&lt;=COUNTA(D:D)*2,IF(MOD(ROW(J649),2)=1,INDEX(D:D,(ROW(J649)+1)/2),INDEX(F:F,ROW(J649)/2)),"")</f>
        <v>-645.9</v>
      </c>
      <c r="K649" s="28">
        <f t="array" ref="K649">IF(ROW(K649)&lt;=COUNTA(E:E)*2,IF(MOD(ROW(K649),2)=1,INDEX(E:E,(ROW(K649)+1)/2),INDEX(G:G,ROW(K649)/2)),"")</f>
        <v>44.98</v>
      </c>
    </row>
    <row r="650" spans="1:11" x14ac:dyDescent="0.25">
      <c r="A650" s="25"/>
      <c r="B650" s="25"/>
      <c r="J650" s="28">
        <f t="array" ref="J650">IF(ROW(J650)&lt;=COUNTA(D:D)*2,IF(MOD(ROW(J650),2)=1,INDEX(D:D,(ROW(J650)+1)/2),INDEX(F:F,ROW(J650)/2)),"")</f>
        <v>-647.9</v>
      </c>
      <c r="K650" s="28">
        <f t="array" ref="K650">IF(ROW(K650)&lt;=COUNTA(E:E)*2,IF(MOD(ROW(K650),2)=1,INDEX(E:E,(ROW(K650)+1)/2),INDEX(G:G,ROW(K650)/2)),"")</f>
        <v>44.98</v>
      </c>
    </row>
    <row r="651" spans="1:11" x14ac:dyDescent="0.25">
      <c r="A651" s="25"/>
      <c r="B651" s="25"/>
      <c r="J651" s="28">
        <f t="array" ref="J651">IF(ROW(J651)&lt;=COUNTA(D:D)*2,IF(MOD(ROW(J651),2)=1,INDEX(D:D,(ROW(J651)+1)/2),INDEX(F:F,ROW(J651)/2)),"")</f>
        <v>-647.9</v>
      </c>
      <c r="K651" s="28">
        <f t="array" ref="K651">IF(ROW(K651)&lt;=COUNTA(E:E)*2,IF(MOD(ROW(K651),2)=1,INDEX(E:E,(ROW(K651)+1)/2),INDEX(G:G,ROW(K651)/2)),"")</f>
        <v>44.98</v>
      </c>
    </row>
    <row r="652" spans="1:11" x14ac:dyDescent="0.25">
      <c r="A652" s="25"/>
      <c r="B652" s="25"/>
      <c r="J652" s="28">
        <f t="array" ref="J652">IF(ROW(J652)&lt;=COUNTA(D:D)*2,IF(MOD(ROW(J652),2)=1,INDEX(D:D,(ROW(J652)+1)/2),INDEX(F:F,ROW(J652)/2)),"")</f>
        <v>-649.9</v>
      </c>
      <c r="K652" s="28">
        <f t="array" ref="K652">IF(ROW(K652)&lt;=COUNTA(E:E)*2,IF(MOD(ROW(K652),2)=1,INDEX(E:E,(ROW(K652)+1)/2),INDEX(G:G,ROW(K652)/2)),"")</f>
        <v>44.98</v>
      </c>
    </row>
    <row r="653" spans="1:11" x14ac:dyDescent="0.25">
      <c r="A653" s="25"/>
      <c r="B653" s="25"/>
      <c r="J653" s="28">
        <f t="array" ref="J653">IF(ROW(J653)&lt;=COUNTA(D:D)*2,IF(MOD(ROW(J653),2)=1,INDEX(D:D,(ROW(J653)+1)/2),INDEX(F:F,ROW(J653)/2)),"")</f>
        <v>-649.9</v>
      </c>
      <c r="K653" s="28">
        <f t="array" ref="K653">IF(ROW(K653)&lt;=COUNTA(E:E)*2,IF(MOD(ROW(K653),2)=1,INDEX(E:E,(ROW(K653)+1)/2),INDEX(G:G,ROW(K653)/2)),"")</f>
        <v>44.98</v>
      </c>
    </row>
    <row r="654" spans="1:11" x14ac:dyDescent="0.25">
      <c r="A654" s="25"/>
      <c r="B654" s="25"/>
      <c r="J654" s="28">
        <f t="array" ref="J654">IF(ROW(J654)&lt;=COUNTA(D:D)*2,IF(MOD(ROW(J654),2)=1,INDEX(D:D,(ROW(J654)+1)/2),INDEX(F:F,ROW(J654)/2)),"")</f>
        <v>-651.9</v>
      </c>
      <c r="K654" s="28">
        <f t="array" ref="K654">IF(ROW(K654)&lt;=COUNTA(E:E)*2,IF(MOD(ROW(K654),2)=1,INDEX(E:E,(ROW(K654)+1)/2),INDEX(G:G,ROW(K654)/2)),"")</f>
        <v>44.98</v>
      </c>
    </row>
    <row r="655" spans="1:11" x14ac:dyDescent="0.25">
      <c r="A655" s="25"/>
      <c r="B655" s="25"/>
      <c r="J655" s="28">
        <f t="array" ref="J655">IF(ROW(J655)&lt;=COUNTA(D:D)*2,IF(MOD(ROW(J655),2)=1,INDEX(D:D,(ROW(J655)+1)/2),INDEX(F:F,ROW(J655)/2)),"")</f>
        <v>-651.9</v>
      </c>
      <c r="K655" s="28">
        <f t="array" ref="K655">IF(ROW(K655)&lt;=COUNTA(E:E)*2,IF(MOD(ROW(K655),2)=1,INDEX(E:E,(ROW(K655)+1)/2),INDEX(G:G,ROW(K655)/2)),"")</f>
        <v>44.98</v>
      </c>
    </row>
    <row r="656" spans="1:11" x14ac:dyDescent="0.25">
      <c r="A656" s="25"/>
      <c r="B656" s="25"/>
      <c r="J656" s="28">
        <f t="array" ref="J656">IF(ROW(J656)&lt;=COUNTA(D:D)*2,IF(MOD(ROW(J656),2)=1,INDEX(D:D,(ROW(J656)+1)/2),INDEX(F:F,ROW(J656)/2)),"")</f>
        <v>-653.9</v>
      </c>
      <c r="K656" s="28">
        <f t="array" ref="K656">IF(ROW(K656)&lt;=COUNTA(E:E)*2,IF(MOD(ROW(K656),2)=1,INDEX(E:E,(ROW(K656)+1)/2),INDEX(G:G,ROW(K656)/2)),"")</f>
        <v>44.98</v>
      </c>
    </row>
    <row r="657" spans="1:11" x14ac:dyDescent="0.25">
      <c r="A657" s="25"/>
      <c r="B657" s="25"/>
      <c r="J657" s="28">
        <f t="array" ref="J657">IF(ROW(J657)&lt;=COUNTA(D:D)*2,IF(MOD(ROW(J657),2)=1,INDEX(D:D,(ROW(J657)+1)/2),INDEX(F:F,ROW(J657)/2)),"")</f>
        <v>-653.9</v>
      </c>
      <c r="K657" s="28">
        <f t="array" ref="K657">IF(ROW(K657)&lt;=COUNTA(E:E)*2,IF(MOD(ROW(K657),2)=1,INDEX(E:E,(ROW(K657)+1)/2),INDEX(G:G,ROW(K657)/2)),"")</f>
        <v>44.98</v>
      </c>
    </row>
    <row r="658" spans="1:11" x14ac:dyDescent="0.25">
      <c r="A658" s="25"/>
      <c r="B658" s="25"/>
      <c r="J658" s="28">
        <f t="array" ref="J658">IF(ROW(J658)&lt;=COUNTA(D:D)*2,IF(MOD(ROW(J658),2)=1,INDEX(D:D,(ROW(J658)+1)/2),INDEX(F:F,ROW(J658)/2)),"")</f>
        <v>-655.9</v>
      </c>
      <c r="K658" s="28">
        <f t="array" ref="K658">IF(ROW(K658)&lt;=COUNTA(E:E)*2,IF(MOD(ROW(K658),2)=1,INDEX(E:E,(ROW(K658)+1)/2),INDEX(G:G,ROW(K658)/2)),"")</f>
        <v>44.98</v>
      </c>
    </row>
    <row r="659" spans="1:11" x14ac:dyDescent="0.25">
      <c r="A659" s="25"/>
      <c r="B659" s="25"/>
      <c r="J659" s="28">
        <f t="array" ref="J659">IF(ROW(J659)&lt;=COUNTA(D:D)*2,IF(MOD(ROW(J659),2)=1,INDEX(D:D,(ROW(J659)+1)/2),INDEX(F:F,ROW(J659)/2)),"")</f>
        <v>-655.9</v>
      </c>
      <c r="K659" s="28">
        <f t="array" ref="K659">IF(ROW(K659)&lt;=COUNTA(E:E)*2,IF(MOD(ROW(K659),2)=1,INDEX(E:E,(ROW(K659)+1)/2),INDEX(G:G,ROW(K659)/2)),"")</f>
        <v>44.98</v>
      </c>
    </row>
    <row r="660" spans="1:11" x14ac:dyDescent="0.25">
      <c r="A660" s="25"/>
      <c r="B660" s="25"/>
      <c r="J660" s="28">
        <f t="array" ref="J660">IF(ROW(J660)&lt;=COUNTA(D:D)*2,IF(MOD(ROW(J660),2)=1,INDEX(D:D,(ROW(J660)+1)/2),INDEX(F:F,ROW(J660)/2)),"")</f>
        <v>-657.9</v>
      </c>
      <c r="K660" s="28">
        <f t="array" ref="K660">IF(ROW(K660)&lt;=COUNTA(E:E)*2,IF(MOD(ROW(K660),2)=1,INDEX(E:E,(ROW(K660)+1)/2),INDEX(G:G,ROW(K660)/2)),"")</f>
        <v>44.98</v>
      </c>
    </row>
    <row r="661" spans="1:11" x14ac:dyDescent="0.25">
      <c r="A661" s="25"/>
      <c r="B661" s="25"/>
      <c r="J661" s="28">
        <f t="array" ref="J661">IF(ROW(J661)&lt;=COUNTA(D:D)*2,IF(MOD(ROW(J661),2)=1,INDEX(D:D,(ROW(J661)+1)/2),INDEX(F:F,ROW(J661)/2)),"")</f>
        <v>-657.9</v>
      </c>
      <c r="K661" s="28">
        <f t="array" ref="K661">IF(ROW(K661)&lt;=COUNTA(E:E)*2,IF(MOD(ROW(K661),2)=1,INDEX(E:E,(ROW(K661)+1)/2),INDEX(G:G,ROW(K661)/2)),"")</f>
        <v>44.98</v>
      </c>
    </row>
    <row r="662" spans="1:11" x14ac:dyDescent="0.25">
      <c r="A662" s="25"/>
      <c r="B662" s="25"/>
      <c r="J662" s="28">
        <f t="array" ref="J662">IF(ROW(J662)&lt;=COUNTA(D:D)*2,IF(MOD(ROW(J662),2)=1,INDEX(D:D,(ROW(J662)+1)/2),INDEX(F:F,ROW(J662)/2)),"")</f>
        <v>-659.9</v>
      </c>
      <c r="K662" s="28">
        <f t="array" ref="K662">IF(ROW(K662)&lt;=COUNTA(E:E)*2,IF(MOD(ROW(K662),2)=1,INDEX(E:E,(ROW(K662)+1)/2),INDEX(G:G,ROW(K662)/2)),"")</f>
        <v>44.98</v>
      </c>
    </row>
    <row r="663" spans="1:11" x14ac:dyDescent="0.25">
      <c r="A663" s="25"/>
      <c r="B663" s="25"/>
      <c r="J663" s="28">
        <f t="array" ref="J663">IF(ROW(J663)&lt;=COUNTA(D:D)*2,IF(MOD(ROW(J663),2)=1,INDEX(D:D,(ROW(J663)+1)/2),INDEX(F:F,ROW(J663)/2)),"")</f>
        <v>-659.9</v>
      </c>
      <c r="K663" s="28">
        <f t="array" ref="K663">IF(ROW(K663)&lt;=COUNTA(E:E)*2,IF(MOD(ROW(K663),2)=1,INDEX(E:E,(ROW(K663)+1)/2),INDEX(G:G,ROW(K663)/2)),"")</f>
        <v>44.96</v>
      </c>
    </row>
    <row r="664" spans="1:11" x14ac:dyDescent="0.25">
      <c r="A664" s="25"/>
      <c r="B664" s="25"/>
      <c r="J664" s="28">
        <f t="array" ref="J664">IF(ROW(J664)&lt;=COUNTA(D:D)*2,IF(MOD(ROW(J664),2)=1,INDEX(D:D,(ROW(J664)+1)/2),INDEX(F:F,ROW(J664)/2)),"")</f>
        <v>-661.9</v>
      </c>
      <c r="K664" s="28">
        <f t="array" ref="K664">IF(ROW(K664)&lt;=COUNTA(E:E)*2,IF(MOD(ROW(K664),2)=1,INDEX(E:E,(ROW(K664)+1)/2),INDEX(G:G,ROW(K664)/2)),"")</f>
        <v>44.96</v>
      </c>
    </row>
    <row r="665" spans="1:11" x14ac:dyDescent="0.25">
      <c r="A665" s="25"/>
      <c r="B665" s="25"/>
      <c r="J665" s="28">
        <f t="array" ref="J665">IF(ROW(J665)&lt;=COUNTA(D:D)*2,IF(MOD(ROW(J665),2)=1,INDEX(D:D,(ROW(J665)+1)/2),INDEX(F:F,ROW(J665)/2)),"")</f>
        <v>-661.9</v>
      </c>
      <c r="K665" s="28">
        <f t="array" ref="K665">IF(ROW(K665)&lt;=COUNTA(E:E)*2,IF(MOD(ROW(K665),2)=1,INDEX(E:E,(ROW(K665)+1)/2),INDEX(G:G,ROW(K665)/2)),"")</f>
        <v>44.98</v>
      </c>
    </row>
    <row r="666" spans="1:11" x14ac:dyDescent="0.25">
      <c r="A666" s="25"/>
      <c r="B666" s="25"/>
      <c r="J666" s="28">
        <f t="array" ref="J666">IF(ROW(J666)&lt;=COUNTA(D:D)*2,IF(MOD(ROW(J666),2)=1,INDEX(D:D,(ROW(J666)+1)/2),INDEX(F:F,ROW(J666)/2)),"")</f>
        <v>-663.9</v>
      </c>
      <c r="K666" s="28">
        <f t="array" ref="K666">IF(ROW(K666)&lt;=COUNTA(E:E)*2,IF(MOD(ROW(K666),2)=1,INDEX(E:E,(ROW(K666)+1)/2),INDEX(G:G,ROW(K666)/2)),"")</f>
        <v>44.98</v>
      </c>
    </row>
    <row r="667" spans="1:11" x14ac:dyDescent="0.25">
      <c r="A667" s="25"/>
      <c r="B667" s="25"/>
      <c r="J667" s="28">
        <f t="array" ref="J667">IF(ROW(J667)&lt;=COUNTA(D:D)*2,IF(MOD(ROW(J667),2)=1,INDEX(D:D,(ROW(J667)+1)/2),INDEX(F:F,ROW(J667)/2)),"")</f>
        <v>-663.9</v>
      </c>
      <c r="K667" s="28">
        <f t="array" ref="K667">IF(ROW(K667)&lt;=COUNTA(E:E)*2,IF(MOD(ROW(K667),2)=1,INDEX(E:E,(ROW(K667)+1)/2),INDEX(G:G,ROW(K667)/2)),"")</f>
        <v>44.9</v>
      </c>
    </row>
    <row r="668" spans="1:11" x14ac:dyDescent="0.25">
      <c r="A668" s="25"/>
      <c r="B668" s="25"/>
      <c r="J668" s="28">
        <f t="array" ref="J668">IF(ROW(J668)&lt;=COUNTA(D:D)*2,IF(MOD(ROW(J668),2)=1,INDEX(D:D,(ROW(J668)+1)/2),INDEX(F:F,ROW(J668)/2)),"")</f>
        <v>-665.9</v>
      </c>
      <c r="K668" s="28">
        <f t="array" ref="K668">IF(ROW(K668)&lt;=COUNTA(E:E)*2,IF(MOD(ROW(K668),2)=1,INDEX(E:E,(ROW(K668)+1)/2),INDEX(G:G,ROW(K668)/2)),"")</f>
        <v>44.9</v>
      </c>
    </row>
    <row r="669" spans="1:11" x14ac:dyDescent="0.25">
      <c r="A669" s="25"/>
      <c r="B669" s="25"/>
      <c r="J669" s="28">
        <f t="array" ref="J669">IF(ROW(J669)&lt;=COUNTA(D:D)*2,IF(MOD(ROW(J669),2)=1,INDEX(D:D,(ROW(J669)+1)/2),INDEX(F:F,ROW(J669)/2)),"")</f>
        <v>-665.9</v>
      </c>
      <c r="K669" s="28">
        <f t="array" ref="K669">IF(ROW(K669)&lt;=COUNTA(E:E)*2,IF(MOD(ROW(K669),2)=1,INDEX(E:E,(ROW(K669)+1)/2),INDEX(G:G,ROW(K669)/2)),"")</f>
        <v>44.94</v>
      </c>
    </row>
    <row r="670" spans="1:11" x14ac:dyDescent="0.25">
      <c r="A670" s="25"/>
      <c r="B670" s="25"/>
      <c r="J670" s="28">
        <f t="array" ref="J670">IF(ROW(J670)&lt;=COUNTA(D:D)*2,IF(MOD(ROW(J670),2)=1,INDEX(D:D,(ROW(J670)+1)/2),INDEX(F:F,ROW(J670)/2)),"")</f>
        <v>-667.9</v>
      </c>
      <c r="K670" s="28">
        <f t="array" ref="K670">IF(ROW(K670)&lt;=COUNTA(E:E)*2,IF(MOD(ROW(K670),2)=1,INDEX(E:E,(ROW(K670)+1)/2),INDEX(G:G,ROW(K670)/2)),"")</f>
        <v>44.94</v>
      </c>
    </row>
    <row r="671" spans="1:11" x14ac:dyDescent="0.25">
      <c r="A671" s="25"/>
      <c r="B671" s="25"/>
      <c r="J671" s="28">
        <f t="array" ref="J671">IF(ROW(J671)&lt;=COUNTA(D:D)*2,IF(MOD(ROW(J671),2)=1,INDEX(D:D,(ROW(J671)+1)/2),INDEX(F:F,ROW(J671)/2)),"")</f>
        <v>-667.9</v>
      </c>
      <c r="K671" s="28">
        <f t="array" ref="K671">IF(ROW(K671)&lt;=COUNTA(E:E)*2,IF(MOD(ROW(K671),2)=1,INDEX(E:E,(ROW(K671)+1)/2),INDEX(G:G,ROW(K671)/2)),"")</f>
        <v>44.98</v>
      </c>
    </row>
    <row r="672" spans="1:11" x14ac:dyDescent="0.25">
      <c r="A672" s="25"/>
      <c r="B672" s="25"/>
      <c r="J672" s="28">
        <f t="array" ref="J672">IF(ROW(J672)&lt;=COUNTA(D:D)*2,IF(MOD(ROW(J672),2)=1,INDEX(D:D,(ROW(J672)+1)/2),INDEX(F:F,ROW(J672)/2)),"")</f>
        <v>-669.9</v>
      </c>
      <c r="K672" s="28">
        <f t="array" ref="K672">IF(ROW(K672)&lt;=COUNTA(E:E)*2,IF(MOD(ROW(K672),2)=1,INDEX(E:E,(ROW(K672)+1)/2),INDEX(G:G,ROW(K672)/2)),"")</f>
        <v>44.98</v>
      </c>
    </row>
    <row r="673" spans="1:11" x14ac:dyDescent="0.25">
      <c r="A673" s="25"/>
      <c r="B673" s="25"/>
      <c r="J673" s="28">
        <f t="array" ref="J673">IF(ROW(J673)&lt;=COUNTA(D:D)*2,IF(MOD(ROW(J673),2)=1,INDEX(D:D,(ROW(J673)+1)/2),INDEX(F:F,ROW(J673)/2)),"")</f>
        <v>-669.9</v>
      </c>
      <c r="K673" s="28">
        <f t="array" ref="K673">IF(ROW(K673)&lt;=COUNTA(E:E)*2,IF(MOD(ROW(K673),2)=1,INDEX(E:E,(ROW(K673)+1)/2),INDEX(G:G,ROW(K673)/2)),"")</f>
        <v>44.96</v>
      </c>
    </row>
    <row r="674" spans="1:11" x14ac:dyDescent="0.25">
      <c r="A674" s="25"/>
      <c r="B674" s="25"/>
      <c r="J674" s="28">
        <f t="array" ref="J674">IF(ROW(J674)&lt;=COUNTA(D:D)*2,IF(MOD(ROW(J674),2)=1,INDEX(D:D,(ROW(J674)+1)/2),INDEX(F:F,ROW(J674)/2)),"")</f>
        <v>-671.9</v>
      </c>
      <c r="K674" s="28">
        <f t="array" ref="K674">IF(ROW(K674)&lt;=COUNTA(E:E)*2,IF(MOD(ROW(K674),2)=1,INDEX(E:E,(ROW(K674)+1)/2),INDEX(G:G,ROW(K674)/2)),"")</f>
        <v>44.96</v>
      </c>
    </row>
    <row r="675" spans="1:11" x14ac:dyDescent="0.25">
      <c r="A675" s="25"/>
      <c r="B675" s="25"/>
      <c r="J675" s="28">
        <f t="array" ref="J675">IF(ROW(J675)&lt;=COUNTA(D:D)*2,IF(MOD(ROW(J675),2)=1,INDEX(D:D,(ROW(J675)+1)/2),INDEX(F:F,ROW(J675)/2)),"")</f>
        <v>-671.9</v>
      </c>
      <c r="K675" s="28">
        <f t="array" ref="K675">IF(ROW(K675)&lt;=COUNTA(E:E)*2,IF(MOD(ROW(K675),2)=1,INDEX(E:E,(ROW(K675)+1)/2),INDEX(G:G,ROW(K675)/2)),"")</f>
        <v>44.98</v>
      </c>
    </row>
    <row r="676" spans="1:11" x14ac:dyDescent="0.25">
      <c r="A676" s="25"/>
      <c r="B676" s="25"/>
      <c r="J676" s="28">
        <f t="array" ref="J676">IF(ROW(J676)&lt;=COUNTA(D:D)*2,IF(MOD(ROW(J676),2)=1,INDEX(D:D,(ROW(J676)+1)/2),INDEX(F:F,ROW(J676)/2)),"")</f>
        <v>-673.9</v>
      </c>
      <c r="K676" s="28">
        <f t="array" ref="K676">IF(ROW(K676)&lt;=COUNTA(E:E)*2,IF(MOD(ROW(K676),2)=1,INDEX(E:E,(ROW(K676)+1)/2),INDEX(G:G,ROW(K676)/2)),"")</f>
        <v>44.98</v>
      </c>
    </row>
    <row r="677" spans="1:11" x14ac:dyDescent="0.25">
      <c r="A677" s="25"/>
      <c r="B677" s="25"/>
      <c r="J677" s="28">
        <f t="array" ref="J677">IF(ROW(J677)&lt;=COUNTA(D:D)*2,IF(MOD(ROW(J677),2)=1,INDEX(D:D,(ROW(J677)+1)/2),INDEX(F:F,ROW(J677)/2)),"")</f>
        <v>-673.9</v>
      </c>
      <c r="K677" s="28">
        <f t="array" ref="K677">IF(ROW(K677)&lt;=COUNTA(E:E)*2,IF(MOD(ROW(K677),2)=1,INDEX(E:E,(ROW(K677)+1)/2),INDEX(G:G,ROW(K677)/2)),"")</f>
        <v>44.8</v>
      </c>
    </row>
    <row r="678" spans="1:11" x14ac:dyDescent="0.25">
      <c r="A678" s="25"/>
      <c r="B678" s="25"/>
      <c r="J678" s="28">
        <f t="array" ref="J678">IF(ROW(J678)&lt;=COUNTA(D:D)*2,IF(MOD(ROW(J678),2)=1,INDEX(D:D,(ROW(J678)+1)/2),INDEX(F:F,ROW(J678)/2)),"")</f>
        <v>-675.9</v>
      </c>
      <c r="K678" s="28">
        <f t="array" ref="K678">IF(ROW(K678)&lt;=COUNTA(E:E)*2,IF(MOD(ROW(K678),2)=1,INDEX(E:E,(ROW(K678)+1)/2),INDEX(G:G,ROW(K678)/2)),"")</f>
        <v>44.8</v>
      </c>
    </row>
    <row r="679" spans="1:11" x14ac:dyDescent="0.25">
      <c r="A679" s="25"/>
      <c r="B679" s="25"/>
      <c r="J679" s="28">
        <f t="array" ref="J679">IF(ROW(J679)&lt;=COUNTA(D:D)*2,IF(MOD(ROW(J679),2)=1,INDEX(D:D,(ROW(J679)+1)/2),INDEX(F:F,ROW(J679)/2)),"")</f>
        <v>-675.9</v>
      </c>
      <c r="K679" s="28">
        <f t="array" ref="K679">IF(ROW(K679)&lt;=COUNTA(E:E)*2,IF(MOD(ROW(K679),2)=1,INDEX(E:E,(ROW(K679)+1)/2),INDEX(G:G,ROW(K679)/2)),"")</f>
        <v>44.8</v>
      </c>
    </row>
    <row r="680" spans="1:11" x14ac:dyDescent="0.25">
      <c r="A680" s="25"/>
      <c r="B680" s="25"/>
      <c r="J680" s="28">
        <f t="array" ref="J680">IF(ROW(J680)&lt;=COUNTA(D:D)*2,IF(MOD(ROW(J680),2)=1,INDEX(D:D,(ROW(J680)+1)/2),INDEX(F:F,ROW(J680)/2)),"")</f>
        <v>-677.9</v>
      </c>
      <c r="K680" s="28">
        <f t="array" ref="K680">IF(ROW(K680)&lt;=COUNTA(E:E)*2,IF(MOD(ROW(K680),2)=1,INDEX(E:E,(ROW(K680)+1)/2),INDEX(G:G,ROW(K680)/2)),"")</f>
        <v>44.8</v>
      </c>
    </row>
    <row r="681" spans="1:11" x14ac:dyDescent="0.25">
      <c r="A681" s="25"/>
      <c r="B681" s="25"/>
      <c r="J681" s="28">
        <f t="array" ref="J681">IF(ROW(J681)&lt;=COUNTA(D:D)*2,IF(MOD(ROW(J681),2)=1,INDEX(D:D,(ROW(J681)+1)/2),INDEX(F:F,ROW(J681)/2)),"")</f>
        <v>-677.9</v>
      </c>
      <c r="K681" s="28">
        <f t="array" ref="K681">IF(ROW(K681)&lt;=COUNTA(E:E)*2,IF(MOD(ROW(K681),2)=1,INDEX(E:E,(ROW(K681)+1)/2),INDEX(G:G,ROW(K681)/2)),"")</f>
        <v>41</v>
      </c>
    </row>
    <row r="682" spans="1:11" x14ac:dyDescent="0.25">
      <c r="A682" s="25"/>
      <c r="B682" s="25"/>
      <c r="J682" s="28">
        <f t="array" ref="J682">IF(ROW(J682)&lt;=COUNTA(D:D)*2,IF(MOD(ROW(J682),2)=1,INDEX(D:D,(ROW(J682)+1)/2),INDEX(F:F,ROW(J682)/2)),"")</f>
        <v>0</v>
      </c>
      <c r="K682" s="28">
        <f t="array" ref="K682">IF(ROW(K682)&lt;=COUNTA(E:E)*2,IF(MOD(ROW(K682),2)=1,INDEX(E:E,(ROW(K682)+1)/2),INDEX(G:G,ROW(K682)/2)),"")</f>
        <v>41</v>
      </c>
    </row>
    <row r="683" spans="1:11" x14ac:dyDescent="0.25">
      <c r="A683" s="25"/>
      <c r="B683" s="25"/>
      <c r="J683" s="28">
        <f t="array" ref="J683">IF(ROW(J683)&lt;=COUNTA(D:D)*2,IF(MOD(ROW(J683),2)=1,INDEX(D:D,(ROW(J683)+1)/2),INDEX(F:F,ROW(J683)/2)),"")</f>
        <v>0</v>
      </c>
      <c r="K683" s="28">
        <f t="array" ref="K683">IF(ROW(K683)&lt;=COUNTA(E:E)*2,IF(MOD(ROW(K683),2)=1,INDEX(E:E,(ROW(K683)+1)/2),INDEX(G:G,ROW(K683)/2)),"")</f>
        <v>41</v>
      </c>
    </row>
    <row r="684" spans="1:11" x14ac:dyDescent="0.25">
      <c r="A684" s="25"/>
      <c r="B684" s="25"/>
      <c r="J684" s="28">
        <f t="array" ref="J684">IF(ROW(J684)&lt;=COUNTA(D:D)*2,IF(MOD(ROW(J684),2)=1,INDEX(D:D,(ROW(J684)+1)/2),INDEX(F:F,ROW(J684)/2)),"")</f>
        <v>0</v>
      </c>
      <c r="K684" s="28">
        <f t="array" ref="K684">IF(ROW(K684)&lt;=COUNTA(E:E)*2,IF(MOD(ROW(K684),2)=1,INDEX(E:E,(ROW(K684)+1)/2),INDEX(G:G,ROW(K684)/2)),"")</f>
        <v>41</v>
      </c>
    </row>
    <row r="685" spans="1:11" x14ac:dyDescent="0.25">
      <c r="A685" s="25"/>
      <c r="B685" s="25"/>
      <c r="J685" s="28">
        <f t="array" ref="J685">IF(ROW(J685)&lt;=COUNTA(D:D)*2,IF(MOD(ROW(J685),2)=1,INDEX(D:D,(ROW(J685)+1)/2),INDEX(F:F,ROW(J685)/2)),"")</f>
        <v>0</v>
      </c>
      <c r="K685" s="28">
        <f t="array" ref="K685">IF(ROW(K685)&lt;=COUNTA(E:E)*2,IF(MOD(ROW(K685),2)=1,INDEX(E:E,(ROW(K685)+1)/2),INDEX(G:G,ROW(K685)/2)),"")</f>
        <v>41</v>
      </c>
    </row>
    <row r="686" spans="1:11" x14ac:dyDescent="0.25">
      <c r="A686" s="25"/>
      <c r="B686" s="25"/>
      <c r="J686" s="28">
        <f t="array" ref="J686">IF(ROW(J686)&lt;=COUNTA(D:D)*2,IF(MOD(ROW(J686),2)=1,INDEX(D:D,(ROW(J686)+1)/2),INDEX(F:F,ROW(J686)/2)),"")</f>
        <v>0</v>
      </c>
      <c r="K686" s="28">
        <f t="array" ref="K686">IF(ROW(K686)&lt;=COUNTA(E:E)*2,IF(MOD(ROW(K686),2)=1,INDEX(E:E,(ROW(K686)+1)/2),INDEX(G:G,ROW(K686)/2)),"")</f>
        <v>41</v>
      </c>
    </row>
    <row r="687" spans="1:11" x14ac:dyDescent="0.25">
      <c r="A687" s="25"/>
      <c r="B687" s="25"/>
      <c r="J687" s="28">
        <f t="array" ref="J687">IF(ROW(J687)&lt;=COUNTA(D:D)*2,IF(MOD(ROW(J687),2)=1,INDEX(D:D,(ROW(J687)+1)/2),INDEX(F:F,ROW(J687)/2)),"")</f>
        <v>0</v>
      </c>
      <c r="K687" s="28">
        <f t="array" ref="K687">IF(ROW(K687)&lt;=COUNTA(E:E)*2,IF(MOD(ROW(K687),2)=1,INDEX(E:E,(ROW(K687)+1)/2),INDEX(G:G,ROW(K687)/2)),"")</f>
        <v>41</v>
      </c>
    </row>
    <row r="688" spans="1:11" x14ac:dyDescent="0.25">
      <c r="A688" s="25"/>
      <c r="B688" s="25"/>
      <c r="J688" s="28">
        <f t="array" ref="J688">IF(ROW(J688)&lt;=COUNTA(D:D)*2,IF(MOD(ROW(J688),2)=1,INDEX(D:D,(ROW(J688)+1)/2),INDEX(F:F,ROW(J688)/2)),"")</f>
        <v>0</v>
      </c>
      <c r="K688" s="28">
        <f t="array" ref="K688">IF(ROW(K688)&lt;=COUNTA(E:E)*2,IF(MOD(ROW(K688),2)=1,INDEX(E:E,(ROW(K688)+1)/2),INDEX(G:G,ROW(K688)/2)),"")</f>
        <v>41</v>
      </c>
    </row>
    <row r="689" spans="1:11" x14ac:dyDescent="0.25">
      <c r="A689" s="25"/>
      <c r="B689" s="25"/>
      <c r="J689" s="28">
        <f t="array" ref="J689">IF(ROW(J689)&lt;=COUNTA(D:D)*2,IF(MOD(ROW(J689),2)=1,INDEX(D:D,(ROW(J689)+1)/2),INDEX(F:F,ROW(J689)/2)),"")</f>
        <v>0</v>
      </c>
      <c r="K689" s="28">
        <f t="array" ref="K689">IF(ROW(K689)&lt;=COUNTA(E:E)*2,IF(MOD(ROW(K689),2)=1,INDEX(E:E,(ROW(K689)+1)/2),INDEX(G:G,ROW(K689)/2)),"")</f>
        <v>41</v>
      </c>
    </row>
    <row r="690" spans="1:11" x14ac:dyDescent="0.25">
      <c r="A690" s="25"/>
      <c r="B690" s="25"/>
      <c r="J690" s="28">
        <f t="array" ref="J690">IF(ROW(J690)&lt;=COUNTA(D:D)*2,IF(MOD(ROW(J690),2)=1,INDEX(D:D,(ROW(J690)+1)/2),INDEX(F:F,ROW(J690)/2)),"")</f>
        <v>0</v>
      </c>
      <c r="K690" s="28">
        <f t="array" ref="K690">IF(ROW(K690)&lt;=COUNTA(E:E)*2,IF(MOD(ROW(K690),2)=1,INDEX(E:E,(ROW(K690)+1)/2),INDEX(G:G,ROW(K690)/2)),"")</f>
        <v>41</v>
      </c>
    </row>
    <row r="691" spans="1:11" x14ac:dyDescent="0.25">
      <c r="A691" s="25"/>
      <c r="B691" s="25"/>
      <c r="J691" s="28">
        <f t="array" ref="J691">IF(ROW(J691)&lt;=COUNTA(D:D)*2,IF(MOD(ROW(J691),2)=1,INDEX(D:D,(ROW(J691)+1)/2),INDEX(F:F,ROW(J691)/2)),"")</f>
        <v>0</v>
      </c>
      <c r="K691" s="28">
        <f t="array" ref="K691">IF(ROW(K691)&lt;=COUNTA(E:E)*2,IF(MOD(ROW(K691),2)=1,INDEX(E:E,(ROW(K691)+1)/2),INDEX(G:G,ROW(K691)/2)),"")</f>
        <v>41</v>
      </c>
    </row>
    <row r="692" spans="1:11" x14ac:dyDescent="0.25">
      <c r="A692" s="25"/>
      <c r="B692" s="25"/>
      <c r="J692" s="28">
        <f t="array" ref="J692">IF(ROW(J692)&lt;=COUNTA(D:D)*2,IF(MOD(ROW(J692),2)=1,INDEX(D:D,(ROW(J692)+1)/2),INDEX(F:F,ROW(J692)/2)),"")</f>
        <v>0</v>
      </c>
      <c r="K692" s="28">
        <f t="array" ref="K692">IF(ROW(K692)&lt;=COUNTA(E:E)*2,IF(MOD(ROW(K692),2)=1,INDEX(E:E,(ROW(K692)+1)/2),INDEX(G:G,ROW(K692)/2)),"")</f>
        <v>41</v>
      </c>
    </row>
    <row r="693" spans="1:11" x14ac:dyDescent="0.25">
      <c r="A693" s="25"/>
      <c r="B693" s="25"/>
      <c r="J693" s="28">
        <f t="array" ref="J693">IF(ROW(J693)&lt;=COUNTA(D:D)*2,IF(MOD(ROW(J693),2)=1,INDEX(D:D,(ROW(J693)+1)/2),INDEX(F:F,ROW(J693)/2)),"")</f>
        <v>0</v>
      </c>
      <c r="K693" s="28">
        <f t="array" ref="K693">IF(ROW(K693)&lt;=COUNTA(E:E)*2,IF(MOD(ROW(K693),2)=1,INDEX(E:E,(ROW(K693)+1)/2),INDEX(G:G,ROW(K693)/2)),"")</f>
        <v>41</v>
      </c>
    </row>
    <row r="694" spans="1:11" x14ac:dyDescent="0.25">
      <c r="A694" s="25"/>
      <c r="B694" s="25"/>
      <c r="J694" s="28">
        <f t="array" ref="J694">IF(ROW(J694)&lt;=COUNTA(D:D)*2,IF(MOD(ROW(J694),2)=1,INDEX(D:D,(ROW(J694)+1)/2),INDEX(F:F,ROW(J694)/2)),"")</f>
        <v>0</v>
      </c>
      <c r="K694" s="28">
        <f t="array" ref="K694">IF(ROW(K694)&lt;=COUNTA(E:E)*2,IF(MOD(ROW(K694),2)=1,INDEX(E:E,(ROW(K694)+1)/2),INDEX(G:G,ROW(K694)/2)),"")</f>
        <v>41</v>
      </c>
    </row>
    <row r="695" spans="1:11" x14ac:dyDescent="0.25">
      <c r="A695" s="25"/>
      <c r="B695" s="25"/>
      <c r="J695" s="28">
        <f t="array" ref="J695">IF(ROW(J695)&lt;=COUNTA(D:D)*2,IF(MOD(ROW(J695),2)=1,INDEX(D:D,(ROW(J695)+1)/2),INDEX(F:F,ROW(J695)/2)),"")</f>
        <v>0</v>
      </c>
      <c r="K695" s="28">
        <f t="array" ref="K695">IF(ROW(K695)&lt;=COUNTA(E:E)*2,IF(MOD(ROW(K695),2)=1,INDEX(E:E,(ROW(K695)+1)/2),INDEX(G:G,ROW(K695)/2)),"")</f>
        <v>41</v>
      </c>
    </row>
    <row r="696" spans="1:11" x14ac:dyDescent="0.25">
      <c r="A696" s="25"/>
      <c r="B696" s="25"/>
      <c r="J696" s="28">
        <f t="array" ref="J696">IF(ROW(J696)&lt;=COUNTA(D:D)*2,IF(MOD(ROW(J696),2)=1,INDEX(D:D,(ROW(J696)+1)/2),INDEX(F:F,ROW(J696)/2)),"")</f>
        <v>0</v>
      </c>
      <c r="K696" s="28">
        <f t="array" ref="K696">IF(ROW(K696)&lt;=COUNTA(E:E)*2,IF(MOD(ROW(K696),2)=1,INDEX(E:E,(ROW(K696)+1)/2),INDEX(G:G,ROW(K696)/2)),"")</f>
        <v>41</v>
      </c>
    </row>
    <row r="697" spans="1:11" x14ac:dyDescent="0.25">
      <c r="A697" s="25"/>
      <c r="B697" s="25"/>
      <c r="J697" s="28">
        <f t="array" ref="J697">IF(ROW(J697)&lt;=COUNTA(D:D)*2,IF(MOD(ROW(J697),2)=1,INDEX(D:D,(ROW(J697)+1)/2),INDEX(F:F,ROW(J697)/2)),"")</f>
        <v>0</v>
      </c>
      <c r="K697" s="28">
        <f t="array" ref="K697">IF(ROW(K697)&lt;=COUNTA(E:E)*2,IF(MOD(ROW(K697),2)=1,INDEX(E:E,(ROW(K697)+1)/2),INDEX(G:G,ROW(K697)/2)),"")</f>
        <v>41</v>
      </c>
    </row>
    <row r="698" spans="1:11" x14ac:dyDescent="0.25">
      <c r="A698" s="25"/>
      <c r="B698" s="25"/>
      <c r="J698" s="28">
        <f t="array" ref="J698">IF(ROW(J698)&lt;=COUNTA(D:D)*2,IF(MOD(ROW(J698),2)=1,INDEX(D:D,(ROW(J698)+1)/2),INDEX(F:F,ROW(J698)/2)),"")</f>
        <v>0</v>
      </c>
      <c r="K698" s="28">
        <f t="array" ref="K698">IF(ROW(K698)&lt;=COUNTA(E:E)*2,IF(MOD(ROW(K698),2)=1,INDEX(E:E,(ROW(K698)+1)/2),INDEX(G:G,ROW(K698)/2)),"")</f>
        <v>41</v>
      </c>
    </row>
    <row r="699" spans="1:11" x14ac:dyDescent="0.25">
      <c r="A699" s="25"/>
      <c r="B699" s="25"/>
      <c r="J699" s="28">
        <f t="array" ref="J699">IF(ROW(J699)&lt;=COUNTA(D:D)*2,IF(MOD(ROW(J699),2)=1,INDEX(D:D,(ROW(J699)+1)/2),INDEX(F:F,ROW(J699)/2)),"")</f>
        <v>0</v>
      </c>
      <c r="K699" s="28">
        <f t="array" ref="K699">IF(ROW(K699)&lt;=COUNTA(E:E)*2,IF(MOD(ROW(K699),2)=1,INDEX(E:E,(ROW(K699)+1)/2),INDEX(G:G,ROW(K699)/2)),"")</f>
        <v>41</v>
      </c>
    </row>
    <row r="700" spans="1:11" x14ac:dyDescent="0.25">
      <c r="A700" s="25"/>
      <c r="B700" s="25"/>
      <c r="J700" s="28">
        <f t="array" ref="J700">IF(ROW(J700)&lt;=COUNTA(D:D)*2,IF(MOD(ROW(J700),2)=1,INDEX(D:D,(ROW(J700)+1)/2),INDEX(F:F,ROW(J700)/2)),"")</f>
        <v>0</v>
      </c>
      <c r="K700" s="28">
        <f t="array" ref="K700">IF(ROW(K700)&lt;=COUNTA(E:E)*2,IF(MOD(ROW(K700),2)=1,INDEX(E:E,(ROW(K700)+1)/2),INDEX(G:G,ROW(K700)/2)),"")</f>
        <v>41</v>
      </c>
    </row>
    <row r="701" spans="1:11" x14ac:dyDescent="0.25">
      <c r="A701" s="25"/>
      <c r="B701" s="25"/>
      <c r="J701" s="28">
        <f t="array" ref="J701">IF(ROW(J701)&lt;=COUNTA(D:D)*2,IF(MOD(ROW(J701),2)=1,INDEX(D:D,(ROW(J701)+1)/2),INDEX(F:F,ROW(J701)/2)),"")</f>
        <v>0</v>
      </c>
      <c r="K701" s="28">
        <f t="array" ref="K701">IF(ROW(K701)&lt;=COUNTA(E:E)*2,IF(MOD(ROW(K701),2)=1,INDEX(E:E,(ROW(K701)+1)/2),INDEX(G:G,ROW(K701)/2)),"")</f>
        <v>41</v>
      </c>
    </row>
    <row r="702" spans="1:11" x14ac:dyDescent="0.25">
      <c r="A702" s="25"/>
      <c r="B702" s="25"/>
      <c r="J702" s="28">
        <f t="array" ref="J702">IF(ROW(J702)&lt;=COUNTA(D:D)*2,IF(MOD(ROW(J702),2)=1,INDEX(D:D,(ROW(J702)+1)/2),INDEX(F:F,ROW(J702)/2)),"")</f>
        <v>0</v>
      </c>
      <c r="K702" s="28">
        <f t="array" ref="K702">IF(ROW(K702)&lt;=COUNTA(E:E)*2,IF(MOD(ROW(K702),2)=1,INDEX(E:E,(ROW(K702)+1)/2),INDEX(G:G,ROW(K702)/2)),"")</f>
        <v>41</v>
      </c>
    </row>
    <row r="703" spans="1:11" x14ac:dyDescent="0.25">
      <c r="A703" s="25"/>
      <c r="B703" s="25"/>
      <c r="J703" s="28">
        <f t="array" ref="J703">IF(ROW(J703)&lt;=COUNTA(D:D)*2,IF(MOD(ROW(J703),2)=1,INDEX(D:D,(ROW(J703)+1)/2),INDEX(F:F,ROW(J703)/2)),"")</f>
        <v>0</v>
      </c>
      <c r="K703" s="28">
        <f t="array" ref="K703">IF(ROW(K703)&lt;=COUNTA(E:E)*2,IF(MOD(ROW(K703),2)=1,INDEX(E:E,(ROW(K703)+1)/2),INDEX(G:G,ROW(K703)/2)),"")</f>
        <v>41</v>
      </c>
    </row>
    <row r="704" spans="1:11" x14ac:dyDescent="0.25">
      <c r="A704" s="25"/>
      <c r="B704" s="25"/>
      <c r="J704" s="28">
        <f t="array" ref="J704">IF(ROW(J704)&lt;=COUNTA(D:D)*2,IF(MOD(ROW(J704),2)=1,INDEX(D:D,(ROW(J704)+1)/2),INDEX(F:F,ROW(J704)/2)),"")</f>
        <v>0</v>
      </c>
      <c r="K704" s="28">
        <f t="array" ref="K704">IF(ROW(K704)&lt;=COUNTA(E:E)*2,IF(MOD(ROW(K704),2)=1,INDEX(E:E,(ROW(K704)+1)/2),INDEX(G:G,ROW(K704)/2)),"")</f>
        <v>41</v>
      </c>
    </row>
    <row r="705" spans="1:11" x14ac:dyDescent="0.25">
      <c r="A705" s="25"/>
      <c r="B705" s="25"/>
      <c r="J705" s="28">
        <f t="array" ref="J705">IF(ROW(J705)&lt;=COUNTA(D:D)*2,IF(MOD(ROW(J705),2)=1,INDEX(D:D,(ROW(J705)+1)/2),INDEX(F:F,ROW(J705)/2)),"")</f>
        <v>0</v>
      </c>
      <c r="K705" s="28">
        <f t="array" ref="K705">IF(ROW(K705)&lt;=COUNTA(E:E)*2,IF(MOD(ROW(K705),2)=1,INDEX(E:E,(ROW(K705)+1)/2),INDEX(G:G,ROW(K705)/2)),"")</f>
        <v>41</v>
      </c>
    </row>
    <row r="706" spans="1:11" x14ac:dyDescent="0.25">
      <c r="A706" s="25"/>
      <c r="B706" s="25"/>
      <c r="J706" s="28">
        <f t="array" ref="J706">IF(ROW(J706)&lt;=COUNTA(D:D)*2,IF(MOD(ROW(J706),2)=1,INDEX(D:D,(ROW(J706)+1)/2),INDEX(F:F,ROW(J706)/2)),"")</f>
        <v>0</v>
      </c>
      <c r="K706" s="28">
        <f t="array" ref="K706">IF(ROW(K706)&lt;=COUNTA(E:E)*2,IF(MOD(ROW(K706),2)=1,INDEX(E:E,(ROW(K706)+1)/2),INDEX(G:G,ROW(K706)/2)),"")</f>
        <v>41</v>
      </c>
    </row>
    <row r="707" spans="1:11" x14ac:dyDescent="0.25">
      <c r="A707" s="25"/>
      <c r="B707" s="25"/>
      <c r="J707" s="28">
        <f t="array" ref="J707">IF(ROW(J707)&lt;=COUNTA(D:D)*2,IF(MOD(ROW(J707),2)=1,INDEX(D:D,(ROW(J707)+1)/2),INDEX(F:F,ROW(J707)/2)),"")</f>
        <v>0</v>
      </c>
      <c r="K707" s="28">
        <f t="array" ref="K707">IF(ROW(K707)&lt;=COUNTA(E:E)*2,IF(MOD(ROW(K707),2)=1,INDEX(E:E,(ROW(K707)+1)/2),INDEX(G:G,ROW(K707)/2)),"")</f>
        <v>41</v>
      </c>
    </row>
    <row r="708" spans="1:11" x14ac:dyDescent="0.25">
      <c r="A708" s="25"/>
      <c r="B708" s="25"/>
      <c r="J708" s="28">
        <f t="array" ref="J708">IF(ROW(J708)&lt;=COUNTA(D:D)*2,IF(MOD(ROW(J708),2)=1,INDEX(D:D,(ROW(J708)+1)/2),INDEX(F:F,ROW(J708)/2)),"")</f>
        <v>0</v>
      </c>
      <c r="K708" s="28">
        <f t="array" ref="K708">IF(ROW(K708)&lt;=COUNTA(E:E)*2,IF(MOD(ROW(K708),2)=1,INDEX(E:E,(ROW(K708)+1)/2),INDEX(G:G,ROW(K708)/2)),"")</f>
        <v>41</v>
      </c>
    </row>
    <row r="709" spans="1:11" x14ac:dyDescent="0.25">
      <c r="A709" s="25"/>
      <c r="B709" s="25"/>
      <c r="J709" s="28">
        <f t="array" ref="J709">IF(ROW(J709)&lt;=COUNTA(D:D)*2,IF(MOD(ROW(J709),2)=1,INDEX(D:D,(ROW(J709)+1)/2),INDEX(F:F,ROW(J709)/2)),"")</f>
        <v>0</v>
      </c>
      <c r="K709" s="28">
        <f t="array" ref="K709">IF(ROW(K709)&lt;=COUNTA(E:E)*2,IF(MOD(ROW(K709),2)=1,INDEX(E:E,(ROW(K709)+1)/2),INDEX(G:G,ROW(K709)/2)),"")</f>
        <v>41</v>
      </c>
    </row>
    <row r="710" spans="1:11" x14ac:dyDescent="0.25">
      <c r="A710" s="25"/>
      <c r="B710" s="25"/>
      <c r="J710" s="28">
        <f t="array" ref="J710">IF(ROW(J710)&lt;=COUNTA(D:D)*2,IF(MOD(ROW(J710),2)=1,INDEX(D:D,(ROW(J710)+1)/2),INDEX(F:F,ROW(J710)/2)),"")</f>
        <v>0</v>
      </c>
      <c r="K710" s="28">
        <f t="array" ref="K710">IF(ROW(K710)&lt;=COUNTA(E:E)*2,IF(MOD(ROW(K710),2)=1,INDEX(E:E,(ROW(K710)+1)/2),INDEX(G:G,ROW(K710)/2)),"")</f>
        <v>41</v>
      </c>
    </row>
    <row r="711" spans="1:11" x14ac:dyDescent="0.25">
      <c r="A711" s="25"/>
      <c r="B711" s="25"/>
      <c r="J711" s="28">
        <f t="array" ref="J711">IF(ROW(J711)&lt;=COUNTA(D:D)*2,IF(MOD(ROW(J711),2)=1,INDEX(D:D,(ROW(J711)+1)/2),INDEX(F:F,ROW(J711)/2)),"")</f>
        <v>0</v>
      </c>
      <c r="K711" s="28">
        <f t="array" ref="K711">IF(ROW(K711)&lt;=COUNTA(E:E)*2,IF(MOD(ROW(K711),2)=1,INDEX(E:E,(ROW(K711)+1)/2),INDEX(G:G,ROW(K711)/2)),"")</f>
        <v>41</v>
      </c>
    </row>
    <row r="712" spans="1:11" x14ac:dyDescent="0.25">
      <c r="A712" s="25"/>
      <c r="B712" s="25"/>
      <c r="J712" s="28">
        <f t="array" ref="J712">IF(ROW(J712)&lt;=COUNTA(D:D)*2,IF(MOD(ROW(J712),2)=1,INDEX(D:D,(ROW(J712)+1)/2),INDEX(F:F,ROW(J712)/2)),"")</f>
        <v>0</v>
      </c>
      <c r="K712" s="28">
        <f t="array" ref="K712">IF(ROW(K712)&lt;=COUNTA(E:E)*2,IF(MOD(ROW(K712),2)=1,INDEX(E:E,(ROW(K712)+1)/2),INDEX(G:G,ROW(K712)/2)),"")</f>
        <v>41</v>
      </c>
    </row>
    <row r="713" spans="1:11" x14ac:dyDescent="0.25">
      <c r="A713" s="25"/>
      <c r="B713" s="25"/>
      <c r="J713" s="28">
        <f t="array" ref="J713">IF(ROW(J713)&lt;=COUNTA(D:D)*2,IF(MOD(ROW(J713),2)=1,INDEX(D:D,(ROW(J713)+1)/2),INDEX(F:F,ROW(J713)/2)),"")</f>
        <v>0</v>
      </c>
      <c r="K713" s="28">
        <f t="array" ref="K713">IF(ROW(K713)&lt;=COUNTA(E:E)*2,IF(MOD(ROW(K713),2)=1,INDEX(E:E,(ROW(K713)+1)/2),INDEX(G:G,ROW(K713)/2)),"")</f>
        <v>41</v>
      </c>
    </row>
    <row r="714" spans="1:11" x14ac:dyDescent="0.25">
      <c r="A714" s="25"/>
      <c r="B714" s="25"/>
      <c r="J714" s="28">
        <f t="array" ref="J714">IF(ROW(J714)&lt;=COUNTA(D:D)*2,IF(MOD(ROW(J714),2)=1,INDEX(D:D,(ROW(J714)+1)/2),INDEX(F:F,ROW(J714)/2)),"")</f>
        <v>0</v>
      </c>
      <c r="K714" s="28">
        <f t="array" ref="K714">IF(ROW(K714)&lt;=COUNTA(E:E)*2,IF(MOD(ROW(K714),2)=1,INDEX(E:E,(ROW(K714)+1)/2),INDEX(G:G,ROW(K714)/2)),"")</f>
        <v>41</v>
      </c>
    </row>
    <row r="715" spans="1:11" x14ac:dyDescent="0.25">
      <c r="A715" s="25"/>
      <c r="B715" s="25"/>
      <c r="J715" s="28">
        <f t="array" ref="J715">IF(ROW(J715)&lt;=COUNTA(D:D)*2,IF(MOD(ROW(J715),2)=1,INDEX(D:D,(ROW(J715)+1)/2),INDEX(F:F,ROW(J715)/2)),"")</f>
        <v>0</v>
      </c>
      <c r="K715" s="28">
        <f t="array" ref="K715">IF(ROW(K715)&lt;=COUNTA(E:E)*2,IF(MOD(ROW(K715),2)=1,INDEX(E:E,(ROW(K715)+1)/2),INDEX(G:G,ROW(K715)/2)),"")</f>
        <v>41</v>
      </c>
    </row>
    <row r="716" spans="1:11" x14ac:dyDescent="0.25">
      <c r="A716" s="25"/>
      <c r="B716" s="25"/>
      <c r="J716" s="28">
        <f t="array" ref="J716">IF(ROW(J716)&lt;=COUNTA(D:D)*2,IF(MOD(ROW(J716),2)=1,INDEX(D:D,(ROW(J716)+1)/2),INDEX(F:F,ROW(J716)/2)),"")</f>
        <v>0</v>
      </c>
      <c r="K716" s="28">
        <f t="array" ref="K716">IF(ROW(K716)&lt;=COUNTA(E:E)*2,IF(MOD(ROW(K716),2)=1,INDEX(E:E,(ROW(K716)+1)/2),INDEX(G:G,ROW(K716)/2)),"")</f>
        <v>41</v>
      </c>
    </row>
    <row r="717" spans="1:11" x14ac:dyDescent="0.25">
      <c r="A717" s="25"/>
      <c r="B717" s="25"/>
      <c r="J717" s="28">
        <f t="array" ref="J717">IF(ROW(J717)&lt;=COUNTA(D:D)*2,IF(MOD(ROW(J717),2)=1,INDEX(D:D,(ROW(J717)+1)/2),INDEX(F:F,ROW(J717)/2)),"")</f>
        <v>0</v>
      </c>
      <c r="K717" s="28">
        <f t="array" ref="K717">IF(ROW(K717)&lt;=COUNTA(E:E)*2,IF(MOD(ROW(K717),2)=1,INDEX(E:E,(ROW(K717)+1)/2),INDEX(G:G,ROW(K717)/2)),"")</f>
        <v>41</v>
      </c>
    </row>
    <row r="718" spans="1:11" x14ac:dyDescent="0.25">
      <c r="A718" s="25"/>
      <c r="B718" s="25"/>
      <c r="J718" s="28">
        <f t="array" ref="J718">IF(ROW(J718)&lt;=COUNTA(D:D)*2,IF(MOD(ROW(J718),2)=1,INDEX(D:D,(ROW(J718)+1)/2),INDEX(F:F,ROW(J718)/2)),"")</f>
        <v>0</v>
      </c>
      <c r="K718" s="28">
        <f t="array" ref="K718">IF(ROW(K718)&lt;=COUNTA(E:E)*2,IF(MOD(ROW(K718),2)=1,INDEX(E:E,(ROW(K718)+1)/2),INDEX(G:G,ROW(K718)/2)),"")</f>
        <v>41</v>
      </c>
    </row>
    <row r="719" spans="1:11" x14ac:dyDescent="0.25">
      <c r="A719" s="25"/>
      <c r="B719" s="25"/>
      <c r="J719" s="28">
        <f t="array" ref="J719">IF(ROW(J719)&lt;=COUNTA(D:D)*2,IF(MOD(ROW(J719),2)=1,INDEX(D:D,(ROW(J719)+1)/2),INDEX(F:F,ROW(J719)/2)),"")</f>
        <v>0</v>
      </c>
      <c r="K719" s="28">
        <f t="array" ref="K719">IF(ROW(K719)&lt;=COUNTA(E:E)*2,IF(MOD(ROW(K719),2)=1,INDEX(E:E,(ROW(K719)+1)/2),INDEX(G:G,ROW(K719)/2)),"")</f>
        <v>41</v>
      </c>
    </row>
    <row r="720" spans="1:11" x14ac:dyDescent="0.25">
      <c r="A720" s="25"/>
      <c r="B720" s="25"/>
      <c r="J720" s="28">
        <f t="array" ref="J720">IF(ROW(J720)&lt;=COUNTA(D:D)*2,IF(MOD(ROW(J720),2)=1,INDEX(D:D,(ROW(J720)+1)/2),INDEX(F:F,ROW(J720)/2)),"")</f>
        <v>0</v>
      </c>
      <c r="K720" s="28">
        <f t="array" ref="K720">IF(ROW(K720)&lt;=COUNTA(E:E)*2,IF(MOD(ROW(K720),2)=1,INDEX(E:E,(ROW(K720)+1)/2),INDEX(G:G,ROW(K720)/2)),"")</f>
        <v>41</v>
      </c>
    </row>
    <row r="721" spans="1:11" x14ac:dyDescent="0.25">
      <c r="A721" s="25"/>
      <c r="B721" s="25"/>
      <c r="J721" s="28">
        <f t="array" ref="J721">IF(ROW(J721)&lt;=COUNTA(D:D)*2,IF(MOD(ROW(J721),2)=1,INDEX(D:D,(ROW(J721)+1)/2),INDEX(F:F,ROW(J721)/2)),"")</f>
        <v>0</v>
      </c>
      <c r="K721" s="28">
        <f t="array" ref="K721">IF(ROW(K721)&lt;=COUNTA(E:E)*2,IF(MOD(ROW(K721),2)=1,INDEX(E:E,(ROW(K721)+1)/2),INDEX(G:G,ROW(K721)/2)),"")</f>
        <v>41</v>
      </c>
    </row>
    <row r="722" spans="1:11" x14ac:dyDescent="0.25">
      <c r="A722" s="25"/>
      <c r="B722" s="25"/>
      <c r="J722" s="28">
        <f t="array" ref="J722">IF(ROW(J722)&lt;=COUNTA(D:D)*2,IF(MOD(ROW(J722),2)=1,INDEX(D:D,(ROW(J722)+1)/2),INDEX(F:F,ROW(J722)/2)),"")</f>
        <v>0</v>
      </c>
      <c r="K722" s="28">
        <f t="array" ref="K722">IF(ROW(K722)&lt;=COUNTA(E:E)*2,IF(MOD(ROW(K722),2)=1,INDEX(E:E,(ROW(K722)+1)/2),INDEX(G:G,ROW(K722)/2)),"")</f>
        <v>41</v>
      </c>
    </row>
    <row r="723" spans="1:11" x14ac:dyDescent="0.25">
      <c r="A723" s="25"/>
      <c r="B723" s="25"/>
      <c r="J723" s="28">
        <f t="array" ref="J723">IF(ROW(J723)&lt;=COUNTA(D:D)*2,IF(MOD(ROW(J723),2)=1,INDEX(D:D,(ROW(J723)+1)/2),INDEX(F:F,ROW(J723)/2)),"")</f>
        <v>0</v>
      </c>
      <c r="K723" s="28">
        <f t="array" ref="K723">IF(ROW(K723)&lt;=COUNTA(E:E)*2,IF(MOD(ROW(K723),2)=1,INDEX(E:E,(ROW(K723)+1)/2),INDEX(G:G,ROW(K723)/2)),"")</f>
        <v>41</v>
      </c>
    </row>
    <row r="724" spans="1:11" x14ac:dyDescent="0.25">
      <c r="A724" s="25"/>
      <c r="B724" s="25"/>
      <c r="J724" s="28">
        <f t="array" ref="J724">IF(ROW(J724)&lt;=COUNTA(D:D)*2,IF(MOD(ROW(J724),2)=1,INDEX(D:D,(ROW(J724)+1)/2),INDEX(F:F,ROW(J724)/2)),"")</f>
        <v>0</v>
      </c>
      <c r="K724" s="28">
        <f t="array" ref="K724">IF(ROW(K724)&lt;=COUNTA(E:E)*2,IF(MOD(ROW(K724),2)=1,INDEX(E:E,(ROW(K724)+1)/2),INDEX(G:G,ROW(K724)/2)),"")</f>
        <v>41</v>
      </c>
    </row>
    <row r="725" spans="1:11" x14ac:dyDescent="0.25">
      <c r="A725" s="25"/>
      <c r="B725" s="25"/>
      <c r="J725" s="28">
        <f t="array" ref="J725">IF(ROW(J725)&lt;=COUNTA(D:D)*2,IF(MOD(ROW(J725),2)=1,INDEX(D:D,(ROW(J725)+1)/2),INDEX(F:F,ROW(J725)/2)),"")</f>
        <v>0</v>
      </c>
      <c r="K725" s="28">
        <f t="array" ref="K725">IF(ROW(K725)&lt;=COUNTA(E:E)*2,IF(MOD(ROW(K725),2)=1,INDEX(E:E,(ROW(K725)+1)/2),INDEX(G:G,ROW(K725)/2)),"")</f>
        <v>41</v>
      </c>
    </row>
    <row r="726" spans="1:11" x14ac:dyDescent="0.25">
      <c r="A726" s="25"/>
      <c r="B726" s="25"/>
      <c r="J726" s="28">
        <f t="array" ref="J726">IF(ROW(J726)&lt;=COUNTA(D:D)*2,IF(MOD(ROW(J726),2)=1,INDEX(D:D,(ROW(J726)+1)/2),INDEX(F:F,ROW(J726)/2)),"")</f>
        <v>0</v>
      </c>
      <c r="K726" s="28">
        <f t="array" ref="K726">IF(ROW(K726)&lt;=COUNTA(E:E)*2,IF(MOD(ROW(K726),2)=1,INDEX(E:E,(ROW(K726)+1)/2),INDEX(G:G,ROW(K726)/2)),"")</f>
        <v>41</v>
      </c>
    </row>
    <row r="727" spans="1:11" x14ac:dyDescent="0.25">
      <c r="A727" s="25"/>
      <c r="B727" s="25"/>
      <c r="J727" s="28">
        <f t="array" ref="J727">IF(ROW(J727)&lt;=COUNTA(D:D)*2,IF(MOD(ROW(J727),2)=1,INDEX(D:D,(ROW(J727)+1)/2),INDEX(F:F,ROW(J727)/2)),"")</f>
        <v>0</v>
      </c>
      <c r="K727" s="28">
        <f t="array" ref="K727">IF(ROW(K727)&lt;=COUNTA(E:E)*2,IF(MOD(ROW(K727),2)=1,INDEX(E:E,(ROW(K727)+1)/2),INDEX(G:G,ROW(K727)/2)),"")</f>
        <v>41</v>
      </c>
    </row>
    <row r="728" spans="1:11" x14ac:dyDescent="0.25">
      <c r="A728" s="25"/>
      <c r="B728" s="25"/>
      <c r="J728" s="28">
        <f t="array" ref="J728">IF(ROW(J728)&lt;=COUNTA(D:D)*2,IF(MOD(ROW(J728),2)=1,INDEX(D:D,(ROW(J728)+1)/2),INDEX(F:F,ROW(J728)/2)),"")</f>
        <v>0</v>
      </c>
      <c r="K728" s="28">
        <f t="array" ref="K728">IF(ROW(K728)&lt;=COUNTA(E:E)*2,IF(MOD(ROW(K728),2)=1,INDEX(E:E,(ROW(K728)+1)/2),INDEX(G:G,ROW(K728)/2)),"")</f>
        <v>41</v>
      </c>
    </row>
    <row r="729" spans="1:11" x14ac:dyDescent="0.25">
      <c r="A729" s="25"/>
      <c r="B729" s="25"/>
      <c r="J729" s="28">
        <f t="array" ref="J729">IF(ROW(J729)&lt;=COUNTA(D:D)*2,IF(MOD(ROW(J729),2)=1,INDEX(D:D,(ROW(J729)+1)/2),INDEX(F:F,ROW(J729)/2)),"")</f>
        <v>0</v>
      </c>
      <c r="K729" s="28">
        <f t="array" ref="K729">IF(ROW(K729)&lt;=COUNTA(E:E)*2,IF(MOD(ROW(K729),2)=1,INDEX(E:E,(ROW(K729)+1)/2),INDEX(G:G,ROW(K729)/2)),"")</f>
        <v>41</v>
      </c>
    </row>
    <row r="730" spans="1:11" x14ac:dyDescent="0.25">
      <c r="A730" s="25"/>
      <c r="B730" s="25"/>
      <c r="J730" s="28">
        <f t="array" ref="J730">IF(ROW(J730)&lt;=COUNTA(D:D)*2,IF(MOD(ROW(J730),2)=1,INDEX(D:D,(ROW(J730)+1)/2),INDEX(F:F,ROW(J730)/2)),"")</f>
        <v>0</v>
      </c>
      <c r="K730" s="28">
        <f t="array" ref="K730">IF(ROW(K730)&lt;=COUNTA(E:E)*2,IF(MOD(ROW(K730),2)=1,INDEX(E:E,(ROW(K730)+1)/2),INDEX(G:G,ROW(K730)/2)),"")</f>
        <v>41</v>
      </c>
    </row>
    <row r="731" spans="1:11" x14ac:dyDescent="0.25">
      <c r="A731" s="25"/>
      <c r="B731" s="25"/>
      <c r="J731" s="28">
        <f t="array" ref="J731">IF(ROW(J731)&lt;=COUNTA(D:D)*2,IF(MOD(ROW(J731),2)=1,INDEX(D:D,(ROW(J731)+1)/2),INDEX(F:F,ROW(J731)/2)),"")</f>
        <v>0</v>
      </c>
      <c r="K731" s="28">
        <f t="array" ref="K731">IF(ROW(K731)&lt;=COUNTA(E:E)*2,IF(MOD(ROW(K731),2)=1,INDEX(E:E,(ROW(K731)+1)/2),INDEX(G:G,ROW(K731)/2)),"")</f>
        <v>41</v>
      </c>
    </row>
    <row r="732" spans="1:11" x14ac:dyDescent="0.25">
      <c r="A732" s="25"/>
      <c r="B732" s="25"/>
      <c r="J732" s="28">
        <f t="array" ref="J732">IF(ROW(J732)&lt;=COUNTA(D:D)*2,IF(MOD(ROW(J732),2)=1,INDEX(D:D,(ROW(J732)+1)/2),INDEX(F:F,ROW(J732)/2)),"")</f>
        <v>0</v>
      </c>
      <c r="K732" s="28">
        <f t="array" ref="K732">IF(ROW(K732)&lt;=COUNTA(E:E)*2,IF(MOD(ROW(K732),2)=1,INDEX(E:E,(ROW(K732)+1)/2),INDEX(G:G,ROW(K732)/2)),"")</f>
        <v>41</v>
      </c>
    </row>
    <row r="733" spans="1:11" x14ac:dyDescent="0.25">
      <c r="A733" s="25"/>
      <c r="B733" s="25"/>
      <c r="J733" s="28">
        <f t="array" ref="J733">IF(ROW(J733)&lt;=COUNTA(D:D)*2,IF(MOD(ROW(J733),2)=1,INDEX(D:D,(ROW(J733)+1)/2),INDEX(F:F,ROW(J733)/2)),"")</f>
        <v>0</v>
      </c>
      <c r="K733" s="28">
        <f t="array" ref="K733">IF(ROW(K733)&lt;=COUNTA(E:E)*2,IF(MOD(ROW(K733),2)=1,INDEX(E:E,(ROW(K733)+1)/2),INDEX(G:G,ROW(K733)/2)),"")</f>
        <v>41</v>
      </c>
    </row>
    <row r="734" spans="1:11" x14ac:dyDescent="0.25">
      <c r="A734" s="25"/>
      <c r="B734" s="25"/>
      <c r="J734" s="28">
        <f t="array" ref="J734">IF(ROW(J734)&lt;=COUNTA(D:D)*2,IF(MOD(ROW(J734),2)=1,INDEX(D:D,(ROW(J734)+1)/2),INDEX(F:F,ROW(J734)/2)),"")</f>
        <v>0</v>
      </c>
      <c r="K734" s="28">
        <f t="array" ref="K734">IF(ROW(K734)&lt;=COUNTA(E:E)*2,IF(MOD(ROW(K734),2)=1,INDEX(E:E,(ROW(K734)+1)/2),INDEX(G:G,ROW(K734)/2)),"")</f>
        <v>41</v>
      </c>
    </row>
    <row r="735" spans="1:11" x14ac:dyDescent="0.25">
      <c r="A735" s="25"/>
      <c r="B735" s="25"/>
      <c r="J735" s="28">
        <f t="array" ref="J735">IF(ROW(J735)&lt;=COUNTA(D:D)*2,IF(MOD(ROW(J735),2)=1,INDEX(D:D,(ROW(J735)+1)/2),INDEX(F:F,ROW(J735)/2)),"")</f>
        <v>0</v>
      </c>
      <c r="K735" s="28">
        <f t="array" ref="K735">IF(ROW(K735)&lt;=COUNTA(E:E)*2,IF(MOD(ROW(K735),2)=1,INDEX(E:E,(ROW(K735)+1)/2),INDEX(G:G,ROW(K735)/2)),"")</f>
        <v>41</v>
      </c>
    </row>
    <row r="736" spans="1:11" x14ac:dyDescent="0.25">
      <c r="A736" s="25"/>
      <c r="B736" s="25"/>
      <c r="J736" s="28">
        <f t="array" ref="J736">IF(ROW(J736)&lt;=COUNTA(D:D)*2,IF(MOD(ROW(J736),2)=1,INDEX(D:D,(ROW(J736)+1)/2),INDEX(F:F,ROW(J736)/2)),"")</f>
        <v>0</v>
      </c>
      <c r="K736" s="28">
        <f t="array" ref="K736">IF(ROW(K736)&lt;=COUNTA(E:E)*2,IF(MOD(ROW(K736),2)=1,INDEX(E:E,(ROW(K736)+1)/2),INDEX(G:G,ROW(K736)/2)),"")</f>
        <v>41</v>
      </c>
    </row>
    <row r="737" spans="1:11" x14ac:dyDescent="0.25">
      <c r="A737" s="25"/>
      <c r="B737" s="25"/>
      <c r="J737" s="28">
        <f t="array" ref="J737">IF(ROW(J737)&lt;=COUNTA(D:D)*2,IF(MOD(ROW(J737),2)=1,INDEX(D:D,(ROW(J737)+1)/2),INDEX(F:F,ROW(J737)/2)),"")</f>
        <v>0</v>
      </c>
      <c r="K737" s="28">
        <f t="array" ref="K737">IF(ROW(K737)&lt;=COUNTA(E:E)*2,IF(MOD(ROW(K737),2)=1,INDEX(E:E,(ROW(K737)+1)/2),INDEX(G:G,ROW(K737)/2)),"")</f>
        <v>41</v>
      </c>
    </row>
    <row r="738" spans="1:11" x14ac:dyDescent="0.25">
      <c r="A738" s="25"/>
      <c r="B738" s="25"/>
      <c r="J738" s="28">
        <f t="array" ref="J738">IF(ROW(J738)&lt;=COUNTA(D:D)*2,IF(MOD(ROW(J738),2)=1,INDEX(D:D,(ROW(J738)+1)/2),INDEX(F:F,ROW(J738)/2)),"")</f>
        <v>0</v>
      </c>
      <c r="K738" s="28">
        <f t="array" ref="K738">IF(ROW(K738)&lt;=COUNTA(E:E)*2,IF(MOD(ROW(K738),2)=1,INDEX(E:E,(ROW(K738)+1)/2),INDEX(G:G,ROW(K738)/2)),"")</f>
        <v>41</v>
      </c>
    </row>
    <row r="739" spans="1:11" x14ac:dyDescent="0.25">
      <c r="A739" s="25"/>
      <c r="B739" s="25"/>
      <c r="J739" s="28">
        <f t="array" ref="J739">IF(ROW(J739)&lt;=COUNTA(D:D)*2,IF(MOD(ROW(J739),2)=1,INDEX(D:D,(ROW(J739)+1)/2),INDEX(F:F,ROW(J739)/2)),"")</f>
        <v>0</v>
      </c>
      <c r="K739" s="28">
        <f t="array" ref="K739">IF(ROW(K739)&lt;=COUNTA(E:E)*2,IF(MOD(ROW(K739),2)=1,INDEX(E:E,(ROW(K739)+1)/2),INDEX(G:G,ROW(K739)/2)),"")</f>
        <v>41</v>
      </c>
    </row>
    <row r="740" spans="1:11" x14ac:dyDescent="0.25">
      <c r="A740" s="25"/>
      <c r="B740" s="25"/>
      <c r="J740" s="28">
        <f t="array" ref="J740">IF(ROW(J740)&lt;=COUNTA(D:D)*2,IF(MOD(ROW(J740),2)=1,INDEX(D:D,(ROW(J740)+1)/2),INDEX(F:F,ROW(J740)/2)),"")</f>
        <v>0</v>
      </c>
      <c r="K740" s="28">
        <f t="array" ref="K740">IF(ROW(K740)&lt;=COUNTA(E:E)*2,IF(MOD(ROW(K740),2)=1,INDEX(E:E,(ROW(K740)+1)/2),INDEX(G:G,ROW(K740)/2)),"")</f>
        <v>41</v>
      </c>
    </row>
    <row r="741" spans="1:11" x14ac:dyDescent="0.25">
      <c r="A741" s="25"/>
      <c r="B741" s="25"/>
      <c r="J741" s="28">
        <f t="array" ref="J741">IF(ROW(J741)&lt;=COUNTA(D:D)*2,IF(MOD(ROW(J741),2)=1,INDEX(D:D,(ROW(J741)+1)/2),INDEX(F:F,ROW(J741)/2)),"")</f>
        <v>0</v>
      </c>
      <c r="K741" s="28">
        <f t="array" ref="K741">IF(ROW(K741)&lt;=COUNTA(E:E)*2,IF(MOD(ROW(K741),2)=1,INDEX(E:E,(ROW(K741)+1)/2),INDEX(G:G,ROW(K741)/2)),"")</f>
        <v>41</v>
      </c>
    </row>
    <row r="742" spans="1:11" x14ac:dyDescent="0.25">
      <c r="A742" s="25"/>
      <c r="B742" s="25"/>
      <c r="J742" s="28">
        <f t="array" ref="J742">IF(ROW(J742)&lt;=COUNTA(D:D)*2,IF(MOD(ROW(J742),2)=1,INDEX(D:D,(ROW(J742)+1)/2),INDEX(F:F,ROW(J742)/2)),"")</f>
        <v>0</v>
      </c>
      <c r="K742" s="28">
        <f t="array" ref="K742">IF(ROW(K742)&lt;=COUNTA(E:E)*2,IF(MOD(ROW(K742),2)=1,INDEX(E:E,(ROW(K742)+1)/2),INDEX(G:G,ROW(K742)/2)),"")</f>
        <v>41</v>
      </c>
    </row>
    <row r="743" spans="1:11" x14ac:dyDescent="0.25">
      <c r="A743" s="25"/>
      <c r="B743" s="25"/>
      <c r="J743" s="28">
        <f t="array" ref="J743">IF(ROW(J743)&lt;=COUNTA(D:D)*2,IF(MOD(ROW(J743),2)=1,INDEX(D:D,(ROW(J743)+1)/2),INDEX(F:F,ROW(J743)/2)),"")</f>
        <v>0</v>
      </c>
      <c r="K743" s="28">
        <f t="array" ref="K743">IF(ROW(K743)&lt;=COUNTA(E:E)*2,IF(MOD(ROW(K743),2)=1,INDEX(E:E,(ROW(K743)+1)/2),INDEX(G:G,ROW(K743)/2)),"")</f>
        <v>41</v>
      </c>
    </row>
    <row r="744" spans="1:11" x14ac:dyDescent="0.25">
      <c r="A744" s="25"/>
      <c r="B744" s="25"/>
      <c r="J744" s="28">
        <f t="array" ref="J744">IF(ROW(J744)&lt;=COUNTA(D:D)*2,IF(MOD(ROW(J744),2)=1,INDEX(D:D,(ROW(J744)+1)/2),INDEX(F:F,ROW(J744)/2)),"")</f>
        <v>0</v>
      </c>
      <c r="K744" s="28">
        <f t="array" ref="K744">IF(ROW(K744)&lt;=COUNTA(E:E)*2,IF(MOD(ROW(K744),2)=1,INDEX(E:E,(ROW(K744)+1)/2),INDEX(G:G,ROW(K744)/2)),"")</f>
        <v>41</v>
      </c>
    </row>
    <row r="745" spans="1:11" x14ac:dyDescent="0.25">
      <c r="A745" s="25"/>
      <c r="B745" s="25"/>
      <c r="J745" s="28">
        <f t="array" ref="J745">IF(ROW(J745)&lt;=COUNTA(D:D)*2,IF(MOD(ROW(J745),2)=1,INDEX(D:D,(ROW(J745)+1)/2),INDEX(F:F,ROW(J745)/2)),"")</f>
        <v>0</v>
      </c>
      <c r="K745" s="28">
        <f t="array" ref="K745">IF(ROW(K745)&lt;=COUNTA(E:E)*2,IF(MOD(ROW(K745),2)=1,INDEX(E:E,(ROW(K745)+1)/2),INDEX(G:G,ROW(K745)/2)),"")</f>
        <v>41</v>
      </c>
    </row>
    <row r="746" spans="1:11" x14ac:dyDescent="0.25">
      <c r="A746" s="25"/>
      <c r="B746" s="25"/>
      <c r="J746" s="28">
        <f t="array" ref="J746">IF(ROW(J746)&lt;=COUNTA(D:D)*2,IF(MOD(ROW(J746),2)=1,INDEX(D:D,(ROW(J746)+1)/2),INDEX(F:F,ROW(J746)/2)),"")</f>
        <v>0</v>
      </c>
      <c r="K746" s="28">
        <f t="array" ref="K746">IF(ROW(K746)&lt;=COUNTA(E:E)*2,IF(MOD(ROW(K746),2)=1,INDEX(E:E,(ROW(K746)+1)/2),INDEX(G:G,ROW(K746)/2)),"")</f>
        <v>41</v>
      </c>
    </row>
    <row r="747" spans="1:11" x14ac:dyDescent="0.25">
      <c r="A747" s="25"/>
      <c r="B747" s="25"/>
      <c r="J747" s="28">
        <f t="array" ref="J747">IF(ROW(J747)&lt;=COUNTA(D:D)*2,IF(MOD(ROW(J747),2)=1,INDEX(D:D,(ROW(J747)+1)/2),INDEX(F:F,ROW(J747)/2)),"")</f>
        <v>0</v>
      </c>
      <c r="K747" s="28">
        <f t="array" ref="K747">IF(ROW(K747)&lt;=COUNTA(E:E)*2,IF(MOD(ROW(K747),2)=1,INDEX(E:E,(ROW(K747)+1)/2),INDEX(G:G,ROW(K747)/2)),"")</f>
        <v>41</v>
      </c>
    </row>
    <row r="748" spans="1:11" x14ac:dyDescent="0.25">
      <c r="A748" s="25"/>
      <c r="B748" s="25"/>
      <c r="J748" s="28">
        <f t="array" ref="J748">IF(ROW(J748)&lt;=COUNTA(D:D)*2,IF(MOD(ROW(J748),2)=1,INDEX(D:D,(ROW(J748)+1)/2),INDEX(F:F,ROW(J748)/2)),"")</f>
        <v>0</v>
      </c>
      <c r="K748" s="28">
        <f t="array" ref="K748">IF(ROW(K748)&lt;=COUNTA(E:E)*2,IF(MOD(ROW(K748),2)=1,INDEX(E:E,(ROW(K748)+1)/2),INDEX(G:G,ROW(K748)/2)),"")</f>
        <v>41</v>
      </c>
    </row>
    <row r="749" spans="1:11" x14ac:dyDescent="0.25">
      <c r="A749" s="25"/>
      <c r="B749" s="25"/>
      <c r="J749" s="28">
        <f t="array" ref="J749">IF(ROW(J749)&lt;=COUNTA(D:D)*2,IF(MOD(ROW(J749),2)=1,INDEX(D:D,(ROW(J749)+1)/2),INDEX(F:F,ROW(J749)/2)),"")</f>
        <v>0</v>
      </c>
      <c r="K749" s="28">
        <f t="array" ref="K749">IF(ROW(K749)&lt;=COUNTA(E:E)*2,IF(MOD(ROW(K749),2)=1,INDEX(E:E,(ROW(K749)+1)/2),INDEX(G:G,ROW(K749)/2)),"")</f>
        <v>41</v>
      </c>
    </row>
    <row r="750" spans="1:11" x14ac:dyDescent="0.25">
      <c r="A750" s="25"/>
      <c r="B750" s="25"/>
      <c r="J750" s="28">
        <f t="array" ref="J750">IF(ROW(J750)&lt;=COUNTA(D:D)*2,IF(MOD(ROW(J750),2)=1,INDEX(D:D,(ROW(J750)+1)/2),INDEX(F:F,ROW(J750)/2)),"")</f>
        <v>0</v>
      </c>
      <c r="K750" s="28">
        <f t="array" ref="K750">IF(ROW(K750)&lt;=COUNTA(E:E)*2,IF(MOD(ROW(K750),2)=1,INDEX(E:E,(ROW(K750)+1)/2),INDEX(G:G,ROW(K750)/2)),"")</f>
        <v>41</v>
      </c>
    </row>
    <row r="751" spans="1:11" x14ac:dyDescent="0.25">
      <c r="A751" s="25"/>
      <c r="B751" s="25"/>
      <c r="J751" s="28">
        <f t="array" ref="J751">IF(ROW(J751)&lt;=COUNTA(D:D)*2,IF(MOD(ROW(J751),2)=1,INDEX(D:D,(ROW(J751)+1)/2),INDEX(F:F,ROW(J751)/2)),"")</f>
        <v>0</v>
      </c>
      <c r="K751" s="28">
        <f t="array" ref="K751">IF(ROW(K751)&lt;=COUNTA(E:E)*2,IF(MOD(ROW(K751),2)=1,INDEX(E:E,(ROW(K751)+1)/2),INDEX(G:G,ROW(K751)/2)),"")</f>
        <v>41</v>
      </c>
    </row>
    <row r="752" spans="1:11" x14ac:dyDescent="0.25">
      <c r="A752" s="25"/>
      <c r="B752" s="25"/>
      <c r="J752" s="28">
        <f t="array" ref="J752">IF(ROW(J752)&lt;=COUNTA(D:D)*2,IF(MOD(ROW(J752),2)=1,INDEX(D:D,(ROW(J752)+1)/2),INDEX(F:F,ROW(J752)/2)),"")</f>
        <v>0</v>
      </c>
      <c r="K752" s="28">
        <f t="array" ref="K752">IF(ROW(K752)&lt;=COUNTA(E:E)*2,IF(MOD(ROW(K752),2)=1,INDEX(E:E,(ROW(K752)+1)/2),INDEX(G:G,ROW(K752)/2)),"")</f>
        <v>41</v>
      </c>
    </row>
    <row r="753" spans="1:11" x14ac:dyDescent="0.25">
      <c r="A753" s="25"/>
      <c r="B753" s="25"/>
      <c r="J753" s="28">
        <f t="array" ref="J753">IF(ROW(J753)&lt;=COUNTA(D:D)*2,IF(MOD(ROW(J753),2)=1,INDEX(D:D,(ROW(J753)+1)/2),INDEX(F:F,ROW(J753)/2)),"")</f>
        <v>0</v>
      </c>
      <c r="K753" s="28">
        <f t="array" ref="K753">IF(ROW(K753)&lt;=COUNTA(E:E)*2,IF(MOD(ROW(K753),2)=1,INDEX(E:E,(ROW(K753)+1)/2),INDEX(G:G,ROW(K753)/2)),"")</f>
        <v>41</v>
      </c>
    </row>
    <row r="754" spans="1:11" x14ac:dyDescent="0.25">
      <c r="A754" s="25"/>
      <c r="B754" s="25"/>
      <c r="J754" s="28">
        <f t="array" ref="J754">IF(ROW(J754)&lt;=COUNTA(D:D)*2,IF(MOD(ROW(J754),2)=1,INDEX(D:D,(ROW(J754)+1)/2),INDEX(F:F,ROW(J754)/2)),"")</f>
        <v>0</v>
      </c>
      <c r="K754" s="28">
        <f t="array" ref="K754">IF(ROW(K754)&lt;=COUNTA(E:E)*2,IF(MOD(ROW(K754),2)=1,INDEX(E:E,(ROW(K754)+1)/2),INDEX(G:G,ROW(K754)/2)),"")</f>
        <v>41</v>
      </c>
    </row>
    <row r="755" spans="1:11" x14ac:dyDescent="0.25">
      <c r="A755" s="25"/>
      <c r="B755" s="25"/>
      <c r="J755" s="28">
        <f t="array" ref="J755">IF(ROW(J755)&lt;=COUNTA(D:D)*2,IF(MOD(ROW(J755),2)=1,INDEX(D:D,(ROW(J755)+1)/2),INDEX(F:F,ROW(J755)/2)),"")</f>
        <v>0</v>
      </c>
      <c r="K755" s="28">
        <f t="array" ref="K755">IF(ROW(K755)&lt;=COUNTA(E:E)*2,IF(MOD(ROW(K755),2)=1,INDEX(E:E,(ROW(K755)+1)/2),INDEX(G:G,ROW(K755)/2)),"")</f>
        <v>41</v>
      </c>
    </row>
    <row r="756" spans="1:11" x14ac:dyDescent="0.25">
      <c r="A756" s="25"/>
      <c r="B756" s="25"/>
      <c r="J756" s="28">
        <f t="array" ref="J756">IF(ROW(J756)&lt;=COUNTA(D:D)*2,IF(MOD(ROW(J756),2)=1,INDEX(D:D,(ROW(J756)+1)/2),INDEX(F:F,ROW(J756)/2)),"")</f>
        <v>0</v>
      </c>
      <c r="K756" s="28">
        <f t="array" ref="K756">IF(ROW(K756)&lt;=COUNTA(E:E)*2,IF(MOD(ROW(K756),2)=1,INDEX(E:E,(ROW(K756)+1)/2),INDEX(G:G,ROW(K756)/2)),"")</f>
        <v>41</v>
      </c>
    </row>
    <row r="757" spans="1:11" x14ac:dyDescent="0.25">
      <c r="A757" s="25"/>
      <c r="B757" s="25"/>
      <c r="J757" s="28">
        <f t="array" ref="J757">IF(ROW(J757)&lt;=COUNTA(D:D)*2,IF(MOD(ROW(J757),2)=1,INDEX(D:D,(ROW(J757)+1)/2),INDEX(F:F,ROW(J757)/2)),"")</f>
        <v>0</v>
      </c>
      <c r="K757" s="28">
        <f t="array" ref="K757">IF(ROW(K757)&lt;=COUNTA(E:E)*2,IF(MOD(ROW(K757),2)=1,INDEX(E:E,(ROW(K757)+1)/2),INDEX(G:G,ROW(K757)/2)),"")</f>
        <v>41</v>
      </c>
    </row>
    <row r="758" spans="1:11" x14ac:dyDescent="0.25">
      <c r="A758" s="25"/>
      <c r="B758" s="25"/>
      <c r="J758" s="28">
        <f t="array" ref="J758">IF(ROW(J758)&lt;=COUNTA(D:D)*2,IF(MOD(ROW(J758),2)=1,INDEX(D:D,(ROW(J758)+1)/2),INDEX(F:F,ROW(J758)/2)),"")</f>
        <v>0</v>
      </c>
      <c r="K758" s="28">
        <f t="array" ref="K758">IF(ROW(K758)&lt;=COUNTA(E:E)*2,IF(MOD(ROW(K758),2)=1,INDEX(E:E,(ROW(K758)+1)/2),INDEX(G:G,ROW(K758)/2)),"")</f>
        <v>41</v>
      </c>
    </row>
    <row r="759" spans="1:11" x14ac:dyDescent="0.25">
      <c r="A759" s="25"/>
      <c r="B759" s="25"/>
      <c r="J759" s="28">
        <f t="array" ref="J759">IF(ROW(J759)&lt;=COUNTA(D:D)*2,IF(MOD(ROW(J759),2)=1,INDEX(D:D,(ROW(J759)+1)/2),INDEX(F:F,ROW(J759)/2)),"")</f>
        <v>0</v>
      </c>
      <c r="K759" s="28">
        <f t="array" ref="K759">IF(ROW(K759)&lt;=COUNTA(E:E)*2,IF(MOD(ROW(K759),2)=1,INDEX(E:E,(ROW(K759)+1)/2),INDEX(G:G,ROW(K759)/2)),"")</f>
        <v>41</v>
      </c>
    </row>
    <row r="760" spans="1:11" x14ac:dyDescent="0.25">
      <c r="A760" s="25"/>
      <c r="B760" s="25"/>
      <c r="J760" s="28">
        <f t="array" ref="J760">IF(ROW(J760)&lt;=COUNTA(D:D)*2,IF(MOD(ROW(J760),2)=1,INDEX(D:D,(ROW(J760)+1)/2),INDEX(F:F,ROW(J760)/2)),"")</f>
        <v>0</v>
      </c>
      <c r="K760" s="28">
        <f t="array" ref="K760">IF(ROW(K760)&lt;=COUNTA(E:E)*2,IF(MOD(ROW(K760),2)=1,INDEX(E:E,(ROW(K760)+1)/2),INDEX(G:G,ROW(K760)/2)),"")</f>
        <v>41</v>
      </c>
    </row>
    <row r="761" spans="1:11" x14ac:dyDescent="0.25">
      <c r="A761" s="25"/>
      <c r="B761" s="25"/>
      <c r="J761" s="28">
        <f t="array" ref="J761">IF(ROW(J761)&lt;=COUNTA(D:D)*2,IF(MOD(ROW(J761),2)=1,INDEX(D:D,(ROW(J761)+1)/2),INDEX(F:F,ROW(J761)/2)),"")</f>
        <v>0</v>
      </c>
      <c r="K761" s="28">
        <f t="array" ref="K761">IF(ROW(K761)&lt;=COUNTA(E:E)*2,IF(MOD(ROW(K761),2)=1,INDEX(E:E,(ROW(K761)+1)/2),INDEX(G:G,ROW(K761)/2)),"")</f>
        <v>41</v>
      </c>
    </row>
    <row r="762" spans="1:11" x14ac:dyDescent="0.25">
      <c r="A762" s="25"/>
      <c r="B762" s="25"/>
      <c r="J762" s="28">
        <f t="array" ref="J762">IF(ROW(J762)&lt;=COUNTA(D:D)*2,IF(MOD(ROW(J762),2)=1,INDEX(D:D,(ROW(J762)+1)/2),INDEX(F:F,ROW(J762)/2)),"")</f>
        <v>0</v>
      </c>
      <c r="K762" s="28">
        <f t="array" ref="K762">IF(ROW(K762)&lt;=COUNTA(E:E)*2,IF(MOD(ROW(K762),2)=1,INDEX(E:E,(ROW(K762)+1)/2),INDEX(G:G,ROW(K762)/2)),"")</f>
        <v>41</v>
      </c>
    </row>
    <row r="763" spans="1:11" x14ac:dyDescent="0.25">
      <c r="A763" s="25"/>
      <c r="B763" s="25"/>
      <c r="J763" s="28">
        <f t="array" ref="J763">IF(ROW(J763)&lt;=COUNTA(D:D)*2,IF(MOD(ROW(J763),2)=1,INDEX(D:D,(ROW(J763)+1)/2),INDEX(F:F,ROW(J763)/2)),"")</f>
        <v>0</v>
      </c>
      <c r="K763" s="28">
        <f t="array" ref="K763">IF(ROW(K763)&lt;=COUNTA(E:E)*2,IF(MOD(ROW(K763),2)=1,INDEX(E:E,(ROW(K763)+1)/2),INDEX(G:G,ROW(K763)/2)),"")</f>
        <v>41</v>
      </c>
    </row>
    <row r="764" spans="1:11" x14ac:dyDescent="0.25">
      <c r="A764" s="25"/>
      <c r="B764" s="25"/>
      <c r="J764" s="28">
        <f t="array" ref="J764">IF(ROW(J764)&lt;=COUNTA(D:D)*2,IF(MOD(ROW(J764),2)=1,INDEX(D:D,(ROW(J764)+1)/2),INDEX(F:F,ROW(J764)/2)),"")</f>
        <v>0</v>
      </c>
      <c r="K764" s="28">
        <f t="array" ref="K764">IF(ROW(K764)&lt;=COUNTA(E:E)*2,IF(MOD(ROW(K764),2)=1,INDEX(E:E,(ROW(K764)+1)/2),INDEX(G:G,ROW(K764)/2)),"")</f>
        <v>41</v>
      </c>
    </row>
    <row r="765" spans="1:11" x14ac:dyDescent="0.25">
      <c r="A765" s="25"/>
      <c r="B765" s="25"/>
      <c r="J765" s="28">
        <f t="array" ref="J765">IF(ROW(J765)&lt;=COUNTA(D:D)*2,IF(MOD(ROW(J765),2)=1,INDEX(D:D,(ROW(J765)+1)/2),INDEX(F:F,ROW(J765)/2)),"")</f>
        <v>0</v>
      </c>
      <c r="K765" s="28">
        <f t="array" ref="K765">IF(ROW(K765)&lt;=COUNTA(E:E)*2,IF(MOD(ROW(K765),2)=1,INDEX(E:E,(ROW(K765)+1)/2),INDEX(G:G,ROW(K765)/2)),"")</f>
        <v>41</v>
      </c>
    </row>
    <row r="766" spans="1:11" x14ac:dyDescent="0.25">
      <c r="A766" s="25"/>
      <c r="B766" s="25"/>
      <c r="J766" s="28">
        <f t="array" ref="J766">IF(ROW(J766)&lt;=COUNTA(D:D)*2,IF(MOD(ROW(J766),2)=1,INDEX(D:D,(ROW(J766)+1)/2),INDEX(F:F,ROW(J766)/2)),"")</f>
        <v>0</v>
      </c>
      <c r="K766" s="28">
        <f t="array" ref="K766">IF(ROW(K766)&lt;=COUNTA(E:E)*2,IF(MOD(ROW(K766),2)=1,INDEX(E:E,(ROW(K766)+1)/2),INDEX(G:G,ROW(K766)/2)),"")</f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6"/>
  <sheetViews>
    <sheetView workbookViewId="0" zoomScale="85" zoomScaleNormal="85">
      <selection activeCell="K681" sqref="K681"/>
    </sheetView>
  </sheetViews>
  <sheetFormatPr defaultRowHeight="15.6" outlineLevelRow="0" outlineLevelCol="0" x14ac:dyDescent="0" defaultColWidth="8.8" customHeight="1"/>
  <cols>
    <col min="1" max="4" width="8.8" style="17" customWidth="1"/>
    <col min="5" max="5" width="8.7" style="17" customWidth="1"/>
    <col min="6" max="16384" width="8.8" style="17" customWidth="1"/>
  </cols>
  <sheetData>
    <row r="1" spans="1:11" x14ac:dyDescent="0.25">
      <c r="A1" s="28"/>
      <c r="B1" s="17"/>
      <c r="D1" s="17" t="s">
        <v>16</v>
      </c>
      <c r="E1" s="17" t="s">
        <v>17</v>
      </c>
      <c r="F1" s="17" t="s">
        <v>18</v>
      </c>
      <c r="G1" s="17" t="s">
        <v>19</v>
      </c>
      <c r="J1" s="17" t="str">
        <f t="array" ref="J1">IF(ROW(J1)&lt;=COUNTA(D:D)*2,IF(MOD(ROW(J1),2)=1,INDEX(D:D,(ROW(J1)+1)/2),INDEX(F:F,ROW(J1)/2)),"")</f>
        <v>x1</v>
      </c>
      <c r="K1" s="17" t="str">
        <f t="array" ref="K1">IF(ROW(K1)&lt;=COUNTA(E:E)*2,IF(MOD(ROW(K1),2)=1,INDEX(E:E,(ROW(K1)+1)/2),INDEX(G:G,ROW(K1)/2)),"")</f>
        <v>y1</v>
      </c>
    </row>
    <row r="2" spans="1:11" x14ac:dyDescent="0.25">
      <c r="A2" s="28"/>
      <c r="B2" s="17"/>
      <c r="D2" s="17">
        <f>0</f>
        <v>0</v>
      </c>
      <c r="E2" s="17">
        <f>49+(B2)*4</f>
        <v>49.23272</v>
      </c>
      <c r="F2" s="17">
        <f>0-A2</f>
        <v>-1.9</v>
      </c>
      <c r="G2" s="17">
        <f>49+(B2)*4</f>
        <v>49.23272</v>
      </c>
      <c r="J2" s="17" t="str">
        <f t="array" ref="J2">IF(ROW(J2)&lt;=COUNTA(D:D)*2,IF(MOD(ROW(J2),2)=1,INDEX(D:D,(ROW(J2)+1)/2),INDEX(F:F,ROW(J2)/2)),"")</f>
        <v>x2</v>
      </c>
      <c r="K2" s="17" t="str">
        <f t="array" ref="K2">IF(ROW(K2)&lt;=COUNTA(E:E)*2,IF(MOD(ROW(K2),2)=1,INDEX(E:E,(ROW(K2)+1)/2),INDEX(G:G,ROW(K2)/2)),"")</f>
        <v>y2</v>
      </c>
    </row>
    <row r="3" spans="1:11" x14ac:dyDescent="0.25">
      <c r="A3" s="28"/>
      <c r="B3" s="17"/>
      <c r="D3" s="17">
        <f>0-A2</f>
        <v>-1.9</v>
      </c>
      <c r="E3" s="17">
        <f t="shared" ref="E3:E38" si="0">49+(B3)*4</f>
        <v>49.23624</v>
      </c>
      <c r="F3" s="17">
        <f t="shared" ref="F3:F38" si="1">0-A3</f>
        <v>-3.9</v>
      </c>
      <c r="G3" s="17">
        <f t="shared" ref="G3:G38" si="2">49+(B3)*4</f>
        <v>49.23624</v>
      </c>
      <c r="J3" s="17">
        <f t="array" ref="J3">IF(ROW(J3)&lt;=COUNTA(D:D)*2,IF(MOD(ROW(J3),2)=1,INDEX(D:D,(ROW(J3)+1)/2),INDEX(F:F,ROW(J3)/2)),"")</f>
        <v>0</v>
      </c>
      <c r="K3" s="17">
        <f t="array" ref="K3">IF(ROW(K3)&lt;=COUNTA(E:E)*2,IF(MOD(ROW(K3),2)=1,INDEX(E:E,(ROW(K3)+1)/2),INDEX(G:G,ROW(K3)/2)),"")</f>
        <v>49.23272</v>
      </c>
    </row>
    <row r="4" spans="1:11" x14ac:dyDescent="0.25">
      <c r="A4" s="28"/>
      <c r="B4" s="17"/>
      <c r="D4" s="17">
        <f t="shared" ref="D4:D38" si="3">0-A3</f>
        <v>-3.9</v>
      </c>
      <c r="E4" s="17">
        <f t="shared" si="0"/>
        <v>49.46364</v>
      </c>
      <c r="F4" s="17">
        <f t="shared" si="1"/>
        <v>-5.9</v>
      </c>
      <c r="G4" s="17">
        <f t="shared" si="2"/>
        <v>49.46364</v>
      </c>
      <c r="J4" s="17">
        <f t="array" ref="J4">IF(ROW(J4)&lt;=COUNTA(D:D)*2,IF(MOD(ROW(J4),2)=1,INDEX(D:D,(ROW(J4)+1)/2),INDEX(F:F,ROW(J4)/2)),"")</f>
        <v>-1.9</v>
      </c>
      <c r="K4" s="17">
        <f t="array" ref="K4">IF(ROW(K4)&lt;=COUNTA(E:E)*2,IF(MOD(ROW(K4),2)=1,INDEX(E:E,(ROW(K4)+1)/2),INDEX(G:G,ROW(K4)/2)),"")</f>
        <v>49.23272</v>
      </c>
    </row>
    <row r="5" spans="1:11" x14ac:dyDescent="0.25">
      <c r="A5" s="28"/>
      <c r="B5" s="17"/>
      <c r="D5" s="17">
        <f t="shared" si="3"/>
        <v>-5.9</v>
      </c>
      <c r="E5" s="17">
        <f t="shared" si="0"/>
        <v>49.47344</v>
      </c>
      <c r="F5" s="17">
        <f t="shared" si="1"/>
        <v>-7.9</v>
      </c>
      <c r="G5" s="17">
        <f t="shared" si="2"/>
        <v>49.47344</v>
      </c>
      <c r="J5" s="17">
        <f t="array" ref="J5">IF(ROW(J5)&lt;=COUNTA(D:D)*2,IF(MOD(ROW(J5),2)=1,INDEX(D:D,(ROW(J5)+1)/2),INDEX(F:F,ROW(J5)/2)),"")</f>
        <v>-1.9</v>
      </c>
      <c r="K5" s="17">
        <f t="array" ref="K5">IF(ROW(K5)&lt;=COUNTA(E:E)*2,IF(MOD(ROW(K5),2)=1,INDEX(E:E,(ROW(K5)+1)/2),INDEX(G:G,ROW(K5)/2)),"")</f>
        <v>49.23624</v>
      </c>
    </row>
    <row r="6" spans="1:11" x14ac:dyDescent="0.25">
      <c r="A6" s="28"/>
      <c r="B6" s="17"/>
      <c r="D6" s="17">
        <f t="shared" si="3"/>
        <v>-7.9</v>
      </c>
      <c r="E6" s="17">
        <f t="shared" si="0"/>
        <v>49.32976</v>
      </c>
      <c r="F6" s="17">
        <f t="shared" si="1"/>
        <v>-9.9</v>
      </c>
      <c r="G6" s="17">
        <f t="shared" si="2"/>
        <v>49.32976</v>
      </c>
      <c r="J6" s="17">
        <f t="array" ref="J6">IF(ROW(J6)&lt;=COUNTA(D:D)*2,IF(MOD(ROW(J6),2)=1,INDEX(D:D,(ROW(J6)+1)/2),INDEX(F:F,ROW(J6)/2)),"")</f>
        <v>-3.9</v>
      </c>
      <c r="K6" s="17">
        <f t="array" ref="K6">IF(ROW(K6)&lt;=COUNTA(E:E)*2,IF(MOD(ROW(K6),2)=1,INDEX(E:E,(ROW(K6)+1)/2),INDEX(G:G,ROW(K6)/2)),"")</f>
        <v>49.23624</v>
      </c>
    </row>
    <row r="7" spans="1:11" x14ac:dyDescent="0.25">
      <c r="A7" s="28"/>
      <c r="B7" s="17"/>
      <c r="D7" s="17">
        <f t="shared" si="3"/>
        <v>-9.9</v>
      </c>
      <c r="E7" s="17">
        <f t="shared" si="0"/>
        <v>49.48632</v>
      </c>
      <c r="F7" s="17">
        <f t="shared" si="1"/>
        <v>-11.9</v>
      </c>
      <c r="G7" s="17">
        <f t="shared" si="2"/>
        <v>49.48632</v>
      </c>
      <c r="J7" s="17">
        <f t="array" ref="J7">IF(ROW(J7)&lt;=COUNTA(D:D)*2,IF(MOD(ROW(J7),2)=1,INDEX(D:D,(ROW(J7)+1)/2),INDEX(F:F,ROW(J7)/2)),"")</f>
        <v>-3.9</v>
      </c>
      <c r="K7" s="17">
        <f t="array" ref="K7">IF(ROW(K7)&lt;=COUNTA(E:E)*2,IF(MOD(ROW(K7),2)=1,INDEX(E:E,(ROW(K7)+1)/2),INDEX(G:G,ROW(K7)/2)),"")</f>
        <v>49.46364</v>
      </c>
    </row>
    <row r="8" spans="1:11" x14ac:dyDescent="0.25">
      <c r="A8" s="28"/>
      <c r="B8" s="17"/>
      <c r="D8" s="17">
        <f t="shared" si="3"/>
        <v>-11.9</v>
      </c>
      <c r="E8" s="17">
        <f t="shared" si="0"/>
        <v>49.338</v>
      </c>
      <c r="F8" s="17">
        <f t="shared" si="1"/>
        <v>-13.9</v>
      </c>
      <c r="G8" s="17">
        <f t="shared" si="2"/>
        <v>49.338</v>
      </c>
      <c r="J8" s="17">
        <f t="array" ref="J8">IF(ROW(J8)&lt;=COUNTA(D:D)*2,IF(MOD(ROW(J8),2)=1,INDEX(D:D,(ROW(J8)+1)/2),INDEX(F:F,ROW(J8)/2)),"")</f>
        <v>-5.9</v>
      </c>
      <c r="K8" s="17">
        <f t="array" ref="K8">IF(ROW(K8)&lt;=COUNTA(E:E)*2,IF(MOD(ROW(K8),2)=1,INDEX(E:E,(ROW(K8)+1)/2),INDEX(G:G,ROW(K8)/2)),"")</f>
        <v>49.46364</v>
      </c>
    </row>
    <row r="9" spans="1:11" x14ac:dyDescent="0.25">
      <c r="A9" s="28"/>
      <c r="B9" s="17"/>
      <c r="D9" s="17">
        <f t="shared" si="3"/>
        <v>-13.9</v>
      </c>
      <c r="E9" s="17">
        <f t="shared" si="0"/>
        <v>49.32864</v>
      </c>
      <c r="F9" s="17">
        <f t="shared" si="1"/>
        <v>-15.9</v>
      </c>
      <c r="G9" s="17">
        <f t="shared" si="2"/>
        <v>49.32864</v>
      </c>
      <c r="J9" s="17">
        <f t="array" ref="J9">IF(ROW(J9)&lt;=COUNTA(D:D)*2,IF(MOD(ROW(J9),2)=1,INDEX(D:D,(ROW(J9)+1)/2),INDEX(F:F,ROW(J9)/2)),"")</f>
        <v>-5.9</v>
      </c>
      <c r="K9" s="17">
        <f t="array" ref="K9">IF(ROW(K9)&lt;=COUNTA(E:E)*2,IF(MOD(ROW(K9),2)=1,INDEX(E:E,(ROW(K9)+1)/2),INDEX(G:G,ROW(K9)/2)),"")</f>
        <v>49.47344</v>
      </c>
    </row>
    <row r="10" spans="1:11" x14ac:dyDescent="0.25">
      <c r="A10" s="28"/>
      <c r="B10" s="17"/>
      <c r="D10" s="17">
        <f t="shared" si="3"/>
        <v>-15.9</v>
      </c>
      <c r="E10" s="17">
        <f t="shared" si="0"/>
        <v>49.33696</v>
      </c>
      <c r="F10" s="17">
        <f t="shared" si="1"/>
        <v>-17.9</v>
      </c>
      <c r="G10" s="17">
        <f t="shared" si="2"/>
        <v>49.33696</v>
      </c>
      <c r="J10" s="17">
        <f t="array" ref="J10">IF(ROW(J10)&lt;=COUNTA(D:D)*2,IF(MOD(ROW(J10),2)=1,INDEX(D:D,(ROW(J10)+1)/2),INDEX(F:F,ROW(J10)/2)),"")</f>
        <v>-7.9</v>
      </c>
      <c r="K10" s="17">
        <f t="array" ref="K10">IF(ROW(K10)&lt;=COUNTA(E:E)*2,IF(MOD(ROW(K10),2)=1,INDEX(E:E,(ROW(K10)+1)/2),INDEX(G:G,ROW(K10)/2)),"")</f>
        <v>49.47344</v>
      </c>
    </row>
    <row r="11" spans="1:11" x14ac:dyDescent="0.25">
      <c r="A11" s="28"/>
      <c r="B11" s="17"/>
      <c r="D11" s="17">
        <f t="shared" si="3"/>
        <v>-17.9</v>
      </c>
      <c r="E11" s="17">
        <f t="shared" si="0"/>
        <v>49.26496</v>
      </c>
      <c r="F11" s="17">
        <f t="shared" si="1"/>
        <v>-19.9</v>
      </c>
      <c r="G11" s="17">
        <f t="shared" si="2"/>
        <v>49.26496</v>
      </c>
      <c r="J11" s="17">
        <f t="array" ref="J11">IF(ROW(J11)&lt;=COUNTA(D:D)*2,IF(MOD(ROW(J11),2)=1,INDEX(D:D,(ROW(J11)+1)/2),INDEX(F:F,ROW(J11)/2)),"")</f>
        <v>-7.9</v>
      </c>
      <c r="K11" s="17">
        <f t="array" ref="K11">IF(ROW(K11)&lt;=COUNTA(E:E)*2,IF(MOD(ROW(K11),2)=1,INDEX(E:E,(ROW(K11)+1)/2),INDEX(G:G,ROW(K11)/2)),"")</f>
        <v>49.32976</v>
      </c>
    </row>
    <row r="12" spans="1:11" x14ac:dyDescent="0.25">
      <c r="A12" s="28"/>
      <c r="B12" s="17"/>
      <c r="D12" s="17">
        <f t="shared" si="3"/>
        <v>-19.9</v>
      </c>
      <c r="E12" s="17">
        <f t="shared" si="0"/>
        <v>49.34448</v>
      </c>
      <c r="F12" s="17">
        <f t="shared" si="1"/>
        <v>-21.9</v>
      </c>
      <c r="G12" s="17">
        <f t="shared" si="2"/>
        <v>49.34448</v>
      </c>
      <c r="J12" s="17">
        <f t="array" ref="J12">IF(ROW(J12)&lt;=COUNTA(D:D)*2,IF(MOD(ROW(J12),2)=1,INDEX(D:D,(ROW(J12)+1)/2),INDEX(F:F,ROW(J12)/2)),"")</f>
        <v>-9.9</v>
      </c>
      <c r="K12" s="17">
        <f t="array" ref="K12">IF(ROW(K12)&lt;=COUNTA(E:E)*2,IF(MOD(ROW(K12),2)=1,INDEX(E:E,(ROW(K12)+1)/2),INDEX(G:G,ROW(K12)/2)),"")</f>
        <v>49.32976</v>
      </c>
    </row>
    <row r="13" spans="1:11" x14ac:dyDescent="0.25">
      <c r="A13" s="28"/>
      <c r="B13" s="17"/>
      <c r="D13" s="17">
        <f t="shared" si="3"/>
        <v>-21.9</v>
      </c>
      <c r="E13" s="17">
        <f t="shared" si="0"/>
        <v>49.354</v>
      </c>
      <c r="F13" s="17">
        <f t="shared" si="1"/>
        <v>-23.9</v>
      </c>
      <c r="G13" s="17">
        <f t="shared" si="2"/>
        <v>49.354</v>
      </c>
      <c r="J13" s="17">
        <f t="array" ref="J13">IF(ROW(J13)&lt;=COUNTA(D:D)*2,IF(MOD(ROW(J13),2)=1,INDEX(D:D,(ROW(J13)+1)/2),INDEX(F:F,ROW(J13)/2)),"")</f>
        <v>-9.9</v>
      </c>
      <c r="K13" s="17">
        <f t="array" ref="K13">IF(ROW(K13)&lt;=COUNTA(E:E)*2,IF(MOD(ROW(K13),2)=1,INDEX(E:E,(ROW(K13)+1)/2),INDEX(G:G,ROW(K13)/2)),"")</f>
        <v>49.48632</v>
      </c>
    </row>
    <row r="14" spans="1:11" x14ac:dyDescent="0.25">
      <c r="A14" s="28"/>
      <c r="B14" s="17"/>
      <c r="D14" s="17">
        <f t="shared" si="3"/>
        <v>-23.9</v>
      </c>
      <c r="E14" s="17">
        <f t="shared" si="0"/>
        <v>49.48532</v>
      </c>
      <c r="F14" s="17">
        <f t="shared" si="1"/>
        <v>-25.9</v>
      </c>
      <c r="G14" s="17">
        <f t="shared" si="2"/>
        <v>49.48532</v>
      </c>
      <c r="J14" s="17">
        <f t="array" ref="J14">IF(ROW(J14)&lt;=COUNTA(D:D)*2,IF(MOD(ROW(J14),2)=1,INDEX(D:D,(ROW(J14)+1)/2),INDEX(F:F,ROW(J14)/2)),"")</f>
        <v>-11.9</v>
      </c>
      <c r="K14" s="17">
        <f t="array" ref="K14">IF(ROW(K14)&lt;=COUNTA(E:E)*2,IF(MOD(ROW(K14),2)=1,INDEX(E:E,(ROW(K14)+1)/2),INDEX(G:G,ROW(K14)/2)),"")</f>
        <v>49.48632</v>
      </c>
    </row>
    <row r="15" spans="1:11" x14ac:dyDescent="0.25">
      <c r="A15" s="28"/>
      <c r="B15" s="17"/>
      <c r="D15" s="17">
        <f t="shared" si="3"/>
        <v>-25.9</v>
      </c>
      <c r="E15" s="17">
        <f t="shared" si="0"/>
        <v>49.275</v>
      </c>
      <c r="F15" s="17">
        <f t="shared" si="1"/>
        <v>-27.9</v>
      </c>
      <c r="G15" s="17">
        <f t="shared" si="2"/>
        <v>49.275</v>
      </c>
      <c r="J15" s="17">
        <f t="array" ref="J15">IF(ROW(J15)&lt;=COUNTA(D:D)*2,IF(MOD(ROW(J15),2)=1,INDEX(D:D,(ROW(J15)+1)/2),INDEX(F:F,ROW(J15)/2)),"")</f>
        <v>-11.9</v>
      </c>
      <c r="K15" s="17">
        <f t="array" ref="K15">IF(ROW(K15)&lt;=COUNTA(E:E)*2,IF(MOD(ROW(K15),2)=1,INDEX(E:E,(ROW(K15)+1)/2),INDEX(G:G,ROW(K15)/2)),"")</f>
        <v>49.338</v>
      </c>
    </row>
    <row r="16" spans="1:11" x14ac:dyDescent="0.25">
      <c r="A16" s="28"/>
      <c r="B16" s="17"/>
      <c r="D16" s="17">
        <f t="shared" si="3"/>
        <v>-27.9</v>
      </c>
      <c r="E16" s="17">
        <f t="shared" si="0"/>
        <v>49.39188</v>
      </c>
      <c r="F16" s="17">
        <f t="shared" si="1"/>
        <v>-29.9</v>
      </c>
      <c r="G16" s="17">
        <f t="shared" si="2"/>
        <v>49.39188</v>
      </c>
      <c r="J16" s="17">
        <f t="array" ref="J16">IF(ROW(J16)&lt;=COUNTA(D:D)*2,IF(MOD(ROW(J16),2)=1,INDEX(D:D,(ROW(J16)+1)/2),INDEX(F:F,ROW(J16)/2)),"")</f>
        <v>-13.9</v>
      </c>
      <c r="K16" s="17">
        <f t="array" ref="K16">IF(ROW(K16)&lt;=COUNTA(E:E)*2,IF(MOD(ROW(K16),2)=1,INDEX(E:E,(ROW(K16)+1)/2),INDEX(G:G,ROW(K16)/2)),"")</f>
        <v>49.338</v>
      </c>
    </row>
    <row r="17" spans="1:11" x14ac:dyDescent="0.25">
      <c r="A17" s="28"/>
      <c r="B17" s="17"/>
      <c r="D17" s="17">
        <f t="shared" si="3"/>
        <v>-29.9</v>
      </c>
      <c r="E17" s="17">
        <f t="shared" si="0"/>
        <v>49.40072</v>
      </c>
      <c r="F17" s="17">
        <f t="shared" si="1"/>
        <v>-31.9</v>
      </c>
      <c r="G17" s="17">
        <f t="shared" si="2"/>
        <v>49.40072</v>
      </c>
      <c r="J17" s="17">
        <f t="array" ref="J17">IF(ROW(J17)&lt;=COUNTA(D:D)*2,IF(MOD(ROW(J17),2)=1,INDEX(D:D,(ROW(J17)+1)/2),INDEX(F:F,ROW(J17)/2)),"")</f>
        <v>-13.9</v>
      </c>
      <c r="K17" s="17">
        <f t="array" ref="K17">IF(ROW(K17)&lt;=COUNTA(E:E)*2,IF(MOD(ROW(K17),2)=1,INDEX(E:E,(ROW(K17)+1)/2),INDEX(G:G,ROW(K17)/2)),"")</f>
        <v>49.32864</v>
      </c>
    </row>
    <row r="18" spans="1:11" x14ac:dyDescent="0.25">
      <c r="A18" s="28"/>
      <c r="B18" s="17"/>
      <c r="D18" s="17">
        <f t="shared" si="3"/>
        <v>-31.9</v>
      </c>
      <c r="E18" s="17">
        <f t="shared" si="0"/>
        <v>49.41392</v>
      </c>
      <c r="F18" s="17">
        <f t="shared" si="1"/>
        <v>-33.9</v>
      </c>
      <c r="G18" s="17">
        <f t="shared" si="2"/>
        <v>49.41392</v>
      </c>
      <c r="J18" s="17">
        <f t="array" ref="J18">IF(ROW(J18)&lt;=COUNTA(D:D)*2,IF(MOD(ROW(J18),2)=1,INDEX(D:D,(ROW(J18)+1)/2),INDEX(F:F,ROW(J18)/2)),"")</f>
        <v>-15.9</v>
      </c>
      <c r="K18" s="17">
        <f t="array" ref="K18">IF(ROW(K18)&lt;=COUNTA(E:E)*2,IF(MOD(ROW(K18),2)=1,INDEX(E:E,(ROW(K18)+1)/2),INDEX(G:G,ROW(K18)/2)),"")</f>
        <v>49.32864</v>
      </c>
    </row>
    <row r="19" spans="1:11" x14ac:dyDescent="0.25">
      <c r="A19" s="28"/>
      <c r="B19" s="17"/>
      <c r="D19" s="17">
        <f t="shared" si="3"/>
        <v>-33.9</v>
      </c>
      <c r="E19" s="17">
        <f t="shared" si="0"/>
        <v>49.42764</v>
      </c>
      <c r="F19" s="17">
        <f t="shared" si="1"/>
        <v>-35.9</v>
      </c>
      <c r="G19" s="17">
        <f t="shared" si="2"/>
        <v>49.42764</v>
      </c>
      <c r="J19" s="17">
        <f t="array" ref="J19">IF(ROW(J19)&lt;=COUNTA(D:D)*2,IF(MOD(ROW(J19),2)=1,INDEX(D:D,(ROW(J19)+1)/2),INDEX(F:F,ROW(J19)/2)),"")</f>
        <v>-15.9</v>
      </c>
      <c r="K19" s="17">
        <f t="array" ref="K19">IF(ROW(K19)&lt;=COUNTA(E:E)*2,IF(MOD(ROW(K19),2)=1,INDEX(E:E,(ROW(K19)+1)/2),INDEX(G:G,ROW(K19)/2)),"")</f>
        <v>49.33696</v>
      </c>
    </row>
    <row r="20" spans="1:11" x14ac:dyDescent="0.25">
      <c r="A20" s="28"/>
      <c r="B20" s="17"/>
      <c r="D20" s="17">
        <f t="shared" si="3"/>
        <v>-35.9</v>
      </c>
      <c r="E20" s="17">
        <f t="shared" si="0"/>
        <v>49.4378</v>
      </c>
      <c r="F20" s="17">
        <f t="shared" si="1"/>
        <v>-37.9</v>
      </c>
      <c r="G20" s="17">
        <f t="shared" si="2"/>
        <v>49.4378</v>
      </c>
      <c r="J20" s="17">
        <f t="array" ref="J20">IF(ROW(J20)&lt;=COUNTA(D:D)*2,IF(MOD(ROW(J20),2)=1,INDEX(D:D,(ROW(J20)+1)/2),INDEX(F:F,ROW(J20)/2)),"")</f>
        <v>-17.9</v>
      </c>
      <c r="K20" s="17">
        <f t="array" ref="K20">IF(ROW(K20)&lt;=COUNTA(E:E)*2,IF(MOD(ROW(K20),2)=1,INDEX(E:E,(ROW(K20)+1)/2),INDEX(G:G,ROW(K20)/2)),"")</f>
        <v>49.33696</v>
      </c>
    </row>
    <row r="21" spans="1:11" x14ac:dyDescent="0.25">
      <c r="A21" s="28"/>
      <c r="B21" s="17"/>
      <c r="D21" s="17">
        <f t="shared" si="3"/>
        <v>-37.9</v>
      </c>
      <c r="E21" s="17">
        <f t="shared" si="0"/>
        <v>49.44908</v>
      </c>
      <c r="F21" s="17">
        <f t="shared" si="1"/>
        <v>-39.9</v>
      </c>
      <c r="G21" s="17">
        <f t="shared" si="2"/>
        <v>49.44908</v>
      </c>
      <c r="J21" s="17">
        <f t="array" ref="J21">IF(ROW(J21)&lt;=COUNTA(D:D)*2,IF(MOD(ROW(J21),2)=1,INDEX(D:D,(ROW(J21)+1)/2),INDEX(F:F,ROW(J21)/2)),"")</f>
        <v>-17.9</v>
      </c>
      <c r="K21" s="17">
        <f t="array" ref="K21">IF(ROW(K21)&lt;=COUNTA(E:E)*2,IF(MOD(ROW(K21),2)=1,INDEX(E:E,(ROW(K21)+1)/2),INDEX(G:G,ROW(K21)/2)),"")</f>
        <v>49.26496</v>
      </c>
    </row>
    <row r="22" spans="1:11" x14ac:dyDescent="0.25">
      <c r="A22" s="28"/>
      <c r="B22" s="17"/>
      <c r="D22" s="17">
        <f t="shared" si="3"/>
        <v>-39.9</v>
      </c>
      <c r="E22" s="17">
        <f t="shared" si="0"/>
        <v>49.46244</v>
      </c>
      <c r="F22" s="17">
        <f t="shared" si="1"/>
        <v>-41.9</v>
      </c>
      <c r="G22" s="17">
        <f t="shared" si="2"/>
        <v>49.46244</v>
      </c>
      <c r="J22" s="17">
        <f t="array" ref="J22">IF(ROW(J22)&lt;=COUNTA(D:D)*2,IF(MOD(ROW(J22),2)=1,INDEX(D:D,(ROW(J22)+1)/2),INDEX(F:F,ROW(J22)/2)),"")</f>
        <v>-19.9</v>
      </c>
      <c r="K22" s="17">
        <f t="array" ref="K22">IF(ROW(K22)&lt;=COUNTA(E:E)*2,IF(MOD(ROW(K22),2)=1,INDEX(E:E,(ROW(K22)+1)/2),INDEX(G:G,ROW(K22)/2)),"")</f>
        <v>49.26496</v>
      </c>
    </row>
    <row r="23" spans="1:11" x14ac:dyDescent="0.25">
      <c r="A23" s="28"/>
      <c r="B23" s="17"/>
      <c r="D23" s="17">
        <f t="shared" si="3"/>
        <v>-41.9</v>
      </c>
      <c r="E23" s="17">
        <f t="shared" si="0"/>
        <v>49.47356</v>
      </c>
      <c r="F23" s="17">
        <f t="shared" si="1"/>
        <v>-43.9</v>
      </c>
      <c r="G23" s="17">
        <f t="shared" si="2"/>
        <v>49.47356</v>
      </c>
      <c r="J23" s="17">
        <f t="array" ref="J23">IF(ROW(J23)&lt;=COUNTA(D:D)*2,IF(MOD(ROW(J23),2)=1,INDEX(D:D,(ROW(J23)+1)/2),INDEX(F:F,ROW(J23)/2)),"")</f>
        <v>-19.9</v>
      </c>
      <c r="K23" s="17">
        <f t="array" ref="K23">IF(ROW(K23)&lt;=COUNTA(E:E)*2,IF(MOD(ROW(K23),2)=1,INDEX(E:E,(ROW(K23)+1)/2),INDEX(G:G,ROW(K23)/2)),"")</f>
        <v>49.34448</v>
      </c>
    </row>
    <row r="24" spans="1:11" x14ac:dyDescent="0.25">
      <c r="A24" s="28"/>
      <c r="B24" s="17"/>
      <c r="D24" s="17">
        <f t="shared" si="3"/>
        <v>-43.9</v>
      </c>
      <c r="E24" s="17">
        <f t="shared" si="0"/>
        <v>49.4868</v>
      </c>
      <c r="F24" s="17">
        <f t="shared" si="1"/>
        <v>-45.9</v>
      </c>
      <c r="G24" s="17">
        <f t="shared" si="2"/>
        <v>49.4868</v>
      </c>
      <c r="J24" s="17">
        <f t="array" ref="J24">IF(ROW(J24)&lt;=COUNTA(D:D)*2,IF(MOD(ROW(J24),2)=1,INDEX(D:D,(ROW(J24)+1)/2),INDEX(F:F,ROW(J24)/2)),"")</f>
        <v>-21.9</v>
      </c>
      <c r="K24" s="17">
        <f t="array" ref="K24">IF(ROW(K24)&lt;=COUNTA(E:E)*2,IF(MOD(ROW(K24),2)=1,INDEX(E:E,(ROW(K24)+1)/2),INDEX(G:G,ROW(K24)/2)),"")</f>
        <v>49.34448</v>
      </c>
    </row>
    <row r="25" spans="1:11" x14ac:dyDescent="0.25">
      <c r="A25" s="28"/>
      <c r="B25" s="17"/>
      <c r="D25" s="17">
        <f t="shared" si="3"/>
        <v>-45.9</v>
      </c>
      <c r="E25" s="17">
        <f t="shared" si="0"/>
        <v>49.49756</v>
      </c>
      <c r="F25" s="17">
        <f t="shared" si="1"/>
        <v>-47.9</v>
      </c>
      <c r="G25" s="17">
        <f t="shared" si="2"/>
        <v>49.49756</v>
      </c>
      <c r="J25" s="17">
        <f t="array" ref="J25">IF(ROW(J25)&lt;=COUNTA(D:D)*2,IF(MOD(ROW(J25),2)=1,INDEX(D:D,(ROW(J25)+1)/2),INDEX(F:F,ROW(J25)/2)),"")</f>
        <v>-21.9</v>
      </c>
      <c r="K25" s="17">
        <f t="array" ref="K25">IF(ROW(K25)&lt;=COUNTA(E:E)*2,IF(MOD(ROW(K25),2)=1,INDEX(E:E,(ROW(K25)+1)/2),INDEX(G:G,ROW(K25)/2)),"")</f>
        <v>49.354</v>
      </c>
    </row>
    <row r="26" spans="1:11" x14ac:dyDescent="0.25">
      <c r="A26" s="28"/>
      <c r="B26" s="17"/>
      <c r="D26" s="17">
        <f t="shared" si="3"/>
        <v>-47.9</v>
      </c>
      <c r="E26" s="17">
        <f t="shared" si="0"/>
        <v>49.50884</v>
      </c>
      <c r="F26" s="17">
        <f t="shared" si="1"/>
        <v>-49.9</v>
      </c>
      <c r="G26" s="17">
        <f t="shared" si="2"/>
        <v>49.50884</v>
      </c>
      <c r="J26" s="17">
        <f t="array" ref="J26">IF(ROW(J26)&lt;=COUNTA(D:D)*2,IF(MOD(ROW(J26),2)=1,INDEX(D:D,(ROW(J26)+1)/2),INDEX(F:F,ROW(J26)/2)),"")</f>
        <v>-23.9</v>
      </c>
      <c r="K26" s="17">
        <f t="array" ref="K26">IF(ROW(K26)&lt;=COUNTA(E:E)*2,IF(MOD(ROW(K26),2)=1,INDEX(E:E,(ROW(K26)+1)/2),INDEX(G:G,ROW(K26)/2)),"")</f>
        <v>49.354</v>
      </c>
    </row>
    <row r="27" spans="1:11" x14ac:dyDescent="0.25">
      <c r="A27" s="28"/>
      <c r="B27" s="17"/>
      <c r="D27" s="17">
        <f t="shared" si="3"/>
        <v>-49.9</v>
      </c>
      <c r="E27" s="17">
        <f t="shared" si="0"/>
        <v>49.52388</v>
      </c>
      <c r="F27" s="17">
        <f t="shared" si="1"/>
        <v>-51.9</v>
      </c>
      <c r="G27" s="17">
        <f t="shared" si="2"/>
        <v>49.52388</v>
      </c>
      <c r="J27" s="17">
        <f t="array" ref="J27">IF(ROW(J27)&lt;=COUNTA(D:D)*2,IF(MOD(ROW(J27),2)=1,INDEX(D:D,(ROW(J27)+1)/2),INDEX(F:F,ROW(J27)/2)),"")</f>
        <v>-23.9</v>
      </c>
      <c r="K27" s="17">
        <f t="array" ref="K27">IF(ROW(K27)&lt;=COUNTA(E:E)*2,IF(MOD(ROW(K27),2)=1,INDEX(E:E,(ROW(K27)+1)/2),INDEX(G:G,ROW(K27)/2)),"")</f>
        <v>49.48532</v>
      </c>
    </row>
    <row r="28" spans="1:11" x14ac:dyDescent="0.25">
      <c r="A28" s="28"/>
      <c r="B28" s="17"/>
      <c r="D28" s="17">
        <f t="shared" si="3"/>
        <v>-51.9</v>
      </c>
      <c r="E28" s="17">
        <f t="shared" si="0"/>
        <v>49.5222</v>
      </c>
      <c r="F28" s="17">
        <f t="shared" si="1"/>
        <v>-53.9</v>
      </c>
      <c r="G28" s="17">
        <f t="shared" si="2"/>
        <v>49.5222</v>
      </c>
      <c r="J28" s="17">
        <f t="array" ref="J28">IF(ROW(J28)&lt;=COUNTA(D:D)*2,IF(MOD(ROW(J28),2)=1,INDEX(D:D,(ROW(J28)+1)/2),INDEX(F:F,ROW(J28)/2)),"")</f>
        <v>-25.9</v>
      </c>
      <c r="K28" s="17">
        <f t="array" ref="K28">IF(ROW(K28)&lt;=COUNTA(E:E)*2,IF(MOD(ROW(K28),2)=1,INDEX(E:E,(ROW(K28)+1)/2),INDEX(G:G,ROW(K28)/2)),"")</f>
        <v>49.48532</v>
      </c>
    </row>
    <row r="29" spans="1:11" x14ac:dyDescent="0.25">
      <c r="A29" s="28"/>
      <c r="B29" s="17"/>
      <c r="D29" s="17">
        <f t="shared" si="3"/>
        <v>-53.9</v>
      </c>
      <c r="E29" s="17">
        <f t="shared" si="0"/>
        <v>49.53648</v>
      </c>
      <c r="F29" s="17">
        <f t="shared" si="1"/>
        <v>-55.9</v>
      </c>
      <c r="G29" s="17">
        <f t="shared" si="2"/>
        <v>49.53648</v>
      </c>
      <c r="J29" s="17">
        <f t="array" ref="J29">IF(ROW(J29)&lt;=COUNTA(D:D)*2,IF(MOD(ROW(J29),2)=1,INDEX(D:D,(ROW(J29)+1)/2),INDEX(F:F,ROW(J29)/2)),"")</f>
        <v>-25.9</v>
      </c>
      <c r="K29" s="17">
        <f t="array" ref="K29">IF(ROW(K29)&lt;=COUNTA(E:E)*2,IF(MOD(ROW(K29),2)=1,INDEX(E:E,(ROW(K29)+1)/2),INDEX(G:G,ROW(K29)/2)),"")</f>
        <v>49.275</v>
      </c>
    </row>
    <row r="30" spans="1:11" x14ac:dyDescent="0.25">
      <c r="A30" s="28"/>
      <c r="B30" s="17"/>
      <c r="D30" s="17">
        <f t="shared" si="3"/>
        <v>-55.9</v>
      </c>
      <c r="E30" s="17">
        <f t="shared" si="0"/>
        <v>49.5462</v>
      </c>
      <c r="F30" s="17">
        <f t="shared" si="1"/>
        <v>-57.9</v>
      </c>
      <c r="G30" s="17">
        <f t="shared" si="2"/>
        <v>49.5462</v>
      </c>
      <c r="J30" s="17">
        <f t="array" ref="J30">IF(ROW(J30)&lt;=COUNTA(D:D)*2,IF(MOD(ROW(J30),2)=1,INDEX(D:D,(ROW(J30)+1)/2),INDEX(F:F,ROW(J30)/2)),"")</f>
        <v>-27.9</v>
      </c>
      <c r="K30" s="17">
        <f t="array" ref="K30">IF(ROW(K30)&lt;=COUNTA(E:E)*2,IF(MOD(ROW(K30),2)=1,INDEX(E:E,(ROW(K30)+1)/2),INDEX(G:G,ROW(K30)/2)),"")</f>
        <v>49.275</v>
      </c>
    </row>
    <row r="31" spans="1:11" x14ac:dyDescent="0.25">
      <c r="A31" s="28"/>
      <c r="B31" s="17"/>
      <c r="D31" s="17">
        <f t="shared" si="3"/>
        <v>-57.9</v>
      </c>
      <c r="E31" s="17">
        <f t="shared" si="0"/>
        <v>49.55904</v>
      </c>
      <c r="F31" s="17">
        <f t="shared" si="1"/>
        <v>-59.9</v>
      </c>
      <c r="G31" s="17">
        <f t="shared" si="2"/>
        <v>49.55904</v>
      </c>
      <c r="J31" s="17">
        <f t="array" ref="J31">IF(ROW(J31)&lt;=COUNTA(D:D)*2,IF(MOD(ROW(J31),2)=1,INDEX(D:D,(ROW(J31)+1)/2),INDEX(F:F,ROW(J31)/2)),"")</f>
        <v>-27.9</v>
      </c>
      <c r="K31" s="17">
        <f t="array" ref="K31">IF(ROW(K31)&lt;=COUNTA(E:E)*2,IF(MOD(ROW(K31),2)=1,INDEX(E:E,(ROW(K31)+1)/2),INDEX(G:G,ROW(K31)/2)),"")</f>
        <v>49.39188</v>
      </c>
    </row>
    <row r="32" spans="1:11" x14ac:dyDescent="0.25">
      <c r="A32" s="28"/>
      <c r="B32" s="17"/>
      <c r="D32" s="17">
        <f t="shared" si="3"/>
        <v>-59.9</v>
      </c>
      <c r="E32" s="17">
        <f t="shared" si="0"/>
        <v>49.56788</v>
      </c>
      <c r="F32" s="17">
        <f t="shared" si="1"/>
        <v>-61.9</v>
      </c>
      <c r="G32" s="17">
        <f t="shared" si="2"/>
        <v>49.56788</v>
      </c>
      <c r="J32" s="17">
        <f t="array" ref="J32">IF(ROW(J32)&lt;=COUNTA(D:D)*2,IF(MOD(ROW(J32),2)=1,INDEX(D:D,(ROW(J32)+1)/2),INDEX(F:F,ROW(J32)/2)),"")</f>
        <v>-29.9</v>
      </c>
      <c r="K32" s="17">
        <f t="array" ref="K32">IF(ROW(K32)&lt;=COUNTA(E:E)*2,IF(MOD(ROW(K32),2)=1,INDEX(E:E,(ROW(K32)+1)/2),INDEX(G:G,ROW(K32)/2)),"")</f>
        <v>49.39188</v>
      </c>
    </row>
    <row r="33" spans="1:11" x14ac:dyDescent="0.25">
      <c r="A33" s="28"/>
      <c r="B33" s="17"/>
      <c r="D33" s="17">
        <f t="shared" si="3"/>
        <v>-61.9</v>
      </c>
      <c r="E33" s="17">
        <f t="shared" si="0"/>
        <v>49.58072</v>
      </c>
      <c r="F33" s="17">
        <f t="shared" si="1"/>
        <v>-63.9</v>
      </c>
      <c r="G33" s="17">
        <f t="shared" si="2"/>
        <v>49.58072</v>
      </c>
      <c r="J33" s="17">
        <f t="array" ref="J33">IF(ROW(J33)&lt;=COUNTA(D:D)*2,IF(MOD(ROW(J33),2)=1,INDEX(D:D,(ROW(J33)+1)/2),INDEX(F:F,ROW(J33)/2)),"")</f>
        <v>-29.9</v>
      </c>
      <c r="K33" s="17">
        <f t="array" ref="K33">IF(ROW(K33)&lt;=COUNTA(E:E)*2,IF(MOD(ROW(K33),2)=1,INDEX(E:E,(ROW(K33)+1)/2),INDEX(G:G,ROW(K33)/2)),"")</f>
        <v>49.40072</v>
      </c>
    </row>
    <row r="34" spans="1:11" x14ac:dyDescent="0.25">
      <c r="A34" s="28"/>
      <c r="B34" s="17"/>
      <c r="D34" s="17">
        <f t="shared" si="3"/>
        <v>-63.9</v>
      </c>
      <c r="E34" s="17">
        <f t="shared" si="0"/>
        <v>49.76612</v>
      </c>
      <c r="F34" s="17">
        <f t="shared" si="1"/>
        <v>-65.9</v>
      </c>
      <c r="G34" s="17">
        <f t="shared" si="2"/>
        <v>49.76612</v>
      </c>
      <c r="J34" s="17">
        <f t="array" ref="J34">IF(ROW(J34)&lt;=COUNTA(D:D)*2,IF(MOD(ROW(J34),2)=1,INDEX(D:D,(ROW(J34)+1)/2),INDEX(F:F,ROW(J34)/2)),"")</f>
        <v>-31.9</v>
      </c>
      <c r="K34" s="17">
        <f t="array" ref="K34">IF(ROW(K34)&lt;=COUNTA(E:E)*2,IF(MOD(ROW(K34),2)=1,INDEX(E:E,(ROW(K34)+1)/2),INDEX(G:G,ROW(K34)/2)),"")</f>
        <v>49.40072</v>
      </c>
    </row>
    <row r="35" spans="1:11" x14ac:dyDescent="0.25">
      <c r="A35" s="28"/>
      <c r="B35" s="17"/>
      <c r="D35" s="17">
        <f t="shared" si="3"/>
        <v>-65.9</v>
      </c>
      <c r="E35" s="17">
        <f t="shared" si="0"/>
        <v>49.77952</v>
      </c>
      <c r="F35" s="17">
        <f t="shared" si="1"/>
        <v>-67.9</v>
      </c>
      <c r="G35" s="17">
        <f t="shared" si="2"/>
        <v>49.77952</v>
      </c>
      <c r="J35" s="17">
        <f t="array" ref="J35">IF(ROW(J35)&lt;=COUNTA(D:D)*2,IF(MOD(ROW(J35),2)=1,INDEX(D:D,(ROW(J35)+1)/2),INDEX(F:F,ROW(J35)/2)),"")</f>
        <v>-31.9</v>
      </c>
      <c r="K35" s="17">
        <f t="array" ref="K35">IF(ROW(K35)&lt;=COUNTA(E:E)*2,IF(MOD(ROW(K35),2)=1,INDEX(E:E,(ROW(K35)+1)/2),INDEX(G:G,ROW(K35)/2)),"")</f>
        <v>49.41392</v>
      </c>
    </row>
    <row r="36" spans="1:11" x14ac:dyDescent="0.25">
      <c r="A36" s="28"/>
      <c r="B36" s="17"/>
      <c r="D36" s="17">
        <f t="shared" si="3"/>
        <v>-67.9</v>
      </c>
      <c r="E36" s="17">
        <f t="shared" si="0"/>
        <v>49.79648</v>
      </c>
      <c r="F36" s="17">
        <f t="shared" si="1"/>
        <v>-69.9</v>
      </c>
      <c r="G36" s="17">
        <f t="shared" si="2"/>
        <v>49.79648</v>
      </c>
      <c r="J36" s="17">
        <f t="array" ref="J36">IF(ROW(J36)&lt;=COUNTA(D:D)*2,IF(MOD(ROW(J36),2)=1,INDEX(D:D,(ROW(J36)+1)/2),INDEX(F:F,ROW(J36)/2)),"")</f>
        <v>-33.9</v>
      </c>
      <c r="K36" s="17">
        <f t="array" ref="K36">IF(ROW(K36)&lt;=COUNTA(E:E)*2,IF(MOD(ROW(K36),2)=1,INDEX(E:E,(ROW(K36)+1)/2),INDEX(G:G,ROW(K36)/2)),"")</f>
        <v>49.41392</v>
      </c>
    </row>
    <row r="37" spans="1:11" x14ac:dyDescent="0.25">
      <c r="A37" s="28"/>
      <c r="B37" s="17"/>
      <c r="D37" s="17">
        <f t="shared" si="3"/>
        <v>-69.9</v>
      </c>
      <c r="E37" s="17">
        <f t="shared" si="0"/>
        <v>49.80496</v>
      </c>
      <c r="F37" s="17">
        <f t="shared" si="1"/>
        <v>-71.9</v>
      </c>
      <c r="G37" s="17">
        <f t="shared" si="2"/>
        <v>49.80496</v>
      </c>
      <c r="J37" s="17">
        <f t="array" ref="J37">IF(ROW(J37)&lt;=COUNTA(D:D)*2,IF(MOD(ROW(J37),2)=1,INDEX(D:D,(ROW(J37)+1)/2),INDEX(F:F,ROW(J37)/2)),"")</f>
        <v>-33.9</v>
      </c>
      <c r="K37" s="17">
        <f t="array" ref="K37">IF(ROW(K37)&lt;=COUNTA(E:E)*2,IF(MOD(ROW(K37),2)=1,INDEX(E:E,(ROW(K37)+1)/2),INDEX(G:G,ROW(K37)/2)),"")</f>
        <v>49.42764</v>
      </c>
    </row>
    <row r="38" spans="1:11" x14ac:dyDescent="0.25">
      <c r="A38" s="28"/>
      <c r="B38" s="17"/>
      <c r="D38" s="17">
        <f t="shared" si="3"/>
        <v>-71.9</v>
      </c>
      <c r="E38" s="17">
        <f t="shared" si="0"/>
        <v>49.8226</v>
      </c>
      <c r="F38" s="17">
        <f t="shared" si="1"/>
        <v>-73.9</v>
      </c>
      <c r="G38" s="17">
        <f t="shared" si="2"/>
        <v>49.8226</v>
      </c>
      <c r="J38" s="17">
        <f t="array" ref="J38">IF(ROW(J38)&lt;=COUNTA(D:D)*2,IF(MOD(ROW(J38),2)=1,INDEX(D:D,(ROW(J38)+1)/2),INDEX(F:F,ROW(J38)/2)),"")</f>
        <v>-35.9</v>
      </c>
      <c r="K38" s="17">
        <f t="array" ref="K38">IF(ROW(K38)&lt;=COUNTA(E:E)*2,IF(MOD(ROW(K38),2)=1,INDEX(E:E,(ROW(K38)+1)/2),INDEX(G:G,ROW(K38)/2)),"")</f>
        <v>49.42764</v>
      </c>
    </row>
    <row r="39" spans="1:11" x14ac:dyDescent="0.25">
      <c r="A39" s="28"/>
      <c r="B39" s="17"/>
      <c r="D39" s="17">
        <f t="shared" ref="D39:D40" si="4">0-A38</f>
        <v>-73.9</v>
      </c>
      <c r="E39" s="17">
        <f t="shared" ref="E39:E40" si="5">49+(B39)*4</f>
        <v>49.83672</v>
      </c>
      <c r="F39" s="17">
        <f t="shared" ref="F39:F40" si="6">0-A39</f>
        <v>-75.9</v>
      </c>
      <c r="G39" s="17">
        <f t="shared" ref="G39:G40" si="7">49+(B39)*4</f>
        <v>49.83672</v>
      </c>
      <c r="J39" s="17">
        <f t="array" ref="J39">IF(ROW(J39)&lt;=COUNTA(D:D)*2,IF(MOD(ROW(J39),2)=1,INDEX(D:D,(ROW(J39)+1)/2),INDEX(F:F,ROW(J39)/2)),"")</f>
        <v>-35.9</v>
      </c>
      <c r="K39" s="17">
        <f t="array" ref="K39">IF(ROW(K39)&lt;=COUNTA(E:E)*2,IF(MOD(ROW(K39),2)=1,INDEX(E:E,(ROW(K39)+1)/2),INDEX(G:G,ROW(K39)/2)),"")</f>
        <v>49.4378</v>
      </c>
    </row>
    <row r="40" spans="1:11" x14ac:dyDescent="0.25">
      <c r="A40" s="28"/>
      <c r="B40" s="17"/>
      <c r="D40" s="17">
        <f t="shared" si="4"/>
        <v>-75.9</v>
      </c>
      <c r="E40" s="17">
        <f t="shared" si="5"/>
        <v>49.85484</v>
      </c>
      <c r="F40" s="17">
        <f t="shared" si="6"/>
        <v>-77.9</v>
      </c>
      <c r="G40" s="17">
        <f t="shared" si="7"/>
        <v>49.85484</v>
      </c>
      <c r="J40" s="17">
        <f t="array" ref="J40">IF(ROW(J40)&lt;=COUNTA(D:D)*2,IF(MOD(ROW(J40),2)=1,INDEX(D:D,(ROW(J40)+1)/2),INDEX(F:F,ROW(J40)/2)),"")</f>
        <v>-37.9</v>
      </c>
      <c r="K40" s="17">
        <f t="array" ref="K40">IF(ROW(K40)&lt;=COUNTA(E:E)*2,IF(MOD(ROW(K40),2)=1,INDEX(E:E,(ROW(K40)+1)/2),INDEX(G:G,ROW(K40)/2)),"")</f>
        <v>49.4378</v>
      </c>
    </row>
    <row r="41" spans="1:11" x14ac:dyDescent="0.25">
      <c r="A41" s="28"/>
      <c r="B41" s="17"/>
      <c r="D41" s="17">
        <f t="shared" ref="D41:D72" si="8">0-A40</f>
        <v>-77.9</v>
      </c>
      <c r="E41" s="17">
        <f t="shared" ref="E41:E72" si="9">49+(B41)*4</f>
        <v>49.58912</v>
      </c>
      <c r="F41" s="17">
        <f t="shared" ref="F41:F72" si="10">0-A41</f>
        <v>-79.9</v>
      </c>
      <c r="G41" s="17">
        <f t="shared" ref="G41:G72" si="11">49+(B41)*4</f>
        <v>49.58912</v>
      </c>
      <c r="J41" s="17">
        <f t="array" ref="J41">IF(ROW(J41)&lt;=COUNTA(D:D)*2,IF(MOD(ROW(J41),2)=1,INDEX(D:D,(ROW(J41)+1)/2),INDEX(F:F,ROW(J41)/2)),"")</f>
        <v>-37.9</v>
      </c>
      <c r="K41" s="17">
        <f t="array" ref="K41">IF(ROW(K41)&lt;=COUNTA(E:E)*2,IF(MOD(ROW(K41),2)=1,INDEX(E:E,(ROW(K41)+1)/2),INDEX(G:G,ROW(K41)/2)),"")</f>
        <v>49.44908</v>
      </c>
    </row>
    <row r="42" spans="1:11" x14ac:dyDescent="0.25">
      <c r="A42" s="28"/>
      <c r="B42" s="17"/>
      <c r="D42" s="17">
        <f t="shared" si="8"/>
        <v>-79.9</v>
      </c>
      <c r="E42" s="17">
        <f t="shared" si="9"/>
        <v>49.59728</v>
      </c>
      <c r="F42" s="17">
        <f t="shared" si="10"/>
        <v>-81.9</v>
      </c>
      <c r="G42" s="17">
        <f t="shared" si="11"/>
        <v>49.59728</v>
      </c>
      <c r="J42" s="17">
        <f t="array" ref="J42">IF(ROW(J42)&lt;=COUNTA(D:D)*2,IF(MOD(ROW(J42),2)=1,INDEX(D:D,(ROW(J42)+1)/2),INDEX(F:F,ROW(J42)/2)),"")</f>
        <v>-39.9</v>
      </c>
      <c r="K42" s="17">
        <f t="array" ref="K42">IF(ROW(K42)&lt;=COUNTA(E:E)*2,IF(MOD(ROW(K42),2)=1,INDEX(E:E,(ROW(K42)+1)/2),INDEX(G:G,ROW(K42)/2)),"")</f>
        <v>49.44908</v>
      </c>
    </row>
    <row r="43" spans="1:11" x14ac:dyDescent="0.25">
      <c r="A43" s="28"/>
      <c r="B43" s="17"/>
      <c r="D43" s="17">
        <f t="shared" si="8"/>
        <v>-81.9</v>
      </c>
      <c r="E43" s="17">
        <f t="shared" si="9"/>
        <v>49.612</v>
      </c>
      <c r="F43" s="17">
        <f t="shared" si="10"/>
        <v>-83.9</v>
      </c>
      <c r="G43" s="17">
        <f t="shared" si="11"/>
        <v>49.612</v>
      </c>
      <c r="J43" s="17">
        <f t="array" ref="J43">IF(ROW(J43)&lt;=COUNTA(D:D)*2,IF(MOD(ROW(J43),2)=1,INDEX(D:D,(ROW(J43)+1)/2),INDEX(F:F,ROW(J43)/2)),"")</f>
        <v>-39.9</v>
      </c>
      <c r="K43" s="17">
        <f t="array" ref="K43">IF(ROW(K43)&lt;=COUNTA(E:E)*2,IF(MOD(ROW(K43),2)=1,INDEX(E:E,(ROW(K43)+1)/2),INDEX(G:G,ROW(K43)/2)),"")</f>
        <v>49.46244</v>
      </c>
    </row>
    <row r="44" spans="1:11" x14ac:dyDescent="0.25">
      <c r="A44" s="28"/>
      <c r="B44" s="17"/>
      <c r="D44" s="17">
        <f t="shared" si="8"/>
        <v>-83.9</v>
      </c>
      <c r="E44" s="17">
        <f t="shared" si="9"/>
        <v>49.62656</v>
      </c>
      <c r="F44" s="17">
        <f t="shared" si="10"/>
        <v>-85.9</v>
      </c>
      <c r="G44" s="17">
        <f t="shared" si="11"/>
        <v>49.62656</v>
      </c>
      <c r="J44" s="17">
        <f t="array" ref="J44">IF(ROW(J44)&lt;=COUNTA(D:D)*2,IF(MOD(ROW(J44),2)=1,INDEX(D:D,(ROW(J44)+1)/2),INDEX(F:F,ROW(J44)/2)),"")</f>
        <v>-41.9</v>
      </c>
      <c r="K44" s="17">
        <f t="array" ref="K44">IF(ROW(K44)&lt;=COUNTA(E:E)*2,IF(MOD(ROW(K44),2)=1,INDEX(E:E,(ROW(K44)+1)/2),INDEX(G:G,ROW(K44)/2)),"")</f>
        <v>49.46244</v>
      </c>
    </row>
    <row r="45" spans="1:11" x14ac:dyDescent="0.25">
      <c r="A45" s="28"/>
      <c r="B45" s="17"/>
      <c r="D45" s="17">
        <f t="shared" si="8"/>
        <v>-85.9</v>
      </c>
      <c r="E45" s="17">
        <f t="shared" si="9"/>
        <v>49.64208</v>
      </c>
      <c r="F45" s="17">
        <f t="shared" si="10"/>
        <v>-87.9</v>
      </c>
      <c r="G45" s="17">
        <f t="shared" si="11"/>
        <v>49.64208</v>
      </c>
      <c r="J45" s="17">
        <f t="array" ref="J45">IF(ROW(J45)&lt;=COUNTA(D:D)*2,IF(MOD(ROW(J45),2)=1,INDEX(D:D,(ROW(J45)+1)/2),INDEX(F:F,ROW(J45)/2)),"")</f>
        <v>-41.9</v>
      </c>
      <c r="K45" s="17">
        <f t="array" ref="K45">IF(ROW(K45)&lt;=COUNTA(E:E)*2,IF(MOD(ROW(K45),2)=1,INDEX(E:E,(ROW(K45)+1)/2),INDEX(G:G,ROW(K45)/2)),"")</f>
        <v>49.47356</v>
      </c>
    </row>
    <row r="46" spans="1:11" x14ac:dyDescent="0.25">
      <c r="A46" s="28"/>
      <c r="B46" s="17"/>
      <c r="D46" s="17">
        <f t="shared" si="8"/>
        <v>-87.9</v>
      </c>
      <c r="E46" s="17">
        <f t="shared" si="9"/>
        <v>49.6552</v>
      </c>
      <c r="F46" s="17">
        <f t="shared" si="10"/>
        <v>-89.9</v>
      </c>
      <c r="G46" s="17">
        <f t="shared" si="11"/>
        <v>49.6552</v>
      </c>
      <c r="J46" s="17">
        <f t="array" ref="J46">IF(ROW(J46)&lt;=COUNTA(D:D)*2,IF(MOD(ROW(J46),2)=1,INDEX(D:D,(ROW(J46)+1)/2),INDEX(F:F,ROW(J46)/2)),"")</f>
        <v>-43.9</v>
      </c>
      <c r="K46" s="17">
        <f t="array" ref="K46">IF(ROW(K46)&lt;=COUNTA(E:E)*2,IF(MOD(ROW(K46),2)=1,INDEX(E:E,(ROW(K46)+1)/2),INDEX(G:G,ROW(K46)/2)),"")</f>
        <v>49.47356</v>
      </c>
    </row>
    <row r="47" spans="1:11" x14ac:dyDescent="0.25">
      <c r="A47" s="28"/>
      <c r="B47" s="17"/>
      <c r="D47" s="17">
        <f t="shared" si="8"/>
        <v>-89.9</v>
      </c>
      <c r="E47" s="17">
        <f t="shared" si="9"/>
        <v>49.6664</v>
      </c>
      <c r="F47" s="17">
        <f t="shared" si="10"/>
        <v>-91.9</v>
      </c>
      <c r="G47" s="17">
        <f t="shared" si="11"/>
        <v>49.6664</v>
      </c>
      <c r="J47" s="17">
        <f t="array" ref="J47">IF(ROW(J47)&lt;=COUNTA(D:D)*2,IF(MOD(ROW(J47),2)=1,INDEX(D:D,(ROW(J47)+1)/2),INDEX(F:F,ROW(J47)/2)),"")</f>
        <v>-43.9</v>
      </c>
      <c r="K47" s="17">
        <f t="array" ref="K47">IF(ROW(K47)&lt;=COUNTA(E:E)*2,IF(MOD(ROW(K47),2)=1,INDEX(E:E,(ROW(K47)+1)/2),INDEX(G:G,ROW(K47)/2)),"")</f>
        <v>49.4868</v>
      </c>
    </row>
    <row r="48" spans="1:11" x14ac:dyDescent="0.25">
      <c r="A48" s="28"/>
      <c r="B48" s="17"/>
      <c r="D48" s="17">
        <f t="shared" si="8"/>
        <v>-91.9</v>
      </c>
      <c r="E48" s="17">
        <f t="shared" si="9"/>
        <v>49.67488</v>
      </c>
      <c r="F48" s="17">
        <f t="shared" si="10"/>
        <v>-93.9</v>
      </c>
      <c r="G48" s="17">
        <f t="shared" si="11"/>
        <v>49.67488</v>
      </c>
      <c r="J48" s="17">
        <f t="array" ref="J48">IF(ROW(J48)&lt;=COUNTA(D:D)*2,IF(MOD(ROW(J48),2)=1,INDEX(D:D,(ROW(J48)+1)/2),INDEX(F:F,ROW(J48)/2)),"")</f>
        <v>-45.9</v>
      </c>
      <c r="K48" s="17">
        <f t="array" ref="K48">IF(ROW(K48)&lt;=COUNTA(E:E)*2,IF(MOD(ROW(K48),2)=1,INDEX(E:E,(ROW(K48)+1)/2),INDEX(G:G,ROW(K48)/2)),"")</f>
        <v>49.4868</v>
      </c>
    </row>
    <row r="49" spans="1:11" x14ac:dyDescent="0.25">
      <c r="A49" s="28"/>
      <c r="B49" s="17"/>
      <c r="D49" s="17">
        <f t="shared" si="8"/>
        <v>-93.9</v>
      </c>
      <c r="E49" s="17">
        <f t="shared" si="9"/>
        <v>49.68672</v>
      </c>
      <c r="F49" s="17">
        <f t="shared" si="10"/>
        <v>-95.9</v>
      </c>
      <c r="G49" s="17">
        <f t="shared" si="11"/>
        <v>49.68672</v>
      </c>
      <c r="J49" s="17">
        <f t="array" ref="J49">IF(ROW(J49)&lt;=COUNTA(D:D)*2,IF(MOD(ROW(J49),2)=1,INDEX(D:D,(ROW(J49)+1)/2),INDEX(F:F,ROW(J49)/2)),"")</f>
        <v>-45.9</v>
      </c>
      <c r="K49" s="17">
        <f t="array" ref="K49">IF(ROW(K49)&lt;=COUNTA(E:E)*2,IF(MOD(ROW(K49),2)=1,INDEX(E:E,(ROW(K49)+1)/2),INDEX(G:G,ROW(K49)/2)),"")</f>
        <v>49.49756</v>
      </c>
    </row>
    <row r="50" spans="1:11" x14ac:dyDescent="0.25">
      <c r="A50" s="28"/>
      <c r="B50" s="17"/>
      <c r="D50" s="17">
        <f t="shared" si="8"/>
        <v>-95.9</v>
      </c>
      <c r="E50" s="17">
        <f t="shared" si="9"/>
        <v>49.70112</v>
      </c>
      <c r="F50" s="17">
        <f t="shared" si="10"/>
        <v>-97.9</v>
      </c>
      <c r="G50" s="17">
        <f t="shared" si="11"/>
        <v>49.70112</v>
      </c>
      <c r="J50" s="17">
        <f t="array" ref="J50">IF(ROW(J50)&lt;=COUNTA(D:D)*2,IF(MOD(ROW(J50),2)=1,INDEX(D:D,(ROW(J50)+1)/2),INDEX(F:F,ROW(J50)/2)),"")</f>
        <v>-47.9</v>
      </c>
      <c r="K50" s="17">
        <f t="array" ref="K50">IF(ROW(K50)&lt;=COUNTA(E:E)*2,IF(MOD(ROW(K50),2)=1,INDEX(E:E,(ROW(K50)+1)/2),INDEX(G:G,ROW(K50)/2)),"")</f>
        <v>49.49756</v>
      </c>
    </row>
    <row r="51" spans="1:11" x14ac:dyDescent="0.25">
      <c r="A51" s="28"/>
      <c r="B51" s="17"/>
      <c r="D51" s="17">
        <f t="shared" si="8"/>
        <v>-97.9</v>
      </c>
      <c r="E51" s="17">
        <f t="shared" si="9"/>
        <v>49.71616</v>
      </c>
      <c r="F51" s="17">
        <f t="shared" si="10"/>
        <v>-99.9</v>
      </c>
      <c r="G51" s="17">
        <f t="shared" si="11"/>
        <v>49.71616</v>
      </c>
      <c r="J51" s="17">
        <f t="array" ref="J51">IF(ROW(J51)&lt;=COUNTA(D:D)*2,IF(MOD(ROW(J51),2)=1,INDEX(D:D,(ROW(J51)+1)/2),INDEX(F:F,ROW(J51)/2)),"")</f>
        <v>-47.9</v>
      </c>
      <c r="K51" s="17">
        <f t="array" ref="K51">IF(ROW(K51)&lt;=COUNTA(E:E)*2,IF(MOD(ROW(K51),2)=1,INDEX(E:E,(ROW(K51)+1)/2),INDEX(G:G,ROW(K51)/2)),"")</f>
        <v>49.50884</v>
      </c>
    </row>
    <row r="52" spans="1:11" x14ac:dyDescent="0.25">
      <c r="A52" s="28"/>
      <c r="B52" s="17"/>
      <c r="D52" s="17">
        <f t="shared" si="8"/>
        <v>-99.9</v>
      </c>
      <c r="E52" s="17">
        <f t="shared" si="9"/>
        <v>49.73648</v>
      </c>
      <c r="F52" s="17">
        <f t="shared" si="10"/>
        <v>-101.9</v>
      </c>
      <c r="G52" s="17">
        <f t="shared" si="11"/>
        <v>49.73648</v>
      </c>
      <c r="J52" s="17">
        <f t="array" ref="J52">IF(ROW(J52)&lt;=COUNTA(D:D)*2,IF(MOD(ROW(J52),2)=1,INDEX(D:D,(ROW(J52)+1)/2),INDEX(F:F,ROW(J52)/2)),"")</f>
        <v>-49.9</v>
      </c>
      <c r="K52" s="17">
        <f t="array" ref="K52">IF(ROW(K52)&lt;=COUNTA(E:E)*2,IF(MOD(ROW(K52),2)=1,INDEX(E:E,(ROW(K52)+1)/2),INDEX(G:G,ROW(K52)/2)),"")</f>
        <v>49.50884</v>
      </c>
    </row>
    <row r="53" spans="1:11" x14ac:dyDescent="0.25">
      <c r="A53" s="28"/>
      <c r="B53" s="17"/>
      <c r="D53" s="17">
        <f t="shared" si="8"/>
        <v>-101.9</v>
      </c>
      <c r="E53" s="17">
        <f t="shared" si="9"/>
        <v>49.74912</v>
      </c>
      <c r="F53" s="17">
        <f t="shared" si="10"/>
        <v>-103.9</v>
      </c>
      <c r="G53" s="17">
        <f t="shared" si="11"/>
        <v>49.74912</v>
      </c>
      <c r="J53" s="17">
        <f t="array" ref="J53">IF(ROW(J53)&lt;=COUNTA(D:D)*2,IF(MOD(ROW(J53),2)=1,INDEX(D:D,(ROW(J53)+1)/2),INDEX(F:F,ROW(J53)/2)),"")</f>
        <v>-49.9</v>
      </c>
      <c r="K53" s="17">
        <f t="array" ref="K53">IF(ROW(K53)&lt;=COUNTA(E:E)*2,IF(MOD(ROW(K53),2)=1,INDEX(E:E,(ROW(K53)+1)/2),INDEX(G:G,ROW(K53)/2)),"")</f>
        <v>49.52388</v>
      </c>
    </row>
    <row r="54" spans="1:11" x14ac:dyDescent="0.25">
      <c r="A54" s="28"/>
      <c r="B54" s="17"/>
      <c r="D54" s="17">
        <f t="shared" si="8"/>
        <v>-103.9</v>
      </c>
      <c r="E54" s="17">
        <f t="shared" si="9"/>
        <v>49.75728</v>
      </c>
      <c r="F54" s="17">
        <f t="shared" si="10"/>
        <v>-105.9</v>
      </c>
      <c r="G54" s="17">
        <f t="shared" si="11"/>
        <v>49.75728</v>
      </c>
      <c r="J54" s="17">
        <f t="array" ref="J54">IF(ROW(J54)&lt;=COUNTA(D:D)*2,IF(MOD(ROW(J54),2)=1,INDEX(D:D,(ROW(J54)+1)/2),INDEX(F:F,ROW(J54)/2)),"")</f>
        <v>-51.9</v>
      </c>
      <c r="K54" s="17">
        <f t="array" ref="K54">IF(ROW(K54)&lt;=COUNTA(E:E)*2,IF(MOD(ROW(K54),2)=1,INDEX(E:E,(ROW(K54)+1)/2),INDEX(G:G,ROW(K54)/2)),"")</f>
        <v>49.52388</v>
      </c>
    </row>
    <row r="55" spans="1:11" x14ac:dyDescent="0.25">
      <c r="A55" s="28"/>
      <c r="B55" s="17"/>
      <c r="D55" s="17">
        <f t="shared" si="8"/>
        <v>-105.9</v>
      </c>
      <c r="E55" s="17">
        <f t="shared" si="9"/>
        <v>49.772</v>
      </c>
      <c r="F55" s="17">
        <f t="shared" si="10"/>
        <v>-107.9</v>
      </c>
      <c r="G55" s="17">
        <f t="shared" si="11"/>
        <v>49.772</v>
      </c>
      <c r="J55" s="17">
        <f t="array" ref="J55">IF(ROW(J55)&lt;=COUNTA(D:D)*2,IF(MOD(ROW(J55),2)=1,INDEX(D:D,(ROW(J55)+1)/2),INDEX(F:F,ROW(J55)/2)),"")</f>
        <v>-51.9</v>
      </c>
      <c r="K55" s="17">
        <f t="array" ref="K55">IF(ROW(K55)&lt;=COUNTA(E:E)*2,IF(MOD(ROW(K55),2)=1,INDEX(E:E,(ROW(K55)+1)/2),INDEX(G:G,ROW(K55)/2)),"")</f>
        <v>49.5222</v>
      </c>
    </row>
    <row r="56" spans="1:11" x14ac:dyDescent="0.25">
      <c r="A56" s="28"/>
      <c r="B56" s="17"/>
      <c r="D56" s="17">
        <f t="shared" si="8"/>
        <v>-107.9</v>
      </c>
      <c r="E56" s="17">
        <f t="shared" si="9"/>
        <v>49.78496</v>
      </c>
      <c r="F56" s="17">
        <f t="shared" si="10"/>
        <v>-109.9</v>
      </c>
      <c r="G56" s="17">
        <f t="shared" si="11"/>
        <v>49.78496</v>
      </c>
      <c r="J56" s="17">
        <f t="array" ref="J56">IF(ROW(J56)&lt;=COUNTA(D:D)*2,IF(MOD(ROW(J56),2)=1,INDEX(D:D,(ROW(J56)+1)/2),INDEX(F:F,ROW(J56)/2)),"")</f>
        <v>-53.9</v>
      </c>
      <c r="K56" s="17">
        <f t="array" ref="K56">IF(ROW(K56)&lt;=COUNTA(E:E)*2,IF(MOD(ROW(K56),2)=1,INDEX(E:E,(ROW(K56)+1)/2),INDEX(G:G,ROW(K56)/2)),"")</f>
        <v>49.5222</v>
      </c>
    </row>
    <row r="57" spans="1:11" x14ac:dyDescent="0.25">
      <c r="A57" s="28"/>
      <c r="B57" s="17"/>
      <c r="D57" s="17">
        <f t="shared" si="8"/>
        <v>-109.9</v>
      </c>
      <c r="E57" s="17">
        <f t="shared" si="9"/>
        <v>49.47732</v>
      </c>
      <c r="F57" s="17">
        <f t="shared" si="10"/>
        <v>-111.9</v>
      </c>
      <c r="G57" s="17">
        <f t="shared" si="11"/>
        <v>49.47732</v>
      </c>
      <c r="J57" s="17">
        <f t="array" ref="J57">IF(ROW(J57)&lt;=COUNTA(D:D)*2,IF(MOD(ROW(J57),2)=1,INDEX(D:D,(ROW(J57)+1)/2),INDEX(F:F,ROW(J57)/2)),"")</f>
        <v>-53.9</v>
      </c>
      <c r="K57" s="17">
        <f t="array" ref="K57">IF(ROW(K57)&lt;=COUNTA(E:E)*2,IF(MOD(ROW(K57),2)=1,INDEX(E:E,(ROW(K57)+1)/2),INDEX(G:G,ROW(K57)/2)),"")</f>
        <v>49.53648</v>
      </c>
    </row>
    <row r="58" spans="1:11" x14ac:dyDescent="0.25">
      <c r="A58" s="28"/>
      <c r="B58" s="17"/>
      <c r="D58" s="17">
        <f t="shared" si="8"/>
        <v>-111.9</v>
      </c>
      <c r="E58" s="17">
        <f t="shared" si="9"/>
        <v>49.78016</v>
      </c>
      <c r="F58" s="17">
        <f t="shared" si="10"/>
        <v>-113.9</v>
      </c>
      <c r="G58" s="17">
        <f t="shared" si="11"/>
        <v>49.78016</v>
      </c>
      <c r="J58" s="17">
        <f t="array" ref="J58">IF(ROW(J58)&lt;=COUNTA(D:D)*2,IF(MOD(ROW(J58),2)=1,INDEX(D:D,(ROW(J58)+1)/2),INDEX(F:F,ROW(J58)/2)),"")</f>
        <v>-55.9</v>
      </c>
      <c r="K58" s="17">
        <f t="array" ref="K58">IF(ROW(K58)&lt;=COUNTA(E:E)*2,IF(MOD(ROW(K58),2)=1,INDEX(E:E,(ROW(K58)+1)/2),INDEX(G:G,ROW(K58)/2)),"")</f>
        <v>49.53648</v>
      </c>
    </row>
    <row r="59" spans="1:11" x14ac:dyDescent="0.25">
      <c r="A59" s="28"/>
      <c r="B59" s="17"/>
      <c r="D59" s="17">
        <f t="shared" si="8"/>
        <v>-113.9</v>
      </c>
      <c r="E59" s="17">
        <f t="shared" si="9"/>
        <v>49.51544</v>
      </c>
      <c r="F59" s="17">
        <f t="shared" si="10"/>
        <v>-115.9</v>
      </c>
      <c r="G59" s="17">
        <f t="shared" si="11"/>
        <v>49.51544</v>
      </c>
      <c r="J59" s="17">
        <f t="array" ref="J59">IF(ROW(J59)&lt;=COUNTA(D:D)*2,IF(MOD(ROW(J59),2)=1,INDEX(D:D,(ROW(J59)+1)/2),INDEX(F:F,ROW(J59)/2)),"")</f>
        <v>-55.9</v>
      </c>
      <c r="K59" s="17">
        <f t="array" ref="K59">IF(ROW(K59)&lt;=COUNTA(E:E)*2,IF(MOD(ROW(K59),2)=1,INDEX(E:E,(ROW(K59)+1)/2),INDEX(G:G,ROW(K59)/2)),"")</f>
        <v>49.5462</v>
      </c>
    </row>
    <row r="60" spans="1:11" x14ac:dyDescent="0.25">
      <c r="A60" s="29"/>
      <c r="B60" s="17"/>
      <c r="D60" s="17">
        <f t="shared" si="8"/>
        <v>-115.9</v>
      </c>
      <c r="E60" s="17">
        <f t="shared" si="9"/>
        <v>49.788</v>
      </c>
      <c r="F60" s="17">
        <f t="shared" si="10"/>
        <v>-117.9</v>
      </c>
      <c r="G60" s="17">
        <f t="shared" si="11"/>
        <v>49.788</v>
      </c>
      <c r="J60" s="17">
        <f t="array" ref="J60">IF(ROW(J60)&lt;=COUNTA(D:D)*2,IF(MOD(ROW(J60),2)=1,INDEX(D:D,(ROW(J60)+1)/2),INDEX(F:F,ROW(J60)/2)),"")</f>
        <v>-57.9</v>
      </c>
      <c r="K60" s="17">
        <f t="array" ref="K60">IF(ROW(K60)&lt;=COUNTA(E:E)*2,IF(MOD(ROW(K60),2)=1,INDEX(E:E,(ROW(K60)+1)/2),INDEX(G:G,ROW(K60)/2)),"")</f>
        <v>49.5462</v>
      </c>
    </row>
    <row r="61" spans="1:11" x14ac:dyDescent="0.25">
      <c r="A61" s="29"/>
      <c r="B61" s="17"/>
      <c r="D61" s="17">
        <f t="shared" si="8"/>
        <v>-117.9</v>
      </c>
      <c r="E61" s="17">
        <f t="shared" si="9"/>
        <v>49.80192</v>
      </c>
      <c r="F61" s="17">
        <f t="shared" si="10"/>
        <v>-119.9</v>
      </c>
      <c r="G61" s="17">
        <f t="shared" si="11"/>
        <v>49.80192</v>
      </c>
      <c r="J61" s="17">
        <f t="array" ref="J61">IF(ROW(J61)&lt;=COUNTA(D:D)*2,IF(MOD(ROW(J61),2)=1,INDEX(D:D,(ROW(J61)+1)/2),INDEX(F:F,ROW(J61)/2)),"")</f>
        <v>-57.9</v>
      </c>
      <c r="K61" s="17">
        <f t="array" ref="K61">IF(ROW(K61)&lt;=COUNTA(E:E)*2,IF(MOD(ROW(K61),2)=1,INDEX(E:E,(ROW(K61)+1)/2),INDEX(G:G,ROW(K61)/2)),"")</f>
        <v>49.55904</v>
      </c>
    </row>
    <row r="62" spans="1:11" x14ac:dyDescent="0.25">
      <c r="A62" s="29"/>
      <c r="B62" s="17"/>
      <c r="D62" s="17">
        <f t="shared" si="8"/>
        <v>-119.9</v>
      </c>
      <c r="E62" s="17">
        <f t="shared" si="9"/>
        <v>49.81696</v>
      </c>
      <c r="F62" s="17">
        <f t="shared" si="10"/>
        <v>-121.9</v>
      </c>
      <c r="G62" s="17">
        <f t="shared" si="11"/>
        <v>49.81696</v>
      </c>
      <c r="J62" s="17">
        <f t="array" ref="J62">IF(ROW(J62)&lt;=COUNTA(D:D)*2,IF(MOD(ROW(J62),2)=1,INDEX(D:D,(ROW(J62)+1)/2),INDEX(F:F,ROW(J62)/2)),"")</f>
        <v>-59.9</v>
      </c>
      <c r="K62" s="17">
        <f t="array" ref="K62">IF(ROW(K62)&lt;=COUNTA(E:E)*2,IF(MOD(ROW(K62),2)=1,INDEX(E:E,(ROW(K62)+1)/2),INDEX(G:G,ROW(K62)/2)),"")</f>
        <v>49.55904</v>
      </c>
    </row>
    <row r="63" spans="1:11" x14ac:dyDescent="0.25">
      <c r="A63" s="29"/>
      <c r="B63" s="17"/>
      <c r="D63" s="17">
        <f t="shared" si="8"/>
        <v>-121.9</v>
      </c>
      <c r="E63" s="17">
        <f t="shared" si="9"/>
        <v>49.83088</v>
      </c>
      <c r="F63" s="17">
        <f t="shared" si="10"/>
        <v>-123.9</v>
      </c>
      <c r="G63" s="17">
        <f t="shared" si="11"/>
        <v>49.83088</v>
      </c>
      <c r="J63" s="17">
        <f t="array" ref="J63">IF(ROW(J63)&lt;=COUNTA(D:D)*2,IF(MOD(ROW(J63),2)=1,INDEX(D:D,(ROW(J63)+1)/2),INDEX(F:F,ROW(J63)/2)),"")</f>
        <v>-59.9</v>
      </c>
      <c r="K63" s="17">
        <f t="array" ref="K63">IF(ROW(K63)&lt;=COUNTA(E:E)*2,IF(MOD(ROW(K63),2)=1,INDEX(E:E,(ROW(K63)+1)/2),INDEX(G:G,ROW(K63)/2)),"")</f>
        <v>49.56788</v>
      </c>
    </row>
    <row r="64" spans="1:11" x14ac:dyDescent="0.25">
      <c r="A64" s="29"/>
      <c r="B64" s="17"/>
      <c r="D64" s="17">
        <f t="shared" si="8"/>
        <v>-123.9</v>
      </c>
      <c r="E64" s="17">
        <f t="shared" si="9"/>
        <v>50.10236</v>
      </c>
      <c r="F64" s="17">
        <f t="shared" si="10"/>
        <v>-125.9</v>
      </c>
      <c r="G64" s="17">
        <f t="shared" si="11"/>
        <v>50.10236</v>
      </c>
      <c r="J64" s="17">
        <f t="array" ref="J64">IF(ROW(J64)&lt;=COUNTA(D:D)*2,IF(MOD(ROW(J64),2)=1,INDEX(D:D,(ROW(J64)+1)/2),INDEX(F:F,ROW(J64)/2)),"")</f>
        <v>-61.9</v>
      </c>
      <c r="K64" s="17">
        <f t="array" ref="K64">IF(ROW(K64)&lt;=COUNTA(E:E)*2,IF(MOD(ROW(K64),2)=1,INDEX(E:E,(ROW(K64)+1)/2),INDEX(G:G,ROW(K64)/2)),"")</f>
        <v>49.56788</v>
      </c>
    </row>
    <row r="65" spans="1:11" x14ac:dyDescent="0.25">
      <c r="A65" s="29"/>
      <c r="B65" s="17"/>
      <c r="D65" s="17">
        <f t="shared" si="8"/>
        <v>-125.9</v>
      </c>
      <c r="E65" s="17">
        <f t="shared" si="9"/>
        <v>49.80256</v>
      </c>
      <c r="F65" s="17">
        <f t="shared" si="10"/>
        <v>-127.9</v>
      </c>
      <c r="G65" s="17">
        <f t="shared" si="11"/>
        <v>49.80256</v>
      </c>
      <c r="J65" s="17">
        <f t="array" ref="J65">IF(ROW(J65)&lt;=COUNTA(D:D)*2,IF(MOD(ROW(J65),2)=1,INDEX(D:D,(ROW(J65)+1)/2),INDEX(F:F,ROW(J65)/2)),"")</f>
        <v>-61.9</v>
      </c>
      <c r="K65" s="17">
        <f t="array" ref="K65">IF(ROW(K65)&lt;=COUNTA(E:E)*2,IF(MOD(ROW(K65),2)=1,INDEX(E:E,(ROW(K65)+1)/2),INDEX(G:G,ROW(K65)/2)),"")</f>
        <v>49.58072</v>
      </c>
    </row>
    <row r="66" spans="1:11" x14ac:dyDescent="0.25">
      <c r="A66" s="29"/>
      <c r="B66" s="17"/>
      <c r="D66" s="17">
        <f t="shared" si="8"/>
        <v>-127.9</v>
      </c>
      <c r="E66" s="17">
        <f t="shared" si="9"/>
        <v>50.02304</v>
      </c>
      <c r="F66" s="17">
        <f t="shared" si="10"/>
        <v>-129.9</v>
      </c>
      <c r="G66" s="17">
        <f t="shared" si="11"/>
        <v>50.02304</v>
      </c>
      <c r="J66" s="17">
        <f t="array" ref="J66">IF(ROW(J66)&lt;=COUNTA(D:D)*2,IF(MOD(ROW(J66),2)=1,INDEX(D:D,(ROW(J66)+1)/2),INDEX(F:F,ROW(J66)/2)),"")</f>
        <v>-63.9</v>
      </c>
      <c r="K66" s="17">
        <f t="array" ref="K66">IF(ROW(K66)&lt;=COUNTA(E:E)*2,IF(MOD(ROW(K66),2)=1,INDEX(E:E,(ROW(K66)+1)/2),INDEX(G:G,ROW(K66)/2)),"")</f>
        <v>49.58072</v>
      </c>
    </row>
    <row r="67" spans="1:11" x14ac:dyDescent="0.25">
      <c r="A67" s="29"/>
      <c r="B67" s="17"/>
      <c r="D67" s="17">
        <f t="shared" si="8"/>
        <v>-129.9</v>
      </c>
      <c r="E67" s="17">
        <f t="shared" si="9"/>
        <v>49.46608</v>
      </c>
      <c r="F67" s="17">
        <f t="shared" si="10"/>
        <v>-131.9</v>
      </c>
      <c r="G67" s="17">
        <f t="shared" si="11"/>
        <v>49.46608</v>
      </c>
      <c r="J67" s="17">
        <f t="array" ref="J67">IF(ROW(J67)&lt;=COUNTA(D:D)*2,IF(MOD(ROW(J67),2)=1,INDEX(D:D,(ROW(J67)+1)/2),INDEX(F:F,ROW(J67)/2)),"")</f>
        <v>-63.9</v>
      </c>
      <c r="K67" s="17">
        <f t="array" ref="K67">IF(ROW(K67)&lt;=COUNTA(E:E)*2,IF(MOD(ROW(K67),2)=1,INDEX(E:E,(ROW(K67)+1)/2),INDEX(G:G,ROW(K67)/2)),"")</f>
        <v>49.76612</v>
      </c>
    </row>
    <row r="68" spans="1:11" x14ac:dyDescent="0.25">
      <c r="A68" s="29"/>
      <c r="B68" s="17"/>
      <c r="D68" s="17">
        <f t="shared" si="8"/>
        <v>-131.9</v>
      </c>
      <c r="E68" s="17">
        <f t="shared" si="9"/>
        <v>49.34664</v>
      </c>
      <c r="F68" s="17">
        <f t="shared" si="10"/>
        <v>-133.9</v>
      </c>
      <c r="G68" s="17">
        <f t="shared" si="11"/>
        <v>49.34664</v>
      </c>
      <c r="J68" s="17">
        <f t="array" ref="J68">IF(ROW(J68)&lt;=COUNTA(D:D)*2,IF(MOD(ROW(J68),2)=1,INDEX(D:D,(ROW(J68)+1)/2),INDEX(F:F,ROW(J68)/2)),"")</f>
        <v>-65.9</v>
      </c>
      <c r="K68" s="17">
        <f t="array" ref="K68">IF(ROW(K68)&lt;=COUNTA(E:E)*2,IF(MOD(ROW(K68),2)=1,INDEX(E:E,(ROW(K68)+1)/2),INDEX(G:G,ROW(K68)/2)),"")</f>
        <v>49.76612</v>
      </c>
    </row>
    <row r="69" spans="1:11" x14ac:dyDescent="0.25">
      <c r="A69" s="29"/>
      <c r="B69" s="17"/>
      <c r="D69" s="17">
        <f t="shared" si="8"/>
        <v>-133.9</v>
      </c>
      <c r="E69" s="17">
        <f t="shared" si="9"/>
        <v>49.353</v>
      </c>
      <c r="F69" s="17">
        <f t="shared" si="10"/>
        <v>-135.9</v>
      </c>
      <c r="G69" s="17">
        <f t="shared" si="11"/>
        <v>49.353</v>
      </c>
      <c r="J69" s="17">
        <f t="array" ref="J69">IF(ROW(J69)&lt;=COUNTA(D:D)*2,IF(MOD(ROW(J69),2)=1,INDEX(D:D,(ROW(J69)+1)/2),INDEX(F:F,ROW(J69)/2)),"")</f>
        <v>-65.9</v>
      </c>
      <c r="K69" s="17">
        <f t="array" ref="K69">IF(ROW(K69)&lt;=COUNTA(E:E)*2,IF(MOD(ROW(K69),2)=1,INDEX(E:E,(ROW(K69)+1)/2),INDEX(G:G,ROW(K69)/2)),"")</f>
        <v>49.77952</v>
      </c>
    </row>
    <row r="70" spans="1:11" x14ac:dyDescent="0.25">
      <c r="A70" s="28"/>
      <c r="B70" s="17"/>
      <c r="D70" s="17">
        <f t="shared" si="8"/>
        <v>-135.9</v>
      </c>
      <c r="E70" s="17">
        <f t="shared" si="9"/>
        <v>49.43704</v>
      </c>
      <c r="F70" s="17">
        <f t="shared" si="10"/>
        <v>-137.9</v>
      </c>
      <c r="G70" s="17">
        <f t="shared" si="11"/>
        <v>49.43704</v>
      </c>
      <c r="J70" s="17">
        <f t="array" ref="J70">IF(ROW(J70)&lt;=COUNTA(D:D)*2,IF(MOD(ROW(J70),2)=1,INDEX(D:D,(ROW(J70)+1)/2),INDEX(F:F,ROW(J70)/2)),"")</f>
        <v>-67.9</v>
      </c>
      <c r="K70" s="17">
        <f t="array" ref="K70">IF(ROW(K70)&lt;=COUNTA(E:E)*2,IF(MOD(ROW(K70),2)=1,INDEX(E:E,(ROW(K70)+1)/2),INDEX(G:G,ROW(K70)/2)),"")</f>
        <v>49.77952</v>
      </c>
    </row>
    <row r="71" spans="1:11" x14ac:dyDescent="0.25">
      <c r="A71" s="28"/>
      <c r="B71" s="17"/>
      <c r="D71" s="17">
        <f t="shared" si="8"/>
        <v>-137.9</v>
      </c>
      <c r="E71" s="17">
        <f t="shared" si="9"/>
        <v>49.35916</v>
      </c>
      <c r="F71" s="17">
        <f t="shared" si="10"/>
        <v>-139.9</v>
      </c>
      <c r="G71" s="17">
        <f t="shared" si="11"/>
        <v>49.35916</v>
      </c>
      <c r="J71" s="17">
        <f t="array" ref="J71">IF(ROW(J71)&lt;=COUNTA(D:D)*2,IF(MOD(ROW(J71),2)=1,INDEX(D:D,(ROW(J71)+1)/2),INDEX(F:F,ROW(J71)/2)),"")</f>
        <v>-67.9</v>
      </c>
      <c r="K71" s="17">
        <f t="array" ref="K71">IF(ROW(K71)&lt;=COUNTA(E:E)*2,IF(MOD(ROW(K71),2)=1,INDEX(E:E,(ROW(K71)+1)/2),INDEX(G:G,ROW(K71)/2)),"")</f>
        <v>49.79648</v>
      </c>
    </row>
    <row r="72" spans="1:11" x14ac:dyDescent="0.25">
      <c r="A72" s="28"/>
      <c r="B72" s="17"/>
      <c r="D72" s="17">
        <f t="shared" si="8"/>
        <v>-139.9</v>
      </c>
      <c r="E72" s="17">
        <f t="shared" si="9"/>
        <v>49.36628</v>
      </c>
      <c r="F72" s="17">
        <f t="shared" si="10"/>
        <v>-141.9</v>
      </c>
      <c r="G72" s="17">
        <f t="shared" si="11"/>
        <v>49.36628</v>
      </c>
      <c r="J72" s="17">
        <f t="array" ref="J72">IF(ROW(J72)&lt;=COUNTA(D:D)*2,IF(MOD(ROW(J72),2)=1,INDEX(D:D,(ROW(J72)+1)/2),INDEX(F:F,ROW(J72)/2)),"")</f>
        <v>-69.9</v>
      </c>
      <c r="K72" s="17">
        <f t="array" ref="K72">IF(ROW(K72)&lt;=COUNTA(E:E)*2,IF(MOD(ROW(K72),2)=1,INDEX(E:E,(ROW(K72)+1)/2),INDEX(G:G,ROW(K72)/2)),"")</f>
        <v>49.79648</v>
      </c>
    </row>
    <row r="73" spans="1:11" x14ac:dyDescent="0.25">
      <c r="A73" s="28"/>
      <c r="B73" s="17"/>
      <c r="D73" s="17">
        <f t="shared" ref="D73:D114" si="12">0-A72</f>
        <v>-141.9</v>
      </c>
      <c r="E73" s="17">
        <f t="shared" ref="E73:E114" si="13">49+(B73)*4</f>
        <v>49.46528</v>
      </c>
      <c r="F73" s="17">
        <f t="shared" ref="F73:F114" si="14">0-A73</f>
        <v>-143.9</v>
      </c>
      <c r="G73" s="17">
        <f t="shared" ref="G73:G114" si="15">49+(B73)*4</f>
        <v>49.46528</v>
      </c>
      <c r="J73" s="17">
        <f t="array" ref="J73">IF(ROW(J73)&lt;=COUNTA(D:D)*2,IF(MOD(ROW(J73),2)=1,INDEX(D:D,(ROW(J73)+1)/2),INDEX(F:F,ROW(J73)/2)),"")</f>
        <v>-69.9</v>
      </c>
      <c r="K73" s="17">
        <f t="array" ref="K73">IF(ROW(K73)&lt;=COUNTA(E:E)*2,IF(MOD(ROW(K73),2)=1,INDEX(E:E,(ROW(K73)+1)/2),INDEX(G:G,ROW(K73)/2)),"")</f>
        <v>49.80496</v>
      </c>
    </row>
    <row r="74" spans="1:11" x14ac:dyDescent="0.25">
      <c r="A74" s="28"/>
      <c r="B74" s="17"/>
      <c r="D74" s="17">
        <f t="shared" si="12"/>
        <v>-143.9</v>
      </c>
      <c r="E74" s="17">
        <f t="shared" si="13"/>
        <v>49.47272</v>
      </c>
      <c r="F74" s="17">
        <f t="shared" si="14"/>
        <v>-145.9</v>
      </c>
      <c r="G74" s="17">
        <f t="shared" si="15"/>
        <v>49.47272</v>
      </c>
      <c r="J74" s="17">
        <f t="array" ref="J74">IF(ROW(J74)&lt;=COUNTA(D:D)*2,IF(MOD(ROW(J74),2)=1,INDEX(D:D,(ROW(J74)+1)/2),INDEX(F:F,ROW(J74)/2)),"")</f>
        <v>-71.9</v>
      </c>
      <c r="K74" s="17">
        <f t="array" ref="K74">IF(ROW(K74)&lt;=COUNTA(E:E)*2,IF(MOD(ROW(K74),2)=1,INDEX(E:E,(ROW(K74)+1)/2),INDEX(G:G,ROW(K74)/2)),"")</f>
        <v>49.80496</v>
      </c>
    </row>
    <row r="75" spans="1:11" x14ac:dyDescent="0.25">
      <c r="A75" s="28"/>
      <c r="B75" s="17"/>
      <c r="D75" s="17">
        <f t="shared" si="12"/>
        <v>-145.9</v>
      </c>
      <c r="E75" s="17">
        <f t="shared" si="13"/>
        <v>49.37784</v>
      </c>
      <c r="F75" s="17">
        <f t="shared" si="14"/>
        <v>-147.9</v>
      </c>
      <c r="G75" s="17">
        <f t="shared" si="15"/>
        <v>49.37784</v>
      </c>
      <c r="J75" s="17">
        <f t="array" ref="J75">IF(ROW(J75)&lt;=COUNTA(D:D)*2,IF(MOD(ROW(J75),2)=1,INDEX(D:D,(ROW(J75)+1)/2),INDEX(F:F,ROW(J75)/2)),"")</f>
        <v>-71.9</v>
      </c>
      <c r="K75" s="17">
        <f t="array" ref="K75">IF(ROW(K75)&lt;=COUNTA(E:E)*2,IF(MOD(ROW(K75),2)=1,INDEX(E:E,(ROW(K75)+1)/2),INDEX(G:G,ROW(K75)/2)),"")</f>
        <v>49.8226</v>
      </c>
    </row>
    <row r="76" spans="1:11" x14ac:dyDescent="0.25">
      <c r="A76" s="28"/>
      <c r="B76" s="17"/>
      <c r="D76" s="17">
        <f t="shared" si="12"/>
        <v>-147.9</v>
      </c>
      <c r="E76" s="17">
        <f t="shared" si="13"/>
        <v>49.48256</v>
      </c>
      <c r="F76" s="17">
        <f t="shared" si="14"/>
        <v>-149.9</v>
      </c>
      <c r="G76" s="17">
        <f t="shared" si="15"/>
        <v>49.48256</v>
      </c>
      <c r="J76" s="17">
        <f t="array" ref="J76">IF(ROW(J76)&lt;=COUNTA(D:D)*2,IF(MOD(ROW(J76),2)=1,INDEX(D:D,(ROW(J76)+1)/2),INDEX(F:F,ROW(J76)/2)),"")</f>
        <v>-73.9</v>
      </c>
      <c r="K76" s="17">
        <f t="array" ref="K76">IF(ROW(K76)&lt;=COUNTA(E:E)*2,IF(MOD(ROW(K76),2)=1,INDEX(E:E,(ROW(K76)+1)/2),INDEX(G:G,ROW(K76)/2)),"")</f>
        <v>49.8226</v>
      </c>
    </row>
    <row r="77" spans="1:11" x14ac:dyDescent="0.25">
      <c r="A77" s="28"/>
      <c r="B77" s="17"/>
      <c r="D77" s="17">
        <f t="shared" si="12"/>
        <v>-149.9</v>
      </c>
      <c r="E77" s="17">
        <f t="shared" si="13"/>
        <v>49.38424</v>
      </c>
      <c r="F77" s="17">
        <f t="shared" si="14"/>
        <v>-151.9</v>
      </c>
      <c r="G77" s="17">
        <f t="shared" si="15"/>
        <v>49.38424</v>
      </c>
      <c r="J77" s="17">
        <f t="array" ref="J77">IF(ROW(J77)&lt;=COUNTA(D:D)*2,IF(MOD(ROW(J77),2)=1,INDEX(D:D,(ROW(J77)+1)/2),INDEX(F:F,ROW(J77)/2)),"")</f>
        <v>-73.9</v>
      </c>
      <c r="K77" s="17">
        <f t="array" ref="K77">IF(ROW(K77)&lt;=COUNTA(E:E)*2,IF(MOD(ROW(K77),2)=1,INDEX(E:E,(ROW(K77)+1)/2),INDEX(G:G,ROW(K77)/2)),"")</f>
        <v>49.83672</v>
      </c>
    </row>
    <row r="78" spans="1:11" x14ac:dyDescent="0.25">
      <c r="A78" s="28"/>
      <c r="B78" s="17"/>
      <c r="D78" s="17">
        <f t="shared" si="12"/>
        <v>-151.9</v>
      </c>
      <c r="E78" s="17">
        <f t="shared" si="13"/>
        <v>49.5606</v>
      </c>
      <c r="F78" s="17">
        <f t="shared" si="14"/>
        <v>-153.9</v>
      </c>
      <c r="G78" s="17">
        <f t="shared" si="15"/>
        <v>49.5606</v>
      </c>
      <c r="J78" s="17">
        <f t="array" ref="J78">IF(ROW(J78)&lt;=COUNTA(D:D)*2,IF(MOD(ROW(J78),2)=1,INDEX(D:D,(ROW(J78)+1)/2),INDEX(F:F,ROW(J78)/2)),"")</f>
        <v>-75.9</v>
      </c>
      <c r="K78" s="17">
        <f t="array" ref="K78">IF(ROW(K78)&lt;=COUNTA(E:E)*2,IF(MOD(ROW(K78),2)=1,INDEX(E:E,(ROW(K78)+1)/2),INDEX(G:G,ROW(K78)/2)),"")</f>
        <v>49.83672</v>
      </c>
    </row>
    <row r="79" spans="1:11" x14ac:dyDescent="0.25">
      <c r="A79" s="28"/>
      <c r="B79" s="17"/>
      <c r="D79" s="17">
        <f t="shared" si="12"/>
        <v>-153.9</v>
      </c>
      <c r="E79" s="17">
        <f t="shared" si="13"/>
        <v>49.89552</v>
      </c>
      <c r="F79" s="17">
        <f t="shared" si="14"/>
        <v>-155.9</v>
      </c>
      <c r="G79" s="17">
        <f t="shared" si="15"/>
        <v>49.89552</v>
      </c>
      <c r="J79" s="17">
        <f t="array" ref="J79">IF(ROW(J79)&lt;=COUNTA(D:D)*2,IF(MOD(ROW(J79),2)=1,INDEX(D:D,(ROW(J79)+1)/2),INDEX(F:F,ROW(J79)/2)),"")</f>
        <v>-75.9</v>
      </c>
      <c r="K79" s="17">
        <f t="array" ref="K79">IF(ROW(K79)&lt;=COUNTA(E:E)*2,IF(MOD(ROW(K79),2)=1,INDEX(E:E,(ROW(K79)+1)/2),INDEX(G:G,ROW(K79)/2)),"")</f>
        <v>49.85484</v>
      </c>
    </row>
    <row r="80" spans="1:11" x14ac:dyDescent="0.25">
      <c r="A80" s="28"/>
      <c r="B80" s="17"/>
      <c r="D80" s="17">
        <f t="shared" si="12"/>
        <v>-155.9</v>
      </c>
      <c r="E80" s="17">
        <f t="shared" si="13"/>
        <v>49.91412</v>
      </c>
      <c r="F80" s="17">
        <f t="shared" si="14"/>
        <v>-157.9</v>
      </c>
      <c r="G80" s="17">
        <f t="shared" si="15"/>
        <v>49.91412</v>
      </c>
      <c r="J80" s="17">
        <f t="array" ref="J80">IF(ROW(J80)&lt;=COUNTA(D:D)*2,IF(MOD(ROW(J80),2)=1,INDEX(D:D,(ROW(J80)+1)/2),INDEX(F:F,ROW(J80)/2)),"")</f>
        <v>-77.9</v>
      </c>
      <c r="K80" s="17">
        <f t="array" ref="K80">IF(ROW(K80)&lt;=COUNTA(E:E)*2,IF(MOD(ROW(K80),2)=1,INDEX(E:E,(ROW(K80)+1)/2),INDEX(G:G,ROW(K80)/2)),"")</f>
        <v>49.85484</v>
      </c>
    </row>
    <row r="81" spans="1:11" x14ac:dyDescent="0.25">
      <c r="A81" s="28"/>
      <c r="B81" s="17"/>
      <c r="D81" s="17">
        <f t="shared" si="12"/>
        <v>-157.9</v>
      </c>
      <c r="E81" s="17">
        <f t="shared" si="13"/>
        <v>49.91624</v>
      </c>
      <c r="F81" s="17">
        <f t="shared" si="14"/>
        <v>-159.9</v>
      </c>
      <c r="G81" s="17">
        <f t="shared" si="15"/>
        <v>49.91624</v>
      </c>
      <c r="J81" s="17">
        <f t="array" ref="J81">IF(ROW(J81)&lt;=COUNTA(D:D)*2,IF(MOD(ROW(J81),2)=1,INDEX(D:D,(ROW(J81)+1)/2),INDEX(F:F,ROW(J81)/2)),"")</f>
        <v>-77.9</v>
      </c>
      <c r="K81" s="17">
        <f t="array" ref="K81">IF(ROW(K81)&lt;=COUNTA(E:E)*2,IF(MOD(ROW(K81),2)=1,INDEX(E:E,(ROW(K81)+1)/2),INDEX(G:G,ROW(K81)/2)),"")</f>
        <v>49.58912</v>
      </c>
    </row>
    <row r="82" spans="1:11" x14ac:dyDescent="0.25">
      <c r="A82" s="28"/>
      <c r="B82" s="17"/>
      <c r="D82" s="17">
        <f t="shared" si="12"/>
        <v>-159.9</v>
      </c>
      <c r="E82" s="17">
        <f t="shared" si="13"/>
        <v>49.49236</v>
      </c>
      <c r="F82" s="17">
        <f t="shared" si="14"/>
        <v>-161.9</v>
      </c>
      <c r="G82" s="17">
        <f t="shared" si="15"/>
        <v>49.49236</v>
      </c>
      <c r="J82" s="17">
        <f t="array" ref="J82">IF(ROW(J82)&lt;=COUNTA(D:D)*2,IF(MOD(ROW(J82),2)=1,INDEX(D:D,(ROW(J82)+1)/2),INDEX(F:F,ROW(J82)/2)),"")</f>
        <v>-79.9</v>
      </c>
      <c r="K82" s="17">
        <f t="array" ref="K82">IF(ROW(K82)&lt;=COUNTA(E:E)*2,IF(MOD(ROW(K82),2)=1,INDEX(E:E,(ROW(K82)+1)/2),INDEX(G:G,ROW(K82)/2)),"")</f>
        <v>49.58912</v>
      </c>
    </row>
    <row r="83" spans="1:11" x14ac:dyDescent="0.25">
      <c r="A83" s="28"/>
      <c r="B83" s="17"/>
      <c r="D83" s="17">
        <f t="shared" si="12"/>
        <v>-161.9</v>
      </c>
      <c r="E83" s="17">
        <f t="shared" si="13"/>
        <v>49.5222</v>
      </c>
      <c r="F83" s="17">
        <f t="shared" si="14"/>
        <v>-163.9</v>
      </c>
      <c r="G83" s="17">
        <f t="shared" si="15"/>
        <v>49.5222</v>
      </c>
      <c r="J83" s="17">
        <f t="array" ref="J83">IF(ROW(J83)&lt;=COUNTA(D:D)*2,IF(MOD(ROW(J83),2)=1,INDEX(D:D,(ROW(J83)+1)/2),INDEX(F:F,ROW(J83)/2)),"")</f>
        <v>-79.9</v>
      </c>
      <c r="K83" s="17">
        <f t="array" ref="K83">IF(ROW(K83)&lt;=COUNTA(E:E)*2,IF(MOD(ROW(K83),2)=1,INDEX(E:E,(ROW(K83)+1)/2),INDEX(G:G,ROW(K83)/2)),"")</f>
        <v>49.59728</v>
      </c>
    </row>
    <row r="84" spans="1:11" x14ac:dyDescent="0.25">
      <c r="A84" s="28"/>
      <c r="B84" s="17"/>
      <c r="D84" s="17">
        <f t="shared" si="12"/>
        <v>-163.9</v>
      </c>
      <c r="E84" s="17">
        <f t="shared" si="13"/>
        <v>49.55952</v>
      </c>
      <c r="F84" s="17">
        <f t="shared" si="14"/>
        <v>-165.9</v>
      </c>
      <c r="G84" s="17">
        <f t="shared" si="15"/>
        <v>49.55952</v>
      </c>
      <c r="J84" s="17">
        <f t="array" ref="J84">IF(ROW(J84)&lt;=COUNTA(D:D)*2,IF(MOD(ROW(J84),2)=1,INDEX(D:D,(ROW(J84)+1)/2),INDEX(F:F,ROW(J84)/2)),"")</f>
        <v>-81.9</v>
      </c>
      <c r="K84" s="17">
        <f t="array" ref="K84">IF(ROW(K84)&lt;=COUNTA(E:E)*2,IF(MOD(ROW(K84),2)=1,INDEX(E:E,(ROW(K84)+1)/2),INDEX(G:G,ROW(K84)/2)),"")</f>
        <v>49.59728</v>
      </c>
    </row>
    <row r="85" spans="1:11" x14ac:dyDescent="0.25">
      <c r="A85" s="28"/>
      <c r="B85" s="17"/>
      <c r="D85" s="17">
        <f t="shared" si="12"/>
        <v>-165.9</v>
      </c>
      <c r="E85" s="17">
        <f t="shared" si="13"/>
        <v>49.57492</v>
      </c>
      <c r="F85" s="17">
        <f t="shared" si="14"/>
        <v>-167.9</v>
      </c>
      <c r="G85" s="17">
        <f t="shared" si="15"/>
        <v>49.57492</v>
      </c>
      <c r="J85" s="17">
        <f t="array" ref="J85">IF(ROW(J85)&lt;=COUNTA(D:D)*2,IF(MOD(ROW(J85),2)=1,INDEX(D:D,(ROW(J85)+1)/2),INDEX(F:F,ROW(J85)/2)),"")</f>
        <v>-81.9</v>
      </c>
      <c r="K85" s="17">
        <f t="array" ref="K85">IF(ROW(K85)&lt;=COUNTA(E:E)*2,IF(MOD(ROW(K85),2)=1,INDEX(E:E,(ROW(K85)+1)/2),INDEX(G:G,ROW(K85)/2)),"")</f>
        <v>49.612</v>
      </c>
    </row>
    <row r="86" spans="1:11" x14ac:dyDescent="0.25">
      <c r="A86" s="28"/>
      <c r="B86" s="17"/>
      <c r="D86" s="17">
        <f t="shared" si="12"/>
        <v>-167.9</v>
      </c>
      <c r="E86" s="17">
        <f t="shared" si="13"/>
        <v>49.40224</v>
      </c>
      <c r="F86" s="17">
        <f t="shared" si="14"/>
        <v>-169.9</v>
      </c>
      <c r="G86" s="17">
        <f t="shared" si="15"/>
        <v>49.40224</v>
      </c>
      <c r="J86" s="17">
        <f t="array" ref="J86">IF(ROW(J86)&lt;=COUNTA(D:D)*2,IF(MOD(ROW(J86),2)=1,INDEX(D:D,(ROW(J86)+1)/2),INDEX(F:F,ROW(J86)/2)),"")</f>
        <v>-83.9</v>
      </c>
      <c r="K86" s="17">
        <f t="array" ref="K86">IF(ROW(K86)&lt;=COUNTA(E:E)*2,IF(MOD(ROW(K86),2)=1,INDEX(E:E,(ROW(K86)+1)/2),INDEX(G:G,ROW(K86)/2)),"")</f>
        <v>49.612</v>
      </c>
    </row>
    <row r="87" spans="1:11" x14ac:dyDescent="0.25">
      <c r="A87" s="28"/>
      <c r="B87" s="17"/>
      <c r="D87" s="17">
        <f t="shared" si="12"/>
        <v>-169.9</v>
      </c>
      <c r="E87" s="17">
        <f t="shared" si="13"/>
        <v>49.38544</v>
      </c>
      <c r="F87" s="17">
        <f t="shared" si="14"/>
        <v>-171.9</v>
      </c>
      <c r="G87" s="17">
        <f t="shared" si="15"/>
        <v>49.38544</v>
      </c>
      <c r="J87" s="17">
        <f t="array" ref="J87">IF(ROW(J87)&lt;=COUNTA(D:D)*2,IF(MOD(ROW(J87),2)=1,INDEX(D:D,(ROW(J87)+1)/2),INDEX(F:F,ROW(J87)/2)),"")</f>
        <v>-83.9</v>
      </c>
      <c r="K87" s="17">
        <f t="array" ref="K87">IF(ROW(K87)&lt;=COUNTA(E:E)*2,IF(MOD(ROW(K87),2)=1,INDEX(E:E,(ROW(K87)+1)/2),INDEX(G:G,ROW(K87)/2)),"")</f>
        <v>49.62656</v>
      </c>
    </row>
    <row r="88" spans="1:11" x14ac:dyDescent="0.25">
      <c r="A88" s="28"/>
      <c r="B88" s="17"/>
      <c r="D88" s="17">
        <f t="shared" si="12"/>
        <v>-171.9</v>
      </c>
      <c r="E88" s="17">
        <f t="shared" si="13"/>
        <v>49.49516</v>
      </c>
      <c r="F88" s="17">
        <f t="shared" si="14"/>
        <v>-173.9</v>
      </c>
      <c r="G88" s="17">
        <f t="shared" si="15"/>
        <v>49.49516</v>
      </c>
      <c r="J88" s="17">
        <f t="array" ref="J88">IF(ROW(J88)&lt;=COUNTA(D:D)*2,IF(MOD(ROW(J88),2)=1,INDEX(D:D,(ROW(J88)+1)/2),INDEX(F:F,ROW(J88)/2)),"")</f>
        <v>-85.9</v>
      </c>
      <c r="K88" s="17">
        <f t="array" ref="K88">IF(ROW(K88)&lt;=COUNTA(E:E)*2,IF(MOD(ROW(K88),2)=1,INDEX(E:E,(ROW(K88)+1)/2),INDEX(G:G,ROW(K88)/2)),"")</f>
        <v>49.62656</v>
      </c>
    </row>
    <row r="89" spans="1:11" x14ac:dyDescent="0.25">
      <c r="A89" s="28"/>
      <c r="B89" s="17"/>
      <c r="D89" s="17">
        <f t="shared" si="12"/>
        <v>-173.9</v>
      </c>
      <c r="E89" s="17">
        <f t="shared" si="13"/>
        <v>49.39248</v>
      </c>
      <c r="F89" s="17">
        <f t="shared" si="14"/>
        <v>-175.9</v>
      </c>
      <c r="G89" s="17">
        <f t="shared" si="15"/>
        <v>49.39248</v>
      </c>
      <c r="J89" s="17">
        <f t="array" ref="J89">IF(ROW(J89)&lt;=COUNTA(D:D)*2,IF(MOD(ROW(J89),2)=1,INDEX(D:D,(ROW(J89)+1)/2),INDEX(F:F,ROW(J89)/2)),"")</f>
        <v>-85.9</v>
      </c>
      <c r="K89" s="17">
        <f t="array" ref="K89">IF(ROW(K89)&lt;=COUNTA(E:E)*2,IF(MOD(ROW(K89),2)=1,INDEX(E:E,(ROW(K89)+1)/2),INDEX(G:G,ROW(K89)/2)),"")</f>
        <v>49.64208</v>
      </c>
    </row>
    <row r="90" spans="1:11" x14ac:dyDescent="0.25">
      <c r="A90" s="17"/>
      <c r="B90" s="17"/>
      <c r="D90" s="17">
        <f t="shared" si="12"/>
        <v>-175.9</v>
      </c>
      <c r="E90" s="17">
        <f t="shared" si="13"/>
        <v>49.40896</v>
      </c>
      <c r="F90" s="17">
        <f t="shared" si="14"/>
        <v>-177.9</v>
      </c>
      <c r="G90" s="17">
        <f t="shared" si="15"/>
        <v>49.40896</v>
      </c>
      <c r="J90" s="17">
        <f t="array" ref="J90">IF(ROW(J90)&lt;=COUNTA(D:D)*2,IF(MOD(ROW(J90),2)=1,INDEX(D:D,(ROW(J90)+1)/2),INDEX(F:F,ROW(J90)/2)),"")</f>
        <v>-87.9</v>
      </c>
      <c r="K90" s="17">
        <f t="array" ref="K90">IF(ROW(K90)&lt;=COUNTA(E:E)*2,IF(MOD(ROW(K90),2)=1,INDEX(E:E,(ROW(K90)+1)/2),INDEX(G:G,ROW(K90)/2)),"")</f>
        <v>49.64208</v>
      </c>
    </row>
    <row r="91" spans="1:11" x14ac:dyDescent="0.25">
      <c r="A91" s="17"/>
      <c r="B91" s="17"/>
      <c r="D91" s="17">
        <f t="shared" si="12"/>
        <v>-177.9</v>
      </c>
      <c r="E91" s="17">
        <f t="shared" si="13"/>
        <v>49.41888</v>
      </c>
      <c r="F91" s="17">
        <f t="shared" si="14"/>
        <v>-179.9</v>
      </c>
      <c r="G91" s="17">
        <f t="shared" si="15"/>
        <v>49.41888</v>
      </c>
      <c r="J91" s="17">
        <f t="array" ref="J91">IF(ROW(J91)&lt;=COUNTA(D:D)*2,IF(MOD(ROW(J91),2)=1,INDEX(D:D,(ROW(J91)+1)/2),INDEX(F:F,ROW(J91)/2)),"")</f>
        <v>-87.9</v>
      </c>
      <c r="K91" s="17">
        <f t="array" ref="K91">IF(ROW(K91)&lt;=COUNTA(E:E)*2,IF(MOD(ROW(K91),2)=1,INDEX(E:E,(ROW(K91)+1)/2),INDEX(G:G,ROW(K91)/2)),"")</f>
        <v>49.6552</v>
      </c>
    </row>
    <row r="92" spans="1:11" x14ac:dyDescent="0.25">
      <c r="A92" s="17"/>
      <c r="B92" s="17"/>
      <c r="D92" s="17">
        <f t="shared" si="12"/>
        <v>-179.9</v>
      </c>
      <c r="E92" s="17">
        <f t="shared" si="13"/>
        <v>49.42576</v>
      </c>
      <c r="F92" s="17">
        <f t="shared" si="14"/>
        <v>-181.9</v>
      </c>
      <c r="G92" s="17">
        <f t="shared" si="15"/>
        <v>49.42576</v>
      </c>
      <c r="J92" s="17">
        <f t="array" ref="J92">IF(ROW(J92)&lt;=COUNTA(D:D)*2,IF(MOD(ROW(J92),2)=1,INDEX(D:D,(ROW(J92)+1)/2),INDEX(F:F,ROW(J92)/2)),"")</f>
        <v>-89.9</v>
      </c>
      <c r="K92" s="17">
        <f t="array" ref="K92">IF(ROW(K92)&lt;=COUNTA(E:E)*2,IF(MOD(ROW(K92),2)=1,INDEX(E:E,(ROW(K92)+1)/2),INDEX(G:G,ROW(K92)/2)),"")</f>
        <v>49.6552</v>
      </c>
    </row>
    <row r="93" spans="1:11" x14ac:dyDescent="0.25">
      <c r="A93" s="17"/>
      <c r="B93" s="17"/>
      <c r="D93" s="17">
        <f t="shared" si="12"/>
        <v>-181.9</v>
      </c>
      <c r="E93" s="17">
        <f t="shared" si="13"/>
        <v>49.50084</v>
      </c>
      <c r="F93" s="17">
        <f t="shared" si="14"/>
        <v>-183.9</v>
      </c>
      <c r="G93" s="17">
        <f t="shared" si="15"/>
        <v>49.50084</v>
      </c>
      <c r="J93" s="17">
        <f t="array" ref="J93">IF(ROW(J93)&lt;=COUNTA(D:D)*2,IF(MOD(ROW(J93),2)=1,INDEX(D:D,(ROW(J93)+1)/2),INDEX(F:F,ROW(J93)/2)),"")</f>
        <v>-89.9</v>
      </c>
      <c r="K93" s="17">
        <f t="array" ref="K93">IF(ROW(K93)&lt;=COUNTA(E:E)*2,IF(MOD(ROW(K93),2)=1,INDEX(E:E,(ROW(K93)+1)/2),INDEX(G:G,ROW(K93)/2)),"")</f>
        <v>49.6664</v>
      </c>
    </row>
    <row r="94" spans="1:11" x14ac:dyDescent="0.25">
      <c r="A94" s="17"/>
      <c r="B94" s="17"/>
      <c r="D94" s="17">
        <f t="shared" si="12"/>
        <v>-183.9</v>
      </c>
      <c r="E94" s="17">
        <f t="shared" si="13"/>
        <v>49.51104</v>
      </c>
      <c r="F94" s="17">
        <f t="shared" si="14"/>
        <v>-185.9</v>
      </c>
      <c r="G94" s="17">
        <f t="shared" si="15"/>
        <v>49.51104</v>
      </c>
      <c r="J94" s="17">
        <f t="array" ref="J94">IF(ROW(J94)&lt;=COUNTA(D:D)*2,IF(MOD(ROW(J94),2)=1,INDEX(D:D,(ROW(J94)+1)/2),INDEX(F:F,ROW(J94)/2)),"")</f>
        <v>-91.9</v>
      </c>
      <c r="K94" s="17">
        <f t="array" ref="K94">IF(ROW(K94)&lt;=COUNTA(E:E)*2,IF(MOD(ROW(K94),2)=1,INDEX(E:E,(ROW(K94)+1)/2),INDEX(G:G,ROW(K94)/2)),"")</f>
        <v>49.6664</v>
      </c>
    </row>
    <row r="95" spans="1:11" x14ac:dyDescent="0.25">
      <c r="A95" s="17"/>
      <c r="B95" s="17"/>
      <c r="D95" s="17">
        <f t="shared" si="12"/>
        <v>-185.9</v>
      </c>
      <c r="E95" s="17">
        <f t="shared" si="13"/>
        <v>49.51976</v>
      </c>
      <c r="F95" s="17">
        <f t="shared" si="14"/>
        <v>-187.9</v>
      </c>
      <c r="G95" s="17">
        <f t="shared" si="15"/>
        <v>49.51976</v>
      </c>
      <c r="J95" s="17">
        <f t="array" ref="J95">IF(ROW(J95)&lt;=COUNTA(D:D)*2,IF(MOD(ROW(J95),2)=1,INDEX(D:D,(ROW(J95)+1)/2),INDEX(F:F,ROW(J95)/2)),"")</f>
        <v>-91.9</v>
      </c>
      <c r="K95" s="17">
        <f t="array" ref="K95">IF(ROW(K95)&lt;=COUNTA(E:E)*2,IF(MOD(ROW(K95),2)=1,INDEX(E:E,(ROW(K95)+1)/2),INDEX(G:G,ROW(K95)/2)),"")</f>
        <v>49.67488</v>
      </c>
    </row>
    <row r="96" spans="1:11" x14ac:dyDescent="0.25">
      <c r="A96" s="17"/>
      <c r="B96" s="17"/>
      <c r="D96" s="17">
        <f t="shared" si="12"/>
        <v>-187.9</v>
      </c>
      <c r="E96" s="17">
        <f t="shared" si="13"/>
        <v>49.53408</v>
      </c>
      <c r="F96" s="17">
        <f t="shared" si="14"/>
        <v>-189.9</v>
      </c>
      <c r="G96" s="17">
        <f t="shared" si="15"/>
        <v>49.53408</v>
      </c>
      <c r="J96" s="17">
        <f t="array" ref="J96">IF(ROW(J96)&lt;=COUNTA(D:D)*2,IF(MOD(ROW(J96),2)=1,INDEX(D:D,(ROW(J96)+1)/2),INDEX(F:F,ROW(J96)/2)),"")</f>
        <v>-93.9</v>
      </c>
      <c r="K96" s="17">
        <f t="array" ref="K96">IF(ROW(K96)&lt;=COUNTA(E:E)*2,IF(MOD(ROW(K96),2)=1,INDEX(E:E,(ROW(K96)+1)/2),INDEX(G:G,ROW(K96)/2)),"")</f>
        <v>49.67488</v>
      </c>
    </row>
    <row r="97" spans="1:11" x14ac:dyDescent="0.25">
      <c r="A97" s="17"/>
      <c r="B97" s="17"/>
      <c r="D97" s="17">
        <f t="shared" si="12"/>
        <v>-189.9</v>
      </c>
      <c r="E97" s="17">
        <f t="shared" si="13"/>
        <v>50.16944</v>
      </c>
      <c r="F97" s="17">
        <f t="shared" si="14"/>
        <v>-191.9</v>
      </c>
      <c r="G97" s="17">
        <f t="shared" si="15"/>
        <v>50.16944</v>
      </c>
      <c r="J97" s="17">
        <f t="array" ref="J97">IF(ROW(J97)&lt;=COUNTA(D:D)*2,IF(MOD(ROW(J97),2)=1,INDEX(D:D,(ROW(J97)+1)/2),INDEX(F:F,ROW(J97)/2)),"")</f>
        <v>-93.9</v>
      </c>
      <c r="K97" s="17">
        <f t="array" ref="K97">IF(ROW(K97)&lt;=COUNTA(E:E)*2,IF(MOD(ROW(K97),2)=1,INDEX(E:E,(ROW(K97)+1)/2),INDEX(G:G,ROW(K97)/2)),"")</f>
        <v>49.68672</v>
      </c>
    </row>
    <row r="98" spans="1:11" x14ac:dyDescent="0.25">
      <c r="A98" s="17"/>
      <c r="B98" s="17"/>
      <c r="D98" s="17">
        <f t="shared" si="12"/>
        <v>-191.9</v>
      </c>
      <c r="E98" s="17">
        <f t="shared" si="13"/>
        <v>49.89264</v>
      </c>
      <c r="F98" s="17">
        <f t="shared" si="14"/>
        <v>-193.9</v>
      </c>
      <c r="G98" s="17">
        <f t="shared" si="15"/>
        <v>49.89264</v>
      </c>
      <c r="J98" s="17">
        <f t="array" ref="J98">IF(ROW(J98)&lt;=COUNTA(D:D)*2,IF(MOD(ROW(J98),2)=1,INDEX(D:D,(ROW(J98)+1)/2),INDEX(F:F,ROW(J98)/2)),"")</f>
        <v>-95.9</v>
      </c>
      <c r="K98" s="17">
        <f t="array" ref="K98">IF(ROW(K98)&lt;=COUNTA(E:E)*2,IF(MOD(ROW(K98),2)=1,INDEX(E:E,(ROW(K98)+1)/2),INDEX(G:G,ROW(K98)/2)),"")</f>
        <v>49.68672</v>
      </c>
    </row>
    <row r="99" spans="1:11" x14ac:dyDescent="0.25">
      <c r="A99" s="17"/>
      <c r="B99" s="17"/>
      <c r="D99" s="17">
        <f t="shared" si="12"/>
        <v>-193.9</v>
      </c>
      <c r="E99" s="17">
        <f t="shared" si="13"/>
        <v>49.57544</v>
      </c>
      <c r="F99" s="17">
        <f t="shared" si="14"/>
        <v>-195.9</v>
      </c>
      <c r="G99" s="17">
        <f t="shared" si="15"/>
        <v>49.57544</v>
      </c>
      <c r="J99" s="17">
        <f t="array" ref="J99">IF(ROW(J99)&lt;=COUNTA(D:D)*2,IF(MOD(ROW(J99),2)=1,INDEX(D:D,(ROW(J99)+1)/2),INDEX(F:F,ROW(J99)/2)),"")</f>
        <v>-95.9</v>
      </c>
      <c r="K99" s="17">
        <f t="array" ref="K99">IF(ROW(K99)&lt;=COUNTA(E:E)*2,IF(MOD(ROW(K99),2)=1,INDEX(E:E,(ROW(K99)+1)/2),INDEX(G:G,ROW(K99)/2)),"")</f>
        <v>49.70112</v>
      </c>
    </row>
    <row r="100" spans="1:11" x14ac:dyDescent="0.25">
      <c r="A100" s="17"/>
      <c r="B100" s="17"/>
      <c r="D100" s="17">
        <f t="shared" si="12"/>
        <v>-195.9</v>
      </c>
      <c r="E100" s="17">
        <f t="shared" si="13"/>
        <v>49.79144</v>
      </c>
      <c r="F100" s="17">
        <f t="shared" si="14"/>
        <v>-197.9</v>
      </c>
      <c r="G100" s="17">
        <f t="shared" si="15"/>
        <v>49.79144</v>
      </c>
      <c r="J100" s="17">
        <f t="array" ref="J100">IF(ROW(J100)&lt;=COUNTA(D:D)*2,IF(MOD(ROW(J100),2)=1,INDEX(D:D,(ROW(J100)+1)/2),INDEX(F:F,ROW(J100)/2)),"")</f>
        <v>-97.9</v>
      </c>
      <c r="K100" s="17">
        <f t="array" ref="K100">IF(ROW(K100)&lt;=COUNTA(E:E)*2,IF(MOD(ROW(K100),2)=1,INDEX(E:E,(ROW(K100)+1)/2),INDEX(G:G,ROW(K100)/2)),"")</f>
        <v>49.70112</v>
      </c>
    </row>
    <row r="101" spans="1:11" x14ac:dyDescent="0.25">
      <c r="A101" s="17"/>
      <c r="B101" s="17"/>
      <c r="D101" s="17">
        <f t="shared" si="12"/>
        <v>-197.9</v>
      </c>
      <c r="E101" s="17">
        <f t="shared" si="13"/>
        <v>49.79452</v>
      </c>
      <c r="F101" s="17">
        <f t="shared" si="14"/>
        <v>-199.9</v>
      </c>
      <c r="G101" s="17">
        <f t="shared" si="15"/>
        <v>49.79452</v>
      </c>
      <c r="J101" s="17">
        <f t="array" ref="J101">IF(ROW(J101)&lt;=COUNTA(D:D)*2,IF(MOD(ROW(J101),2)=1,INDEX(D:D,(ROW(J101)+1)/2),INDEX(F:F,ROW(J101)/2)),"")</f>
        <v>-97.9</v>
      </c>
      <c r="K101" s="17">
        <f t="array" ref="K101">IF(ROW(K101)&lt;=COUNTA(E:E)*2,IF(MOD(ROW(K101),2)=1,INDEX(E:E,(ROW(K101)+1)/2),INDEX(G:G,ROW(K101)/2)),"")</f>
        <v>49.71616</v>
      </c>
    </row>
    <row r="102" spans="1:11" x14ac:dyDescent="0.25">
      <c r="A102" s="17"/>
      <c r="B102" s="17"/>
      <c r="D102" s="17">
        <f t="shared" si="12"/>
        <v>-199.9</v>
      </c>
      <c r="E102" s="17">
        <f t="shared" si="13"/>
        <v>49.80076</v>
      </c>
      <c r="F102" s="17">
        <f t="shared" si="14"/>
        <v>-201.9</v>
      </c>
      <c r="G102" s="17">
        <f t="shared" si="15"/>
        <v>49.80076</v>
      </c>
      <c r="J102" s="17">
        <f t="array" ref="J102">IF(ROW(J102)&lt;=COUNTA(D:D)*2,IF(MOD(ROW(J102),2)=1,INDEX(D:D,(ROW(J102)+1)/2),INDEX(F:F,ROW(J102)/2)),"")</f>
        <v>-99.9</v>
      </c>
      <c r="K102" s="17">
        <f t="array" ref="K102">IF(ROW(K102)&lt;=COUNTA(E:E)*2,IF(MOD(ROW(K102),2)=1,INDEX(E:E,(ROW(K102)+1)/2),INDEX(G:G,ROW(K102)/2)),"")</f>
        <v>49.71616</v>
      </c>
    </row>
    <row r="103" spans="1:11" x14ac:dyDescent="0.25">
      <c r="A103" s="17"/>
      <c r="B103" s="17"/>
      <c r="D103" s="17">
        <f t="shared" si="12"/>
        <v>-201.9</v>
      </c>
      <c r="E103" s="17">
        <f t="shared" si="13"/>
        <v>50.14608</v>
      </c>
      <c r="F103" s="17">
        <f t="shared" si="14"/>
        <v>-203.9</v>
      </c>
      <c r="G103" s="17">
        <f t="shared" si="15"/>
        <v>50.14608</v>
      </c>
      <c r="J103" s="17">
        <f t="array" ref="J103">IF(ROW(J103)&lt;=COUNTA(D:D)*2,IF(MOD(ROW(J103),2)=1,INDEX(D:D,(ROW(J103)+1)/2),INDEX(F:F,ROW(J103)/2)),"")</f>
        <v>-99.9</v>
      </c>
      <c r="K103" s="17">
        <f t="array" ref="K103">IF(ROW(K103)&lt;=COUNTA(E:E)*2,IF(MOD(ROW(K103),2)=1,INDEX(E:E,(ROW(K103)+1)/2),INDEX(G:G,ROW(K103)/2)),"")</f>
        <v>49.73648</v>
      </c>
    </row>
    <row r="104" spans="1:11" x14ac:dyDescent="0.25">
      <c r="A104" s="17"/>
      <c r="B104" s="17"/>
      <c r="D104" s="17">
        <f t="shared" si="12"/>
        <v>-203.9</v>
      </c>
      <c r="E104" s="17">
        <f t="shared" si="13"/>
        <v>50.15296</v>
      </c>
      <c r="F104" s="17">
        <f t="shared" si="14"/>
        <v>-205.9</v>
      </c>
      <c r="G104" s="17">
        <f t="shared" si="15"/>
        <v>50.15296</v>
      </c>
      <c r="J104" s="17">
        <f t="array" ref="J104">IF(ROW(J104)&lt;=COUNTA(D:D)*2,IF(MOD(ROW(J104),2)=1,INDEX(D:D,(ROW(J104)+1)/2),INDEX(F:F,ROW(J104)/2)),"")</f>
        <v>-101.9</v>
      </c>
      <c r="K104" s="17">
        <f t="array" ref="K104">IF(ROW(K104)&lt;=COUNTA(E:E)*2,IF(MOD(ROW(K104),2)=1,INDEX(E:E,(ROW(K104)+1)/2),INDEX(G:G,ROW(K104)/2)),"")</f>
        <v>49.73648</v>
      </c>
    </row>
    <row r="105" spans="1:11" x14ac:dyDescent="0.25">
      <c r="A105" s="17"/>
      <c r="B105" s="17"/>
      <c r="D105" s="17">
        <f t="shared" si="12"/>
        <v>-205.9</v>
      </c>
      <c r="E105" s="17">
        <f t="shared" si="13"/>
        <v>50.67576</v>
      </c>
      <c r="F105" s="17">
        <f t="shared" si="14"/>
        <v>-207.9</v>
      </c>
      <c r="G105" s="17">
        <f t="shared" si="15"/>
        <v>50.67576</v>
      </c>
      <c r="J105" s="17">
        <f t="array" ref="J105">IF(ROW(J105)&lt;=COUNTA(D:D)*2,IF(MOD(ROW(J105),2)=1,INDEX(D:D,(ROW(J105)+1)/2),INDEX(F:F,ROW(J105)/2)),"")</f>
        <v>-101.9</v>
      </c>
      <c r="K105" s="17">
        <f t="array" ref="K105">IF(ROW(K105)&lt;=COUNTA(E:E)*2,IF(MOD(ROW(K105),2)=1,INDEX(E:E,(ROW(K105)+1)/2),INDEX(G:G,ROW(K105)/2)),"")</f>
        <v>49.74912</v>
      </c>
    </row>
    <row r="106" spans="1:11" x14ac:dyDescent="0.25">
      <c r="A106" s="17"/>
      <c r="B106" s="17"/>
      <c r="D106" s="17">
        <f t="shared" si="12"/>
        <v>-207.9</v>
      </c>
      <c r="E106" s="17">
        <f t="shared" si="13"/>
        <v>51.7346</v>
      </c>
      <c r="F106" s="17">
        <f t="shared" si="14"/>
        <v>-209.9</v>
      </c>
      <c r="G106" s="17">
        <f t="shared" si="15"/>
        <v>51.7346</v>
      </c>
      <c r="J106" s="17">
        <f t="array" ref="J106">IF(ROW(J106)&lt;=COUNTA(D:D)*2,IF(MOD(ROW(J106),2)=1,INDEX(D:D,(ROW(J106)+1)/2),INDEX(F:F,ROW(J106)/2)),"")</f>
        <v>-103.9</v>
      </c>
      <c r="K106" s="17">
        <f t="array" ref="K106">IF(ROW(K106)&lt;=COUNTA(E:E)*2,IF(MOD(ROW(K106),2)=1,INDEX(E:E,(ROW(K106)+1)/2),INDEX(G:G,ROW(K106)/2)),"")</f>
        <v>49.74912</v>
      </c>
    </row>
    <row r="107" spans="1:11" x14ac:dyDescent="0.25">
      <c r="A107" s="17"/>
      <c r="B107" s="17"/>
      <c r="D107" s="17">
        <f t="shared" si="12"/>
        <v>-209.9</v>
      </c>
      <c r="E107" s="17">
        <f t="shared" si="13"/>
        <v>51.78636</v>
      </c>
      <c r="F107" s="17">
        <f t="shared" si="14"/>
        <v>-211.9</v>
      </c>
      <c r="G107" s="17">
        <f t="shared" si="15"/>
        <v>51.78636</v>
      </c>
      <c r="J107" s="17">
        <f t="array" ref="J107">IF(ROW(J107)&lt;=COUNTA(D:D)*2,IF(MOD(ROW(J107),2)=1,INDEX(D:D,(ROW(J107)+1)/2),INDEX(F:F,ROW(J107)/2)),"")</f>
        <v>-103.9</v>
      </c>
      <c r="K107" s="17">
        <f t="array" ref="K107">IF(ROW(K107)&lt;=COUNTA(E:E)*2,IF(MOD(ROW(K107),2)=1,INDEX(E:E,(ROW(K107)+1)/2),INDEX(G:G,ROW(K107)/2)),"")</f>
        <v>49.75728</v>
      </c>
    </row>
    <row r="108" spans="1:11" x14ac:dyDescent="0.25">
      <c r="A108" s="17"/>
      <c r="B108" s="17"/>
      <c r="D108" s="17">
        <f t="shared" si="12"/>
        <v>-211.9</v>
      </c>
      <c r="E108" s="17">
        <f t="shared" si="13"/>
        <v>51.79884</v>
      </c>
      <c r="F108" s="17">
        <f t="shared" si="14"/>
        <v>-213.9</v>
      </c>
      <c r="G108" s="17">
        <f t="shared" si="15"/>
        <v>51.79884</v>
      </c>
      <c r="J108" s="17">
        <f t="array" ref="J108">IF(ROW(J108)&lt;=COUNTA(D:D)*2,IF(MOD(ROW(J108),2)=1,INDEX(D:D,(ROW(J108)+1)/2),INDEX(F:F,ROW(J108)/2)),"")</f>
        <v>-105.9</v>
      </c>
      <c r="K108" s="17">
        <f t="array" ref="K108">IF(ROW(K108)&lt;=COUNTA(E:E)*2,IF(MOD(ROW(K108),2)=1,INDEX(E:E,(ROW(K108)+1)/2),INDEX(G:G,ROW(K108)/2)),"")</f>
        <v>49.75728</v>
      </c>
    </row>
    <row r="109" spans="1:11" x14ac:dyDescent="0.25">
      <c r="A109" s="17"/>
      <c r="B109" s="17"/>
      <c r="D109" s="17">
        <f t="shared" si="12"/>
        <v>-213.9</v>
      </c>
      <c r="E109" s="17">
        <f t="shared" si="13"/>
        <v>50.60316</v>
      </c>
      <c r="F109" s="17">
        <f t="shared" si="14"/>
        <v>-215.9</v>
      </c>
      <c r="G109" s="17">
        <f t="shared" si="15"/>
        <v>50.60316</v>
      </c>
      <c r="J109" s="17">
        <f t="array" ref="J109">IF(ROW(J109)&lt;=COUNTA(D:D)*2,IF(MOD(ROW(J109),2)=1,INDEX(D:D,(ROW(J109)+1)/2),INDEX(F:F,ROW(J109)/2)),"")</f>
        <v>-105.9</v>
      </c>
      <c r="K109" s="17">
        <f t="array" ref="K109">IF(ROW(K109)&lt;=COUNTA(E:E)*2,IF(MOD(ROW(K109),2)=1,INDEX(E:E,(ROW(K109)+1)/2),INDEX(G:G,ROW(K109)/2)),"")</f>
        <v>49.772</v>
      </c>
    </row>
    <row r="110" spans="1:11" x14ac:dyDescent="0.25">
      <c r="A110" s="17"/>
      <c r="B110" s="17"/>
      <c r="D110" s="17">
        <f t="shared" si="12"/>
        <v>-215.9</v>
      </c>
      <c r="E110" s="17">
        <f t="shared" si="13"/>
        <v>50.61044</v>
      </c>
      <c r="F110" s="17">
        <f t="shared" si="14"/>
        <v>-217.9</v>
      </c>
      <c r="G110" s="17">
        <f t="shared" si="15"/>
        <v>50.61044</v>
      </c>
      <c r="J110" s="17">
        <f t="array" ref="J110">IF(ROW(J110)&lt;=COUNTA(D:D)*2,IF(MOD(ROW(J110),2)=1,INDEX(D:D,(ROW(J110)+1)/2),INDEX(F:F,ROW(J110)/2)),"")</f>
        <v>-107.9</v>
      </c>
      <c r="K110" s="17">
        <f t="array" ref="K110">IF(ROW(K110)&lt;=COUNTA(E:E)*2,IF(MOD(ROW(K110),2)=1,INDEX(E:E,(ROW(K110)+1)/2),INDEX(G:G,ROW(K110)/2)),"")</f>
        <v>49.772</v>
      </c>
    </row>
    <row r="111" spans="1:11" x14ac:dyDescent="0.25">
      <c r="A111" s="17"/>
      <c r="B111" s="17"/>
      <c r="D111" s="17">
        <f t="shared" si="12"/>
        <v>-217.9</v>
      </c>
      <c r="E111" s="17">
        <f t="shared" si="13"/>
        <v>50.61612</v>
      </c>
      <c r="F111" s="17">
        <f t="shared" si="14"/>
        <v>-219.9</v>
      </c>
      <c r="G111" s="17">
        <f t="shared" si="15"/>
        <v>50.61612</v>
      </c>
      <c r="J111" s="17">
        <f t="array" ref="J111">IF(ROW(J111)&lt;=COUNTA(D:D)*2,IF(MOD(ROW(J111),2)=1,INDEX(D:D,(ROW(J111)+1)/2),INDEX(F:F,ROW(J111)/2)),"")</f>
        <v>-107.9</v>
      </c>
      <c r="K111" s="17">
        <f t="array" ref="K111">IF(ROW(K111)&lt;=COUNTA(E:E)*2,IF(MOD(ROW(K111),2)=1,INDEX(E:E,(ROW(K111)+1)/2),INDEX(G:G,ROW(K111)/2)),"")</f>
        <v>49.78496</v>
      </c>
    </row>
    <row r="112" spans="1:11" x14ac:dyDescent="0.25">
      <c r="A112" s="17"/>
      <c r="B112" s="17"/>
      <c r="D112" s="17">
        <f t="shared" si="12"/>
        <v>-219.9</v>
      </c>
      <c r="E112" s="17">
        <f t="shared" si="13"/>
        <v>50.62328</v>
      </c>
      <c r="F112" s="17">
        <f t="shared" si="14"/>
        <v>-221.9</v>
      </c>
      <c r="G112" s="17">
        <f t="shared" si="15"/>
        <v>50.62328</v>
      </c>
      <c r="J112" s="17">
        <f t="array" ref="J112">IF(ROW(J112)&lt;=COUNTA(D:D)*2,IF(MOD(ROW(J112),2)=1,INDEX(D:D,(ROW(J112)+1)/2),INDEX(F:F,ROW(J112)/2)),"")</f>
        <v>-109.9</v>
      </c>
      <c r="K112" s="17">
        <f t="array" ref="K112">IF(ROW(K112)&lt;=COUNTA(E:E)*2,IF(MOD(ROW(K112),2)=1,INDEX(E:E,(ROW(K112)+1)/2),INDEX(G:G,ROW(K112)/2)),"")</f>
        <v>49.78496</v>
      </c>
    </row>
    <row r="113" spans="1:11" x14ac:dyDescent="0.25">
      <c r="A113" s="17"/>
      <c r="B113" s="17"/>
      <c r="D113" s="17">
        <f t="shared" si="12"/>
        <v>-221.9</v>
      </c>
      <c r="E113" s="17">
        <f t="shared" si="13"/>
        <v>50.63832</v>
      </c>
      <c r="F113" s="17">
        <f t="shared" si="14"/>
        <v>-223.9</v>
      </c>
      <c r="G113" s="17">
        <f t="shared" si="15"/>
        <v>50.63832</v>
      </c>
      <c r="J113" s="17">
        <f t="array" ref="J113">IF(ROW(J113)&lt;=COUNTA(D:D)*2,IF(MOD(ROW(J113),2)=1,INDEX(D:D,(ROW(J113)+1)/2),INDEX(F:F,ROW(J113)/2)),"")</f>
        <v>-109.9</v>
      </c>
      <c r="K113" s="17">
        <f t="array" ref="K113">IF(ROW(K113)&lt;=COUNTA(E:E)*2,IF(MOD(ROW(K113),2)=1,INDEX(E:E,(ROW(K113)+1)/2),INDEX(G:G,ROW(K113)/2)),"")</f>
        <v>49.47732</v>
      </c>
    </row>
    <row r="114" spans="1:11" x14ac:dyDescent="0.25">
      <c r="A114" s="17"/>
      <c r="B114" s="17"/>
      <c r="D114" s="17">
        <f t="shared" si="12"/>
        <v>-223.9</v>
      </c>
      <c r="E114" s="17">
        <f t="shared" si="13"/>
        <v>50.64872</v>
      </c>
      <c r="F114" s="17">
        <f t="shared" si="14"/>
        <v>-225.9</v>
      </c>
      <c r="G114" s="17">
        <f t="shared" si="15"/>
        <v>50.64872</v>
      </c>
      <c r="J114" s="17">
        <f t="array" ref="J114">IF(ROW(J114)&lt;=COUNTA(D:D)*2,IF(MOD(ROW(J114),2)=1,INDEX(D:D,(ROW(J114)+1)/2),INDEX(F:F,ROW(J114)/2)),"")</f>
        <v>-111.9</v>
      </c>
      <c r="K114" s="17">
        <f t="array" ref="K114">IF(ROW(K114)&lt;=COUNTA(E:E)*2,IF(MOD(ROW(K114),2)=1,INDEX(E:E,(ROW(K114)+1)/2),INDEX(G:G,ROW(K114)/2)),"")</f>
        <v>49.47732</v>
      </c>
    </row>
    <row r="115" spans="1:11" x14ac:dyDescent="0.25">
      <c r="A115" s="17"/>
      <c r="B115" s="17"/>
      <c r="D115" s="17">
        <f t="shared" ref="D115:D146" si="16">0-A114</f>
        <v>-225.9</v>
      </c>
      <c r="E115" s="17">
        <f t="shared" ref="E115:E146" si="17">49+(B115)*4</f>
        <v>50.66012</v>
      </c>
      <c r="F115" s="17">
        <f t="shared" ref="F115:F146" si="18">0-A115</f>
        <v>-227.9</v>
      </c>
      <c r="G115" s="17">
        <f t="shared" ref="G115:G146" si="19">49+(B115)*4</f>
        <v>50.66012</v>
      </c>
      <c r="J115" s="17">
        <f t="array" ref="J115">IF(ROW(J115)&lt;=COUNTA(D:D)*2,IF(MOD(ROW(J115),2)=1,INDEX(D:D,(ROW(J115)+1)/2),INDEX(F:F,ROW(J115)/2)),"")</f>
        <v>-111.9</v>
      </c>
      <c r="K115" s="17">
        <f t="array" ref="K115">IF(ROW(K115)&lt;=COUNTA(E:E)*2,IF(MOD(ROW(K115),2)=1,INDEX(E:E,(ROW(K115)+1)/2),INDEX(G:G,ROW(K115)/2)),"")</f>
        <v>49.78016</v>
      </c>
    </row>
    <row r="116" spans="1:11" x14ac:dyDescent="0.25">
      <c r="A116" s="17"/>
      <c r="B116" s="17"/>
      <c r="D116" s="17">
        <f t="shared" si="16"/>
        <v>-227.9</v>
      </c>
      <c r="E116" s="17">
        <f t="shared" si="17"/>
        <v>50.67432</v>
      </c>
      <c r="F116" s="17">
        <f t="shared" si="18"/>
        <v>-229.9</v>
      </c>
      <c r="G116" s="17">
        <f t="shared" si="19"/>
        <v>50.67432</v>
      </c>
      <c r="J116" s="17">
        <f t="array" ref="J116">IF(ROW(J116)&lt;=COUNTA(D:D)*2,IF(MOD(ROW(J116),2)=1,INDEX(D:D,(ROW(J116)+1)/2),INDEX(F:F,ROW(J116)/2)),"")</f>
        <v>-113.9</v>
      </c>
      <c r="K116" s="17">
        <f t="array" ref="K116">IF(ROW(K116)&lt;=COUNTA(E:E)*2,IF(MOD(ROW(K116),2)=1,INDEX(E:E,(ROW(K116)+1)/2),INDEX(G:G,ROW(K116)/2)),"")</f>
        <v>49.78016</v>
      </c>
    </row>
    <row r="117" spans="1:11" x14ac:dyDescent="0.25">
      <c r="A117" s="17"/>
      <c r="B117" s="17"/>
      <c r="D117" s="17">
        <f t="shared" si="16"/>
        <v>-229.9</v>
      </c>
      <c r="E117" s="17">
        <f t="shared" si="17"/>
        <v>50.68388</v>
      </c>
      <c r="F117" s="17">
        <f t="shared" si="18"/>
        <v>-231.9</v>
      </c>
      <c r="G117" s="17">
        <f t="shared" si="19"/>
        <v>50.68388</v>
      </c>
      <c r="J117" s="17">
        <f t="array" ref="J117">IF(ROW(J117)&lt;=COUNTA(D:D)*2,IF(MOD(ROW(J117),2)=1,INDEX(D:D,(ROW(J117)+1)/2),INDEX(F:F,ROW(J117)/2)),"")</f>
        <v>-113.9</v>
      </c>
      <c r="K117" s="17">
        <f t="array" ref="K117">IF(ROW(K117)&lt;=COUNTA(E:E)*2,IF(MOD(ROW(K117),2)=1,INDEX(E:E,(ROW(K117)+1)/2),INDEX(G:G,ROW(K117)/2)),"")</f>
        <v>49.51544</v>
      </c>
    </row>
    <row r="118" spans="1:11" x14ac:dyDescent="0.25">
      <c r="A118" s="17"/>
      <c r="B118" s="17"/>
      <c r="D118" s="17">
        <f t="shared" si="16"/>
        <v>-231.9</v>
      </c>
      <c r="E118" s="17">
        <f t="shared" si="17"/>
        <v>50.69768</v>
      </c>
      <c r="F118" s="17">
        <f t="shared" si="18"/>
        <v>-233.9</v>
      </c>
      <c r="G118" s="17">
        <f t="shared" si="19"/>
        <v>50.69768</v>
      </c>
      <c r="J118" s="17">
        <f t="array" ref="J118">IF(ROW(J118)&lt;=COUNTA(D:D)*2,IF(MOD(ROW(J118),2)=1,INDEX(D:D,(ROW(J118)+1)/2),INDEX(F:F,ROW(J118)/2)),"")</f>
        <v>-115.9</v>
      </c>
      <c r="K118" s="17">
        <f t="array" ref="K118">IF(ROW(K118)&lt;=COUNTA(E:E)*2,IF(MOD(ROW(K118),2)=1,INDEX(E:E,(ROW(K118)+1)/2),INDEX(G:G,ROW(K118)/2)),"")</f>
        <v>49.51544</v>
      </c>
    </row>
    <row r="119" spans="1:11" x14ac:dyDescent="0.25">
      <c r="A119" s="17"/>
      <c r="B119" s="17"/>
      <c r="D119" s="17">
        <f t="shared" si="16"/>
        <v>-233.9</v>
      </c>
      <c r="E119" s="17">
        <f t="shared" si="17"/>
        <v>50.70812</v>
      </c>
      <c r="F119" s="17">
        <f t="shared" si="18"/>
        <v>-235.9</v>
      </c>
      <c r="G119" s="17">
        <f t="shared" si="19"/>
        <v>50.70812</v>
      </c>
      <c r="J119" s="17">
        <f t="array" ref="J119">IF(ROW(J119)&lt;=COUNTA(D:D)*2,IF(MOD(ROW(J119),2)=1,INDEX(D:D,(ROW(J119)+1)/2),INDEX(F:F,ROW(J119)/2)),"")</f>
        <v>-115.9</v>
      </c>
      <c r="K119" s="17">
        <f t="array" ref="K119">IF(ROW(K119)&lt;=COUNTA(E:E)*2,IF(MOD(ROW(K119),2)=1,INDEX(E:E,(ROW(K119)+1)/2),INDEX(G:G,ROW(K119)/2)),"")</f>
        <v>49.788</v>
      </c>
    </row>
    <row r="120" spans="1:11" x14ac:dyDescent="0.25">
      <c r="A120" s="17"/>
      <c r="B120" s="17"/>
      <c r="D120" s="17">
        <f t="shared" si="16"/>
        <v>-235.9</v>
      </c>
      <c r="E120" s="17">
        <f t="shared" si="17"/>
        <v>50.7258</v>
      </c>
      <c r="F120" s="17">
        <f t="shared" si="18"/>
        <v>-237.9</v>
      </c>
      <c r="G120" s="17">
        <f t="shared" si="19"/>
        <v>50.7258</v>
      </c>
      <c r="J120" s="17">
        <f t="array" ref="J120">IF(ROW(J120)&lt;=COUNTA(D:D)*2,IF(MOD(ROW(J120),2)=1,INDEX(D:D,(ROW(J120)+1)/2),INDEX(F:F,ROW(J120)/2)),"")</f>
        <v>-117.9</v>
      </c>
      <c r="K120" s="17">
        <f t="array" ref="K120">IF(ROW(K120)&lt;=COUNTA(E:E)*2,IF(MOD(ROW(K120),2)=1,INDEX(E:E,(ROW(K120)+1)/2),INDEX(G:G,ROW(K120)/2)),"")</f>
        <v>49.788</v>
      </c>
    </row>
    <row r="121" spans="1:11" x14ac:dyDescent="0.25">
      <c r="A121" s="17"/>
      <c r="B121" s="17"/>
      <c r="D121" s="17">
        <f t="shared" si="16"/>
        <v>-237.9</v>
      </c>
      <c r="E121" s="17">
        <f t="shared" si="17"/>
        <v>50.736</v>
      </c>
      <c r="F121" s="17">
        <f t="shared" si="18"/>
        <v>-239.9</v>
      </c>
      <c r="G121" s="17">
        <f t="shared" si="19"/>
        <v>50.736</v>
      </c>
      <c r="J121" s="17">
        <f t="array" ref="J121">IF(ROW(J121)&lt;=COUNTA(D:D)*2,IF(MOD(ROW(J121),2)=1,INDEX(D:D,(ROW(J121)+1)/2),INDEX(F:F,ROW(J121)/2)),"")</f>
        <v>-117.9</v>
      </c>
      <c r="K121" s="17">
        <f t="array" ref="K121">IF(ROW(K121)&lt;=COUNTA(E:E)*2,IF(MOD(ROW(K121),2)=1,INDEX(E:E,(ROW(K121)+1)/2),INDEX(G:G,ROW(K121)/2)),"")</f>
        <v>49.80192</v>
      </c>
    </row>
    <row r="122" spans="1:11" x14ac:dyDescent="0.25">
      <c r="A122" s="17"/>
      <c r="B122" s="17"/>
      <c r="D122" s="17">
        <f t="shared" si="16"/>
        <v>-239.9</v>
      </c>
      <c r="E122" s="17">
        <f t="shared" si="17"/>
        <v>50.7474</v>
      </c>
      <c r="F122" s="17">
        <f t="shared" si="18"/>
        <v>-241.9</v>
      </c>
      <c r="G122" s="17">
        <f t="shared" si="19"/>
        <v>50.7474</v>
      </c>
      <c r="J122" s="17">
        <f t="array" ref="J122">IF(ROW(J122)&lt;=COUNTA(D:D)*2,IF(MOD(ROW(J122),2)=1,INDEX(D:D,(ROW(J122)+1)/2),INDEX(F:F,ROW(J122)/2)),"")</f>
        <v>-119.9</v>
      </c>
      <c r="K122" s="17">
        <f t="array" ref="K122">IF(ROW(K122)&lt;=COUNTA(E:E)*2,IF(MOD(ROW(K122),2)=1,INDEX(E:E,(ROW(K122)+1)/2),INDEX(G:G,ROW(K122)/2)),"")</f>
        <v>49.80192</v>
      </c>
    </row>
    <row r="123" spans="1:11" x14ac:dyDescent="0.25">
      <c r="A123" s="17"/>
      <c r="B123" s="17"/>
      <c r="D123" s="17">
        <f t="shared" si="16"/>
        <v>-241.9</v>
      </c>
      <c r="E123" s="17">
        <f t="shared" si="17"/>
        <v>49.96764</v>
      </c>
      <c r="F123" s="17">
        <f t="shared" si="18"/>
        <v>-243.9</v>
      </c>
      <c r="G123" s="17">
        <f t="shared" si="19"/>
        <v>49.96764</v>
      </c>
      <c r="J123" s="17">
        <f t="array" ref="J123">IF(ROW(J123)&lt;=COUNTA(D:D)*2,IF(MOD(ROW(J123),2)=1,INDEX(D:D,(ROW(J123)+1)/2),INDEX(F:F,ROW(J123)/2)),"")</f>
        <v>-119.9</v>
      </c>
      <c r="K123" s="17">
        <f t="array" ref="K123">IF(ROW(K123)&lt;=COUNTA(E:E)*2,IF(MOD(ROW(K123),2)=1,INDEX(E:E,(ROW(K123)+1)/2),INDEX(G:G,ROW(K123)/2)),"")</f>
        <v>49.81696</v>
      </c>
    </row>
    <row r="124" spans="1:11" x14ac:dyDescent="0.25">
      <c r="A124" s="17"/>
      <c r="B124" s="17"/>
      <c r="D124" s="17">
        <f t="shared" si="16"/>
        <v>-243.9</v>
      </c>
      <c r="E124" s="17">
        <f t="shared" si="17"/>
        <v>49.97224</v>
      </c>
      <c r="F124" s="17">
        <f t="shared" si="18"/>
        <v>-245.9</v>
      </c>
      <c r="G124" s="17">
        <f t="shared" si="19"/>
        <v>49.97224</v>
      </c>
      <c r="J124" s="17">
        <f t="array" ref="J124">IF(ROW(J124)&lt;=COUNTA(D:D)*2,IF(MOD(ROW(J124),2)=1,INDEX(D:D,(ROW(J124)+1)/2),INDEX(F:F,ROW(J124)/2)),"")</f>
        <v>-121.9</v>
      </c>
      <c r="K124" s="17">
        <f t="array" ref="K124">IF(ROW(K124)&lt;=COUNTA(E:E)*2,IF(MOD(ROW(K124),2)=1,INDEX(E:E,(ROW(K124)+1)/2),INDEX(G:G,ROW(K124)/2)),"")</f>
        <v>49.81696</v>
      </c>
    </row>
    <row r="125" spans="1:11" x14ac:dyDescent="0.25">
      <c r="A125" s="17"/>
      <c r="B125" s="17"/>
      <c r="D125" s="17">
        <f t="shared" si="16"/>
        <v>-245.9</v>
      </c>
      <c r="E125" s="17">
        <f t="shared" si="17"/>
        <v>49.68064</v>
      </c>
      <c r="F125" s="17">
        <f t="shared" si="18"/>
        <v>-247.9</v>
      </c>
      <c r="G125" s="17">
        <f t="shared" si="19"/>
        <v>49.68064</v>
      </c>
      <c r="J125" s="17">
        <f t="array" ref="J125">IF(ROW(J125)&lt;=COUNTA(D:D)*2,IF(MOD(ROW(J125),2)=1,INDEX(D:D,(ROW(J125)+1)/2),INDEX(F:F,ROW(J125)/2)),"")</f>
        <v>-121.9</v>
      </c>
      <c r="K125" s="17">
        <f t="array" ref="K125">IF(ROW(K125)&lt;=COUNTA(E:E)*2,IF(MOD(ROW(K125),2)=1,INDEX(E:E,(ROW(K125)+1)/2),INDEX(G:G,ROW(K125)/2)),"")</f>
        <v>49.83088</v>
      </c>
    </row>
    <row r="126" spans="1:11" x14ac:dyDescent="0.25">
      <c r="A126" s="17"/>
      <c r="B126" s="17"/>
      <c r="D126" s="17">
        <f t="shared" si="16"/>
        <v>-247.9</v>
      </c>
      <c r="E126" s="17">
        <f t="shared" si="17"/>
        <v>49.68328</v>
      </c>
      <c r="F126" s="17">
        <f t="shared" si="18"/>
        <v>-249.9</v>
      </c>
      <c r="G126" s="17">
        <f t="shared" si="19"/>
        <v>49.68328</v>
      </c>
      <c r="J126" s="17">
        <f t="array" ref="J126">IF(ROW(J126)&lt;=COUNTA(D:D)*2,IF(MOD(ROW(J126),2)=1,INDEX(D:D,(ROW(J126)+1)/2),INDEX(F:F,ROW(J126)/2)),"")</f>
        <v>-123.9</v>
      </c>
      <c r="K126" s="17">
        <f t="array" ref="K126">IF(ROW(K126)&lt;=COUNTA(E:E)*2,IF(MOD(ROW(K126),2)=1,INDEX(E:E,(ROW(K126)+1)/2),INDEX(G:G,ROW(K126)/2)),"")</f>
        <v>49.83088</v>
      </c>
    </row>
    <row r="127" spans="1:11" x14ac:dyDescent="0.25">
      <c r="A127" s="17"/>
      <c r="B127" s="17"/>
      <c r="D127" s="17">
        <f t="shared" si="16"/>
        <v>-249.9</v>
      </c>
      <c r="E127" s="17">
        <f t="shared" si="17"/>
        <v>49.68504</v>
      </c>
      <c r="F127" s="17">
        <f t="shared" si="18"/>
        <v>-251.9</v>
      </c>
      <c r="G127" s="17">
        <f t="shared" si="19"/>
        <v>49.68504</v>
      </c>
      <c r="J127" s="17">
        <f t="array" ref="J127">IF(ROW(J127)&lt;=COUNTA(D:D)*2,IF(MOD(ROW(J127),2)=1,INDEX(D:D,(ROW(J127)+1)/2),INDEX(F:F,ROW(J127)/2)),"")</f>
        <v>-123.9</v>
      </c>
      <c r="K127" s="17">
        <f t="array" ref="K127">IF(ROW(K127)&lt;=COUNTA(E:E)*2,IF(MOD(ROW(K127),2)=1,INDEX(E:E,(ROW(K127)+1)/2),INDEX(G:G,ROW(K127)/2)),"")</f>
        <v>50.10236</v>
      </c>
    </row>
    <row r="128" spans="1:11" x14ac:dyDescent="0.25">
      <c r="A128" s="17"/>
      <c r="B128" s="17"/>
      <c r="D128" s="17">
        <f t="shared" si="16"/>
        <v>-251.9</v>
      </c>
      <c r="E128" s="17">
        <f t="shared" si="17"/>
        <v>50.26656</v>
      </c>
      <c r="F128" s="17">
        <f t="shared" si="18"/>
        <v>-253.9</v>
      </c>
      <c r="G128" s="17">
        <f t="shared" si="19"/>
        <v>50.26656</v>
      </c>
      <c r="J128" s="17">
        <f t="array" ref="J128">IF(ROW(J128)&lt;=COUNTA(D:D)*2,IF(MOD(ROW(J128),2)=1,INDEX(D:D,(ROW(J128)+1)/2),INDEX(F:F,ROW(J128)/2)),"")</f>
        <v>-125.9</v>
      </c>
      <c r="K128" s="17">
        <f t="array" ref="K128">IF(ROW(K128)&lt;=COUNTA(E:E)*2,IF(MOD(ROW(K128),2)=1,INDEX(E:E,(ROW(K128)+1)/2),INDEX(G:G,ROW(K128)/2)),"")</f>
        <v>50.10236</v>
      </c>
    </row>
    <row r="129" spans="1:11" x14ac:dyDescent="0.25">
      <c r="A129" s="17"/>
      <c r="B129" s="17"/>
      <c r="D129" s="17">
        <f t="shared" si="16"/>
        <v>-253.9</v>
      </c>
      <c r="E129" s="17">
        <f t="shared" si="17"/>
        <v>49.68852</v>
      </c>
      <c r="F129" s="17">
        <f t="shared" si="18"/>
        <v>-255.9</v>
      </c>
      <c r="G129" s="17">
        <f t="shared" si="19"/>
        <v>49.68852</v>
      </c>
      <c r="J129" s="17">
        <f t="array" ref="J129">IF(ROW(J129)&lt;=COUNTA(D:D)*2,IF(MOD(ROW(J129),2)=1,INDEX(D:D,(ROW(J129)+1)/2),INDEX(F:F,ROW(J129)/2)),"")</f>
        <v>-125.9</v>
      </c>
      <c r="K129" s="17">
        <f t="array" ref="K129">IF(ROW(K129)&lt;=COUNTA(E:E)*2,IF(MOD(ROW(K129),2)=1,INDEX(E:E,(ROW(K129)+1)/2),INDEX(G:G,ROW(K129)/2)),"")</f>
        <v>49.80256</v>
      </c>
    </row>
    <row r="130" spans="1:11" x14ac:dyDescent="0.25">
      <c r="A130" s="17"/>
      <c r="B130" s="17"/>
      <c r="D130" s="17">
        <f t="shared" si="16"/>
        <v>-255.9</v>
      </c>
      <c r="E130" s="17">
        <f t="shared" si="17"/>
        <v>50.27376</v>
      </c>
      <c r="F130" s="17">
        <f t="shared" si="18"/>
        <v>-257.9</v>
      </c>
      <c r="G130" s="17">
        <f t="shared" si="19"/>
        <v>50.27376</v>
      </c>
      <c r="J130" s="17">
        <f t="array" ref="J130">IF(ROW(J130)&lt;=COUNTA(D:D)*2,IF(MOD(ROW(J130),2)=1,INDEX(D:D,(ROW(J130)+1)/2),INDEX(F:F,ROW(J130)/2)),"")</f>
        <v>-127.9</v>
      </c>
      <c r="K130" s="17">
        <f t="array" ref="K130">IF(ROW(K130)&lt;=COUNTA(E:E)*2,IF(MOD(ROW(K130),2)=1,INDEX(E:E,(ROW(K130)+1)/2),INDEX(G:G,ROW(K130)/2)),"")</f>
        <v>49.80256</v>
      </c>
    </row>
    <row r="131" spans="1:11" x14ac:dyDescent="0.25">
      <c r="A131" s="17"/>
      <c r="B131" s="17"/>
      <c r="D131" s="17">
        <f t="shared" si="16"/>
        <v>-257.9</v>
      </c>
      <c r="E131" s="17">
        <f t="shared" si="17"/>
        <v>50.68824</v>
      </c>
      <c r="F131" s="17">
        <f t="shared" si="18"/>
        <v>-259.9</v>
      </c>
      <c r="G131" s="17">
        <f t="shared" si="19"/>
        <v>50.68824</v>
      </c>
      <c r="J131" s="17">
        <f t="array" ref="J131">IF(ROW(J131)&lt;=COUNTA(D:D)*2,IF(MOD(ROW(J131),2)=1,INDEX(D:D,(ROW(J131)+1)/2),INDEX(F:F,ROW(J131)/2)),"")</f>
        <v>-127.9</v>
      </c>
      <c r="K131" s="17">
        <f t="array" ref="K131">IF(ROW(K131)&lt;=COUNTA(E:E)*2,IF(MOD(ROW(K131),2)=1,INDEX(E:E,(ROW(K131)+1)/2),INDEX(G:G,ROW(K131)/2)),"")</f>
        <v>50.02304</v>
      </c>
    </row>
    <row r="132" spans="1:11" x14ac:dyDescent="0.25">
      <c r="A132" s="17"/>
      <c r="B132" s="17"/>
      <c r="D132" s="17">
        <f t="shared" si="16"/>
        <v>-259.9</v>
      </c>
      <c r="E132" s="17">
        <f t="shared" si="17"/>
        <v>50.69516</v>
      </c>
      <c r="F132" s="17">
        <f t="shared" si="18"/>
        <v>-261.9</v>
      </c>
      <c r="G132" s="17">
        <f t="shared" si="19"/>
        <v>50.69516</v>
      </c>
      <c r="J132" s="17">
        <f t="array" ref="J132">IF(ROW(J132)&lt;=COUNTA(D:D)*2,IF(MOD(ROW(J132),2)=1,INDEX(D:D,(ROW(J132)+1)/2),INDEX(F:F,ROW(J132)/2)),"")</f>
        <v>-129.9</v>
      </c>
      <c r="K132" s="17">
        <f t="array" ref="K132">IF(ROW(K132)&lt;=COUNTA(E:E)*2,IF(MOD(ROW(K132),2)=1,INDEX(E:E,(ROW(K132)+1)/2),INDEX(G:G,ROW(K132)/2)),"")</f>
        <v>50.02304</v>
      </c>
    </row>
    <row r="133" spans="1:11" x14ac:dyDescent="0.25">
      <c r="A133" s="17"/>
      <c r="B133" s="17"/>
      <c r="D133" s="17">
        <f t="shared" si="16"/>
        <v>-261.9</v>
      </c>
      <c r="E133" s="17">
        <f t="shared" si="17"/>
        <v>50.71492</v>
      </c>
      <c r="F133" s="17">
        <f t="shared" si="18"/>
        <v>-263.9</v>
      </c>
      <c r="G133" s="17">
        <f t="shared" si="19"/>
        <v>50.71492</v>
      </c>
      <c r="J133" s="17">
        <f t="array" ref="J133">IF(ROW(J133)&lt;=COUNTA(D:D)*2,IF(MOD(ROW(J133),2)=1,INDEX(D:D,(ROW(J133)+1)/2),INDEX(F:F,ROW(J133)/2)),"")</f>
        <v>-129.9</v>
      </c>
      <c r="K133" s="17">
        <f t="array" ref="K133">IF(ROW(K133)&lt;=COUNTA(E:E)*2,IF(MOD(ROW(K133),2)=1,INDEX(E:E,(ROW(K133)+1)/2),INDEX(G:G,ROW(K133)/2)),"")</f>
        <v>49.46608</v>
      </c>
    </row>
    <row r="134" spans="1:11" x14ac:dyDescent="0.25">
      <c r="A134" s="17"/>
      <c r="B134" s="17"/>
      <c r="D134" s="17">
        <f t="shared" si="16"/>
        <v>-263.9</v>
      </c>
      <c r="E134" s="17">
        <f t="shared" si="17"/>
        <v>50.72072</v>
      </c>
      <c r="F134" s="17">
        <f t="shared" si="18"/>
        <v>-265.9</v>
      </c>
      <c r="G134" s="17">
        <f t="shared" si="19"/>
        <v>50.72072</v>
      </c>
      <c r="J134" s="17">
        <f t="array" ref="J134">IF(ROW(J134)&lt;=COUNTA(D:D)*2,IF(MOD(ROW(J134),2)=1,INDEX(D:D,(ROW(J134)+1)/2),INDEX(F:F,ROW(J134)/2)),"")</f>
        <v>-131.9</v>
      </c>
      <c r="K134" s="17">
        <f t="array" ref="K134">IF(ROW(K134)&lt;=COUNTA(E:E)*2,IF(MOD(ROW(K134),2)=1,INDEX(E:E,(ROW(K134)+1)/2),INDEX(G:G,ROW(K134)/2)),"")</f>
        <v>49.46608</v>
      </c>
    </row>
    <row r="135" spans="1:11" x14ac:dyDescent="0.25">
      <c r="A135" s="17"/>
      <c r="B135" s="17"/>
      <c r="D135" s="17">
        <f t="shared" si="16"/>
        <v>-265.9</v>
      </c>
      <c r="E135" s="17">
        <f t="shared" si="17"/>
        <v>51.14656</v>
      </c>
      <c r="F135" s="17">
        <f t="shared" si="18"/>
        <v>-267.9</v>
      </c>
      <c r="G135" s="17">
        <f t="shared" si="19"/>
        <v>51.14656</v>
      </c>
      <c r="J135" s="17">
        <f t="array" ref="J135">IF(ROW(J135)&lt;=COUNTA(D:D)*2,IF(MOD(ROW(J135),2)=1,INDEX(D:D,(ROW(J135)+1)/2),INDEX(F:F,ROW(J135)/2)),"")</f>
        <v>-131.9</v>
      </c>
      <c r="K135" s="17">
        <f t="array" ref="K135">IF(ROW(K135)&lt;=COUNTA(E:E)*2,IF(MOD(ROW(K135),2)=1,INDEX(E:E,(ROW(K135)+1)/2),INDEX(G:G,ROW(K135)/2)),"")</f>
        <v>49.34664</v>
      </c>
    </row>
    <row r="136" spans="1:11" x14ac:dyDescent="0.25">
      <c r="A136" s="17"/>
      <c r="B136" s="17"/>
      <c r="D136" s="17">
        <f t="shared" si="16"/>
        <v>-267.9</v>
      </c>
      <c r="E136" s="17">
        <f t="shared" si="17"/>
        <v>51.16448</v>
      </c>
      <c r="F136" s="17">
        <f t="shared" si="18"/>
        <v>-269.9</v>
      </c>
      <c r="G136" s="17">
        <f t="shared" si="19"/>
        <v>51.16448</v>
      </c>
      <c r="J136" s="17">
        <f t="array" ref="J136">IF(ROW(J136)&lt;=COUNTA(D:D)*2,IF(MOD(ROW(J136),2)=1,INDEX(D:D,(ROW(J136)+1)/2),INDEX(F:F,ROW(J136)/2)),"")</f>
        <v>-133.9</v>
      </c>
      <c r="K136" s="17">
        <f t="array" ref="K136">IF(ROW(K136)&lt;=COUNTA(E:E)*2,IF(MOD(ROW(K136),2)=1,INDEX(E:E,(ROW(K136)+1)/2),INDEX(G:G,ROW(K136)/2)),"")</f>
        <v>49.34664</v>
      </c>
    </row>
    <row r="137" spans="1:11" x14ac:dyDescent="0.25">
      <c r="A137" s="17"/>
      <c r="B137" s="17"/>
      <c r="D137" s="17">
        <f t="shared" si="16"/>
        <v>-269.9</v>
      </c>
      <c r="E137" s="17">
        <f t="shared" si="17"/>
        <v>51.17472</v>
      </c>
      <c r="F137" s="17">
        <f t="shared" si="18"/>
        <v>-271.9</v>
      </c>
      <c r="G137" s="17">
        <f t="shared" si="19"/>
        <v>51.17472</v>
      </c>
      <c r="J137" s="17">
        <f t="array" ref="J137">IF(ROW(J137)&lt;=COUNTA(D:D)*2,IF(MOD(ROW(J137),2)=1,INDEX(D:D,(ROW(J137)+1)/2),INDEX(F:F,ROW(J137)/2)),"")</f>
        <v>-133.9</v>
      </c>
      <c r="K137" s="17">
        <f t="array" ref="K137">IF(ROW(K137)&lt;=COUNTA(E:E)*2,IF(MOD(ROW(K137),2)=1,INDEX(E:E,(ROW(K137)+1)/2),INDEX(G:G,ROW(K137)/2)),"")</f>
        <v>49.353</v>
      </c>
    </row>
    <row r="138" spans="1:11" x14ac:dyDescent="0.25">
      <c r="A138" s="17"/>
      <c r="B138" s="17"/>
      <c r="D138" s="17">
        <f t="shared" si="16"/>
        <v>-271.9</v>
      </c>
      <c r="E138" s="17">
        <f t="shared" si="17"/>
        <v>51.19392</v>
      </c>
      <c r="F138" s="17">
        <f t="shared" si="18"/>
        <v>-273.9</v>
      </c>
      <c r="G138" s="17">
        <f t="shared" si="19"/>
        <v>51.19392</v>
      </c>
      <c r="J138" s="17">
        <f t="array" ref="J138">IF(ROW(J138)&lt;=COUNTA(D:D)*2,IF(MOD(ROW(J138),2)=1,INDEX(D:D,(ROW(J138)+1)/2),INDEX(F:F,ROW(J138)/2)),"")</f>
        <v>-135.9</v>
      </c>
      <c r="K138" s="17">
        <f t="array" ref="K138">IF(ROW(K138)&lt;=COUNTA(E:E)*2,IF(MOD(ROW(K138),2)=1,INDEX(E:E,(ROW(K138)+1)/2),INDEX(G:G,ROW(K138)/2)),"")</f>
        <v>49.353</v>
      </c>
    </row>
    <row r="139" spans="1:11" x14ac:dyDescent="0.25">
      <c r="A139" s="17"/>
      <c r="B139" s="17"/>
      <c r="D139" s="17">
        <f t="shared" si="16"/>
        <v>-273.9</v>
      </c>
      <c r="E139" s="17">
        <f t="shared" si="17"/>
        <v>51.1194</v>
      </c>
      <c r="F139" s="17">
        <f t="shared" si="18"/>
        <v>-275.9</v>
      </c>
      <c r="G139" s="17">
        <f t="shared" si="19"/>
        <v>51.1194</v>
      </c>
      <c r="J139" s="17">
        <f t="array" ref="J139">IF(ROW(J139)&lt;=COUNTA(D:D)*2,IF(MOD(ROW(J139),2)=1,INDEX(D:D,(ROW(J139)+1)/2),INDEX(F:F,ROW(J139)/2)),"")</f>
        <v>-135.9</v>
      </c>
      <c r="K139" s="17">
        <f t="array" ref="K139">IF(ROW(K139)&lt;=COUNTA(E:E)*2,IF(MOD(ROW(K139),2)=1,INDEX(E:E,(ROW(K139)+1)/2),INDEX(G:G,ROW(K139)/2)),"")</f>
        <v>49.43704</v>
      </c>
    </row>
    <row r="140" spans="1:11" x14ac:dyDescent="0.25">
      <c r="A140" s="17"/>
      <c r="B140" s="17"/>
      <c r="D140" s="17">
        <f t="shared" si="16"/>
        <v>-275.9</v>
      </c>
      <c r="E140" s="17">
        <f t="shared" si="17"/>
        <v>51.21216</v>
      </c>
      <c r="F140" s="17">
        <f t="shared" si="18"/>
        <v>-277.9</v>
      </c>
      <c r="G140" s="17">
        <f t="shared" si="19"/>
        <v>51.21216</v>
      </c>
      <c r="J140" s="17">
        <f t="array" ref="J140">IF(ROW(J140)&lt;=COUNTA(D:D)*2,IF(MOD(ROW(J140),2)=1,INDEX(D:D,(ROW(J140)+1)/2),INDEX(F:F,ROW(J140)/2)),"")</f>
        <v>-137.9</v>
      </c>
      <c r="K140" s="17">
        <f t="array" ref="K140">IF(ROW(K140)&lt;=COUNTA(E:E)*2,IF(MOD(ROW(K140),2)=1,INDEX(E:E,(ROW(K140)+1)/2),INDEX(G:G,ROW(K140)/2)),"")</f>
        <v>49.43704</v>
      </c>
    </row>
    <row r="141" spans="1:11" x14ac:dyDescent="0.25">
      <c r="A141" s="17"/>
      <c r="B141" s="17"/>
      <c r="D141" s="17">
        <f t="shared" si="16"/>
        <v>-277.9</v>
      </c>
      <c r="E141" s="17">
        <f t="shared" si="17"/>
        <v>51.228</v>
      </c>
      <c r="F141" s="17">
        <f t="shared" si="18"/>
        <v>-279.9</v>
      </c>
      <c r="G141" s="17">
        <f t="shared" si="19"/>
        <v>51.228</v>
      </c>
      <c r="J141" s="17">
        <f t="array" ref="J141">IF(ROW(J141)&lt;=COUNTA(D:D)*2,IF(MOD(ROW(J141),2)=1,INDEX(D:D,(ROW(J141)+1)/2),INDEX(F:F,ROW(J141)/2)),"")</f>
        <v>-137.9</v>
      </c>
      <c r="K141" s="17">
        <f t="array" ref="K141">IF(ROW(K141)&lt;=COUNTA(E:E)*2,IF(MOD(ROW(K141),2)=1,INDEX(E:E,(ROW(K141)+1)/2),INDEX(G:G,ROW(K141)/2)),"")</f>
        <v>49.35916</v>
      </c>
    </row>
    <row r="142" spans="1:11" x14ac:dyDescent="0.25">
      <c r="A142" s="17"/>
      <c r="B142" s="17"/>
      <c r="D142" s="17">
        <f t="shared" si="16"/>
        <v>-279.9</v>
      </c>
      <c r="E142" s="17">
        <f t="shared" si="17"/>
        <v>51.24192</v>
      </c>
      <c r="F142" s="17">
        <f t="shared" si="18"/>
        <v>-281.9</v>
      </c>
      <c r="G142" s="17">
        <f t="shared" si="19"/>
        <v>51.24192</v>
      </c>
      <c r="J142" s="17">
        <f t="array" ref="J142">IF(ROW(J142)&lt;=COUNTA(D:D)*2,IF(MOD(ROW(J142),2)=1,INDEX(D:D,(ROW(J142)+1)/2),INDEX(F:F,ROW(J142)/2)),"")</f>
        <v>-139.9</v>
      </c>
      <c r="K142" s="17">
        <f t="array" ref="K142">IF(ROW(K142)&lt;=COUNTA(E:E)*2,IF(MOD(ROW(K142),2)=1,INDEX(E:E,(ROW(K142)+1)/2),INDEX(G:G,ROW(K142)/2)),"")</f>
        <v>49.35916</v>
      </c>
    </row>
    <row r="143" spans="1:11" x14ac:dyDescent="0.25">
      <c r="A143" s="17"/>
      <c r="B143" s="17"/>
      <c r="D143" s="17">
        <f t="shared" si="16"/>
        <v>-281.9</v>
      </c>
      <c r="E143" s="17">
        <f t="shared" si="17"/>
        <v>50.77284</v>
      </c>
      <c r="F143" s="17">
        <f t="shared" si="18"/>
        <v>-283.9</v>
      </c>
      <c r="G143" s="17">
        <f t="shared" si="19"/>
        <v>50.77284</v>
      </c>
      <c r="J143" s="17">
        <f t="array" ref="J143">IF(ROW(J143)&lt;=COUNTA(D:D)*2,IF(MOD(ROW(J143),2)=1,INDEX(D:D,(ROW(J143)+1)/2),INDEX(F:F,ROW(J143)/2)),"")</f>
        <v>-139.9</v>
      </c>
      <c r="K143" s="17">
        <f t="array" ref="K143">IF(ROW(K143)&lt;=COUNTA(E:E)*2,IF(MOD(ROW(K143),2)=1,INDEX(E:E,(ROW(K143)+1)/2),INDEX(G:G,ROW(K143)/2)),"")</f>
        <v>49.36628</v>
      </c>
    </row>
    <row r="144" spans="1:11" x14ac:dyDescent="0.25">
      <c r="A144" s="17"/>
      <c r="B144" s="17"/>
      <c r="D144" s="17">
        <f t="shared" si="16"/>
        <v>-283.9</v>
      </c>
      <c r="E144" s="17">
        <f t="shared" si="17"/>
        <v>51.2536</v>
      </c>
      <c r="F144" s="17">
        <f t="shared" si="18"/>
        <v>-285.9</v>
      </c>
      <c r="G144" s="17">
        <f t="shared" si="19"/>
        <v>51.2536</v>
      </c>
      <c r="J144" s="17">
        <f t="array" ref="J144">IF(ROW(J144)&lt;=COUNTA(D:D)*2,IF(MOD(ROW(J144),2)=1,INDEX(D:D,(ROW(J144)+1)/2),INDEX(F:F,ROW(J144)/2)),"")</f>
        <v>-141.9</v>
      </c>
      <c r="K144" s="17">
        <f t="array" ref="K144">IF(ROW(K144)&lt;=COUNTA(E:E)*2,IF(MOD(ROW(K144),2)=1,INDEX(E:E,(ROW(K144)+1)/2),INDEX(G:G,ROW(K144)/2)),"")</f>
        <v>49.36628</v>
      </c>
    </row>
    <row r="145" spans="1:11" x14ac:dyDescent="0.25">
      <c r="A145" s="17"/>
      <c r="B145" s="17"/>
      <c r="D145" s="17">
        <f t="shared" si="16"/>
        <v>-285.9</v>
      </c>
      <c r="E145" s="17">
        <f t="shared" si="17"/>
        <v>51.27408</v>
      </c>
      <c r="F145" s="17">
        <f t="shared" si="18"/>
        <v>-287.9</v>
      </c>
      <c r="G145" s="17">
        <f t="shared" si="19"/>
        <v>51.27408</v>
      </c>
      <c r="J145" s="17">
        <f t="array" ref="J145">IF(ROW(J145)&lt;=COUNTA(D:D)*2,IF(MOD(ROW(J145),2)=1,INDEX(D:D,(ROW(J145)+1)/2),INDEX(F:F,ROW(J145)/2)),"")</f>
        <v>-141.9</v>
      </c>
      <c r="K145" s="17">
        <f t="array" ref="K145">IF(ROW(K145)&lt;=COUNTA(E:E)*2,IF(MOD(ROW(K145),2)=1,INDEX(E:E,(ROW(K145)+1)/2),INDEX(G:G,ROW(K145)/2)),"")</f>
        <v>49.46528</v>
      </c>
    </row>
    <row r="146" spans="1:11" x14ac:dyDescent="0.25">
      <c r="A146" s="17"/>
      <c r="B146" s="17"/>
      <c r="D146" s="17">
        <f t="shared" si="16"/>
        <v>-287.9</v>
      </c>
      <c r="E146" s="17">
        <f t="shared" si="17"/>
        <v>51.2872</v>
      </c>
      <c r="F146" s="17">
        <f t="shared" si="18"/>
        <v>-289.9</v>
      </c>
      <c r="G146" s="17">
        <f t="shared" si="19"/>
        <v>51.2872</v>
      </c>
      <c r="J146" s="17">
        <f t="array" ref="J146">IF(ROW(J146)&lt;=COUNTA(D:D)*2,IF(MOD(ROW(J146),2)=1,INDEX(D:D,(ROW(J146)+1)/2),INDEX(F:F,ROW(J146)/2)),"")</f>
        <v>-143.9</v>
      </c>
      <c r="K146" s="17">
        <f t="array" ref="K146">IF(ROW(K146)&lt;=COUNTA(E:E)*2,IF(MOD(ROW(K146),2)=1,INDEX(E:E,(ROW(K146)+1)/2),INDEX(G:G,ROW(K146)/2)),"")</f>
        <v>49.46528</v>
      </c>
    </row>
    <row r="147" spans="1:11" x14ac:dyDescent="0.25">
      <c r="A147" s="17"/>
      <c r="B147" s="17"/>
      <c r="D147" s="17">
        <f t="shared" ref="D147:D193" si="20">0-A146</f>
        <v>-289.9</v>
      </c>
      <c r="E147" s="17">
        <f t="shared" ref="E147:E193" si="21">49+(B147)*4</f>
        <v>50.77964</v>
      </c>
      <c r="F147" s="17">
        <f t="shared" ref="F147:F193" si="22">0-A147</f>
        <v>-291.9</v>
      </c>
      <c r="G147" s="17">
        <f t="shared" ref="G147:G193" si="23">49+(B147)*4</f>
        <v>50.77964</v>
      </c>
      <c r="J147" s="17">
        <f t="array" ref="J147">IF(ROW(J147)&lt;=COUNTA(D:D)*2,IF(MOD(ROW(J147),2)=1,INDEX(D:D,(ROW(J147)+1)/2),INDEX(F:F,ROW(J147)/2)),"")</f>
        <v>-143.9</v>
      </c>
      <c r="K147" s="17">
        <f t="array" ref="K147">IF(ROW(K147)&lt;=COUNTA(E:E)*2,IF(MOD(ROW(K147),2)=1,INDEX(E:E,(ROW(K147)+1)/2),INDEX(G:G,ROW(K147)/2)),"")</f>
        <v>49.47272</v>
      </c>
    </row>
    <row r="148" spans="1:11" x14ac:dyDescent="0.25">
      <c r="A148" s="17"/>
      <c r="B148" s="17"/>
      <c r="D148" s="17">
        <f t="shared" si="20"/>
        <v>-291.9</v>
      </c>
      <c r="E148" s="17">
        <f t="shared" si="21"/>
        <v>51.29632</v>
      </c>
      <c r="F148" s="17">
        <f t="shared" si="22"/>
        <v>-293.9</v>
      </c>
      <c r="G148" s="17">
        <f t="shared" si="23"/>
        <v>51.29632</v>
      </c>
      <c r="J148" s="17">
        <f t="array" ref="J148">IF(ROW(J148)&lt;=COUNTA(D:D)*2,IF(MOD(ROW(J148),2)=1,INDEX(D:D,(ROW(J148)+1)/2),INDEX(F:F,ROW(J148)/2)),"")</f>
        <v>-145.9</v>
      </c>
      <c r="K148" s="17">
        <f t="array" ref="K148">IF(ROW(K148)&lt;=COUNTA(E:E)*2,IF(MOD(ROW(K148),2)=1,INDEX(E:E,(ROW(K148)+1)/2),INDEX(G:G,ROW(K148)/2)),"")</f>
        <v>49.47272</v>
      </c>
    </row>
    <row r="149" spans="1:11" x14ac:dyDescent="0.25">
      <c r="A149" s="17"/>
      <c r="B149" s="17"/>
      <c r="D149" s="17">
        <f t="shared" si="20"/>
        <v>-293.9</v>
      </c>
      <c r="E149" s="17">
        <f t="shared" si="21"/>
        <v>51.30656</v>
      </c>
      <c r="F149" s="17">
        <f t="shared" si="22"/>
        <v>-295.9</v>
      </c>
      <c r="G149" s="17">
        <f t="shared" si="23"/>
        <v>51.30656</v>
      </c>
      <c r="J149" s="17">
        <f t="array" ref="J149">IF(ROW(J149)&lt;=COUNTA(D:D)*2,IF(MOD(ROW(J149),2)=1,INDEX(D:D,(ROW(J149)+1)/2),INDEX(F:F,ROW(J149)/2)),"")</f>
        <v>-145.9</v>
      </c>
      <c r="K149" s="17">
        <f t="array" ref="K149">IF(ROW(K149)&lt;=COUNTA(E:E)*2,IF(MOD(ROW(K149),2)=1,INDEX(E:E,(ROW(K149)+1)/2),INDEX(G:G,ROW(K149)/2)),"")</f>
        <v>49.37784</v>
      </c>
    </row>
    <row r="150" spans="1:11" x14ac:dyDescent="0.25">
      <c r="A150" s="17"/>
      <c r="B150" s="17"/>
      <c r="D150" s="17">
        <f t="shared" si="20"/>
        <v>-295.9</v>
      </c>
      <c r="E150" s="17">
        <f t="shared" si="21"/>
        <v>51.32448</v>
      </c>
      <c r="F150" s="17">
        <f t="shared" si="22"/>
        <v>-297.9</v>
      </c>
      <c r="G150" s="17">
        <f t="shared" si="23"/>
        <v>51.32448</v>
      </c>
      <c r="J150" s="17">
        <f t="array" ref="J150">IF(ROW(J150)&lt;=COUNTA(D:D)*2,IF(MOD(ROW(J150),2)=1,INDEX(D:D,(ROW(J150)+1)/2),INDEX(F:F,ROW(J150)/2)),"")</f>
        <v>-147.9</v>
      </c>
      <c r="K150" s="17">
        <f t="array" ref="K150">IF(ROW(K150)&lt;=COUNTA(E:E)*2,IF(MOD(ROW(K150),2)=1,INDEX(E:E,(ROW(K150)+1)/2),INDEX(G:G,ROW(K150)/2)),"")</f>
        <v>49.37784</v>
      </c>
    </row>
    <row r="151" spans="1:11" x14ac:dyDescent="0.25">
      <c r="A151" s="17"/>
      <c r="B151" s="17"/>
      <c r="D151" s="17">
        <f t="shared" si="20"/>
        <v>-297.9</v>
      </c>
      <c r="E151" s="17">
        <f t="shared" si="21"/>
        <v>51.33808</v>
      </c>
      <c r="F151" s="17">
        <f t="shared" si="22"/>
        <v>-299.9</v>
      </c>
      <c r="G151" s="17">
        <f t="shared" si="23"/>
        <v>51.33808</v>
      </c>
      <c r="J151" s="17">
        <f t="array" ref="J151">IF(ROW(J151)&lt;=COUNTA(D:D)*2,IF(MOD(ROW(J151),2)=1,INDEX(D:D,(ROW(J151)+1)/2),INDEX(F:F,ROW(J151)/2)),"")</f>
        <v>-147.9</v>
      </c>
      <c r="K151" s="17">
        <f t="array" ref="K151">IF(ROW(K151)&lt;=COUNTA(E:E)*2,IF(MOD(ROW(K151),2)=1,INDEX(E:E,(ROW(K151)+1)/2),INDEX(G:G,ROW(K151)/2)),"")</f>
        <v>49.48256</v>
      </c>
    </row>
    <row r="152" spans="1:11" x14ac:dyDescent="0.25">
      <c r="A152" s="17"/>
      <c r="B152" s="17"/>
      <c r="D152" s="17">
        <f t="shared" si="20"/>
        <v>-299.9</v>
      </c>
      <c r="E152" s="17">
        <f t="shared" si="21"/>
        <v>50.60224</v>
      </c>
      <c r="F152" s="17">
        <f t="shared" si="22"/>
        <v>-301.9</v>
      </c>
      <c r="G152" s="17">
        <f t="shared" si="23"/>
        <v>50.60224</v>
      </c>
      <c r="J152" s="17">
        <f t="array" ref="J152">IF(ROW(J152)&lt;=COUNTA(D:D)*2,IF(MOD(ROW(J152),2)=1,INDEX(D:D,(ROW(J152)+1)/2),INDEX(F:F,ROW(J152)/2)),"")</f>
        <v>-149.9</v>
      </c>
      <c r="K152" s="17">
        <f t="array" ref="K152">IF(ROW(K152)&lt;=COUNTA(E:E)*2,IF(MOD(ROW(K152),2)=1,INDEX(E:E,(ROW(K152)+1)/2),INDEX(G:G,ROW(K152)/2)),"")</f>
        <v>49.48256</v>
      </c>
    </row>
    <row r="153" spans="1:11" x14ac:dyDescent="0.25">
      <c r="A153" s="17"/>
      <c r="B153" s="17"/>
      <c r="D153" s="17">
        <f t="shared" si="20"/>
        <v>-301.9</v>
      </c>
      <c r="E153" s="17">
        <f t="shared" si="21"/>
        <v>50.60976</v>
      </c>
      <c r="F153" s="17">
        <f t="shared" si="22"/>
        <v>-303.9</v>
      </c>
      <c r="G153" s="17">
        <f t="shared" si="23"/>
        <v>50.60976</v>
      </c>
      <c r="J153" s="17">
        <f t="array" ref="J153">IF(ROW(J153)&lt;=COUNTA(D:D)*2,IF(MOD(ROW(J153),2)=1,INDEX(D:D,(ROW(J153)+1)/2),INDEX(F:F,ROW(J153)/2)),"")</f>
        <v>-149.9</v>
      </c>
      <c r="K153" s="17">
        <f t="array" ref="K153">IF(ROW(K153)&lt;=COUNTA(E:E)*2,IF(MOD(ROW(K153),2)=1,INDEX(E:E,(ROW(K153)+1)/2),INDEX(G:G,ROW(K153)/2)),"")</f>
        <v>49.38424</v>
      </c>
    </row>
    <row r="154" spans="1:11" x14ac:dyDescent="0.25">
      <c r="A154" s="17"/>
      <c r="B154" s="17"/>
      <c r="D154" s="17">
        <f t="shared" si="20"/>
        <v>-303.9</v>
      </c>
      <c r="E154" s="17">
        <f t="shared" si="21"/>
        <v>50.61456</v>
      </c>
      <c r="F154" s="17">
        <f t="shared" si="22"/>
        <v>-305.9</v>
      </c>
      <c r="G154" s="17">
        <f t="shared" si="23"/>
        <v>50.61456</v>
      </c>
      <c r="J154" s="17">
        <f t="array" ref="J154">IF(ROW(J154)&lt;=COUNTA(D:D)*2,IF(MOD(ROW(J154),2)=1,INDEX(D:D,(ROW(J154)+1)/2),INDEX(F:F,ROW(J154)/2)),"")</f>
        <v>-151.9</v>
      </c>
      <c r="K154" s="17">
        <f t="array" ref="K154">IF(ROW(K154)&lt;=COUNTA(E:E)*2,IF(MOD(ROW(K154),2)=1,INDEX(E:E,(ROW(K154)+1)/2),INDEX(G:G,ROW(K154)/2)),"")</f>
        <v>49.38424</v>
      </c>
    </row>
    <row r="155" spans="1:11" x14ac:dyDescent="0.25">
      <c r="A155" s="17"/>
      <c r="B155" s="17"/>
      <c r="D155" s="17">
        <f t="shared" si="20"/>
        <v>-305.9</v>
      </c>
      <c r="E155" s="17">
        <f t="shared" si="21"/>
        <v>50.20796</v>
      </c>
      <c r="F155" s="17">
        <f t="shared" si="22"/>
        <v>-307.9</v>
      </c>
      <c r="G155" s="17">
        <f t="shared" si="23"/>
        <v>50.20796</v>
      </c>
      <c r="J155" s="17">
        <f t="array" ref="J155">IF(ROW(J155)&lt;=COUNTA(D:D)*2,IF(MOD(ROW(J155),2)=1,INDEX(D:D,(ROW(J155)+1)/2),INDEX(F:F,ROW(J155)/2)),"")</f>
        <v>-151.9</v>
      </c>
      <c r="K155" s="17">
        <f t="array" ref="K155">IF(ROW(K155)&lt;=COUNTA(E:E)*2,IF(MOD(ROW(K155),2)=1,INDEX(E:E,(ROW(K155)+1)/2),INDEX(G:G,ROW(K155)/2)),"")</f>
        <v>49.5606</v>
      </c>
    </row>
    <row r="156" spans="1:11" x14ac:dyDescent="0.25">
      <c r="A156" s="17"/>
      <c r="B156" s="17"/>
      <c r="D156" s="17">
        <f t="shared" si="20"/>
        <v>-307.9</v>
      </c>
      <c r="E156" s="17">
        <f t="shared" si="21"/>
        <v>50.78812</v>
      </c>
      <c r="F156" s="17">
        <f t="shared" si="22"/>
        <v>-309.9</v>
      </c>
      <c r="G156" s="17">
        <f t="shared" si="23"/>
        <v>50.78812</v>
      </c>
      <c r="J156" s="17">
        <f t="array" ref="J156">IF(ROW(J156)&lt;=COUNTA(D:D)*2,IF(MOD(ROW(J156),2)=1,INDEX(D:D,(ROW(J156)+1)/2),INDEX(F:F,ROW(J156)/2)),"")</f>
        <v>-153.9</v>
      </c>
      <c r="K156" s="17">
        <f t="array" ref="K156">IF(ROW(K156)&lt;=COUNTA(E:E)*2,IF(MOD(ROW(K156),2)=1,INDEX(E:E,(ROW(K156)+1)/2),INDEX(G:G,ROW(K156)/2)),"")</f>
        <v>49.5606</v>
      </c>
    </row>
    <row r="157" spans="1:11" x14ac:dyDescent="0.25">
      <c r="A157" s="17"/>
      <c r="B157" s="17"/>
      <c r="D157" s="17">
        <f t="shared" si="20"/>
        <v>-309.9</v>
      </c>
      <c r="E157" s="17">
        <f t="shared" si="21"/>
        <v>50.78932</v>
      </c>
      <c r="F157" s="17">
        <f t="shared" si="22"/>
        <v>-311.9</v>
      </c>
      <c r="G157" s="17">
        <f t="shared" si="23"/>
        <v>50.78932</v>
      </c>
      <c r="J157" s="17">
        <f t="array" ref="J157">IF(ROW(J157)&lt;=COUNTA(D:D)*2,IF(MOD(ROW(J157),2)=1,INDEX(D:D,(ROW(J157)+1)/2),INDEX(F:F,ROW(J157)/2)),"")</f>
        <v>-153.9</v>
      </c>
      <c r="K157" s="17">
        <f t="array" ref="K157">IF(ROW(K157)&lt;=COUNTA(E:E)*2,IF(MOD(ROW(K157),2)=1,INDEX(E:E,(ROW(K157)+1)/2),INDEX(G:G,ROW(K157)/2)),"")</f>
        <v>49.89552</v>
      </c>
    </row>
    <row r="158" spans="1:11" x14ac:dyDescent="0.25">
      <c r="A158" s="17"/>
      <c r="B158" s="17"/>
      <c r="D158" s="17">
        <f t="shared" si="20"/>
        <v>-311.9</v>
      </c>
      <c r="E158" s="17">
        <f t="shared" si="21"/>
        <v>50.7978</v>
      </c>
      <c r="F158" s="17">
        <f t="shared" si="22"/>
        <v>-313.9</v>
      </c>
      <c r="G158" s="17">
        <f t="shared" si="23"/>
        <v>50.7978</v>
      </c>
      <c r="J158" s="17">
        <f t="array" ref="J158">IF(ROW(J158)&lt;=COUNTA(D:D)*2,IF(MOD(ROW(J158),2)=1,INDEX(D:D,(ROW(J158)+1)/2),INDEX(F:F,ROW(J158)/2)),"")</f>
        <v>-155.9</v>
      </c>
      <c r="K158" s="17">
        <f t="array" ref="K158">IF(ROW(K158)&lt;=COUNTA(E:E)*2,IF(MOD(ROW(K158),2)=1,INDEX(E:E,(ROW(K158)+1)/2),INDEX(G:G,ROW(K158)/2)),"")</f>
        <v>49.89552</v>
      </c>
    </row>
    <row r="159" spans="1:11" x14ac:dyDescent="0.25">
      <c r="A159" s="17"/>
      <c r="B159" s="17"/>
      <c r="D159" s="17">
        <f t="shared" si="20"/>
        <v>-313.9</v>
      </c>
      <c r="E159" s="17">
        <f t="shared" si="21"/>
        <v>50.80556</v>
      </c>
      <c r="F159" s="17">
        <f t="shared" si="22"/>
        <v>-315.9</v>
      </c>
      <c r="G159" s="17">
        <f t="shared" si="23"/>
        <v>50.80556</v>
      </c>
      <c r="J159" s="17">
        <f t="array" ref="J159">IF(ROW(J159)&lt;=COUNTA(D:D)*2,IF(MOD(ROW(J159),2)=1,INDEX(D:D,(ROW(J159)+1)/2),INDEX(F:F,ROW(J159)/2)),"")</f>
        <v>-155.9</v>
      </c>
      <c r="K159" s="17">
        <f t="array" ref="K159">IF(ROW(K159)&lt;=COUNTA(E:E)*2,IF(MOD(ROW(K159),2)=1,INDEX(E:E,(ROW(K159)+1)/2),INDEX(G:G,ROW(K159)/2)),"")</f>
        <v>49.91412</v>
      </c>
    </row>
    <row r="160" spans="1:11" x14ac:dyDescent="0.25">
      <c r="A160" s="17"/>
      <c r="B160" s="17"/>
      <c r="D160" s="17">
        <f t="shared" si="20"/>
        <v>-315.9</v>
      </c>
      <c r="E160" s="17">
        <f t="shared" si="21"/>
        <v>50.81236</v>
      </c>
      <c r="F160" s="17">
        <f t="shared" si="22"/>
        <v>-317.9</v>
      </c>
      <c r="G160" s="17">
        <f t="shared" si="23"/>
        <v>50.81236</v>
      </c>
      <c r="J160" s="17">
        <f t="array" ref="J160">IF(ROW(J160)&lt;=COUNTA(D:D)*2,IF(MOD(ROW(J160),2)=1,INDEX(D:D,(ROW(J160)+1)/2),INDEX(F:F,ROW(J160)/2)),"")</f>
        <v>-157.9</v>
      </c>
      <c r="K160" s="17">
        <f t="array" ref="K160">IF(ROW(K160)&lt;=COUNTA(E:E)*2,IF(MOD(ROW(K160),2)=1,INDEX(E:E,(ROW(K160)+1)/2),INDEX(G:G,ROW(K160)/2)),"")</f>
        <v>49.91412</v>
      </c>
    </row>
    <row r="161" spans="1:11" x14ac:dyDescent="0.25">
      <c r="A161" s="17"/>
      <c r="B161" s="17"/>
      <c r="D161" s="17">
        <f t="shared" si="20"/>
        <v>-317.9</v>
      </c>
      <c r="E161" s="17">
        <f t="shared" si="21"/>
        <v>50.82132</v>
      </c>
      <c r="F161" s="17">
        <f t="shared" si="22"/>
        <v>-319.9</v>
      </c>
      <c r="G161" s="17">
        <f t="shared" si="23"/>
        <v>50.82132</v>
      </c>
      <c r="J161" s="17">
        <f t="array" ref="J161">IF(ROW(J161)&lt;=COUNTA(D:D)*2,IF(MOD(ROW(J161),2)=1,INDEX(D:D,(ROW(J161)+1)/2),INDEX(F:F,ROW(J161)/2)),"")</f>
        <v>-157.9</v>
      </c>
      <c r="K161" s="17">
        <f t="array" ref="K161">IF(ROW(K161)&lt;=COUNTA(E:E)*2,IF(MOD(ROW(K161),2)=1,INDEX(E:E,(ROW(K161)+1)/2),INDEX(G:G,ROW(K161)/2)),"")</f>
        <v>49.91624</v>
      </c>
    </row>
    <row r="162" spans="1:11" x14ac:dyDescent="0.25">
      <c r="A162" s="17"/>
      <c r="B162" s="17"/>
      <c r="D162" s="17">
        <f t="shared" si="20"/>
        <v>-319.9</v>
      </c>
      <c r="E162" s="17">
        <f t="shared" si="21"/>
        <v>50.82884</v>
      </c>
      <c r="F162" s="17">
        <f t="shared" si="22"/>
        <v>-321.9</v>
      </c>
      <c r="G162" s="17">
        <f t="shared" si="23"/>
        <v>50.82884</v>
      </c>
      <c r="J162" s="17">
        <f t="array" ref="J162">IF(ROW(J162)&lt;=COUNTA(D:D)*2,IF(MOD(ROW(J162),2)=1,INDEX(D:D,(ROW(J162)+1)/2),INDEX(F:F,ROW(J162)/2)),"")</f>
        <v>-159.9</v>
      </c>
      <c r="K162" s="17">
        <f t="array" ref="K162">IF(ROW(K162)&lt;=COUNTA(E:E)*2,IF(MOD(ROW(K162),2)=1,INDEX(E:E,(ROW(K162)+1)/2),INDEX(G:G,ROW(K162)/2)),"")</f>
        <v>49.91624</v>
      </c>
    </row>
    <row r="163" spans="1:11" x14ac:dyDescent="0.25">
      <c r="A163" s="17"/>
      <c r="B163" s="17"/>
      <c r="D163" s="17">
        <f t="shared" si="20"/>
        <v>-321.9</v>
      </c>
      <c r="E163" s="17">
        <f t="shared" si="21"/>
        <v>50.83468</v>
      </c>
      <c r="F163" s="17">
        <f t="shared" si="22"/>
        <v>-323.9</v>
      </c>
      <c r="G163" s="17">
        <f t="shared" si="23"/>
        <v>50.83468</v>
      </c>
      <c r="J163" s="17">
        <f t="array" ref="J163">IF(ROW(J163)&lt;=COUNTA(D:D)*2,IF(MOD(ROW(J163),2)=1,INDEX(D:D,(ROW(J163)+1)/2),INDEX(F:F,ROW(J163)/2)),"")</f>
        <v>-159.9</v>
      </c>
      <c r="K163" s="17">
        <f t="array" ref="K163">IF(ROW(K163)&lt;=COUNTA(E:E)*2,IF(MOD(ROW(K163),2)=1,INDEX(E:E,(ROW(K163)+1)/2),INDEX(G:G,ROW(K163)/2)),"")</f>
        <v>49.49236</v>
      </c>
    </row>
    <row r="164" spans="1:11" x14ac:dyDescent="0.25">
      <c r="A164" s="17"/>
      <c r="B164" s="17"/>
      <c r="D164" s="17">
        <f t="shared" si="20"/>
        <v>-323.9</v>
      </c>
      <c r="E164" s="17">
        <f t="shared" si="21"/>
        <v>50.84304</v>
      </c>
      <c r="F164" s="17">
        <f t="shared" si="22"/>
        <v>-325.9</v>
      </c>
      <c r="G164" s="17">
        <f t="shared" si="23"/>
        <v>50.84304</v>
      </c>
      <c r="J164" s="17">
        <f t="array" ref="J164">IF(ROW(J164)&lt;=COUNTA(D:D)*2,IF(MOD(ROW(J164),2)=1,INDEX(D:D,(ROW(J164)+1)/2),INDEX(F:F,ROW(J164)/2)),"")</f>
        <v>-161.9</v>
      </c>
      <c r="K164" s="17">
        <f t="array" ref="K164">IF(ROW(K164)&lt;=COUNTA(E:E)*2,IF(MOD(ROW(K164),2)=1,INDEX(E:E,(ROW(K164)+1)/2),INDEX(G:G,ROW(K164)/2)),"")</f>
        <v>49.49236</v>
      </c>
    </row>
    <row r="165" spans="1:11" x14ac:dyDescent="0.25">
      <c r="A165" s="17"/>
      <c r="B165" s="17"/>
      <c r="D165" s="17">
        <f t="shared" si="20"/>
        <v>-325.9</v>
      </c>
      <c r="E165" s="17">
        <f t="shared" si="21"/>
        <v>50.85368</v>
      </c>
      <c r="F165" s="17">
        <f t="shared" si="22"/>
        <v>-327.9</v>
      </c>
      <c r="G165" s="17">
        <f t="shared" si="23"/>
        <v>50.85368</v>
      </c>
      <c r="J165" s="17">
        <f t="array" ref="J165">IF(ROW(J165)&lt;=COUNTA(D:D)*2,IF(MOD(ROW(J165),2)=1,INDEX(D:D,(ROW(J165)+1)/2),INDEX(F:F,ROW(J165)/2)),"")</f>
        <v>-161.9</v>
      </c>
      <c r="K165" s="17">
        <f t="array" ref="K165">IF(ROW(K165)&lt;=COUNTA(E:E)*2,IF(MOD(ROW(K165),2)=1,INDEX(E:E,(ROW(K165)+1)/2),INDEX(G:G,ROW(K165)/2)),"")</f>
        <v>49.5222</v>
      </c>
    </row>
    <row r="166" spans="1:11" x14ac:dyDescent="0.25">
      <c r="A166" s="17"/>
      <c r="B166" s="17"/>
      <c r="D166" s="17">
        <f t="shared" si="20"/>
        <v>-327.9</v>
      </c>
      <c r="E166" s="17">
        <f t="shared" si="21"/>
        <v>50.86208</v>
      </c>
      <c r="F166" s="17">
        <f t="shared" si="22"/>
        <v>-329.9</v>
      </c>
      <c r="G166" s="17">
        <f t="shared" si="23"/>
        <v>50.86208</v>
      </c>
      <c r="J166" s="17">
        <f t="array" ref="J166">IF(ROW(J166)&lt;=COUNTA(D:D)*2,IF(MOD(ROW(J166),2)=1,INDEX(D:D,(ROW(J166)+1)/2),INDEX(F:F,ROW(J166)/2)),"")</f>
        <v>-163.9</v>
      </c>
      <c r="K166" s="17">
        <f t="array" ref="K166">IF(ROW(K166)&lt;=COUNTA(E:E)*2,IF(MOD(ROW(K166),2)=1,INDEX(E:E,(ROW(K166)+1)/2),INDEX(G:G,ROW(K166)/2)),"")</f>
        <v>49.5222</v>
      </c>
    </row>
    <row r="167" spans="1:11" x14ac:dyDescent="0.25">
      <c r="A167" s="17"/>
      <c r="B167" s="17"/>
      <c r="D167" s="17">
        <f t="shared" si="20"/>
        <v>-329.9</v>
      </c>
      <c r="E167" s="17">
        <f t="shared" si="21"/>
        <v>50.87128</v>
      </c>
      <c r="F167" s="17">
        <f t="shared" si="22"/>
        <v>-331.9</v>
      </c>
      <c r="G167" s="17">
        <f t="shared" si="23"/>
        <v>50.87128</v>
      </c>
      <c r="J167" s="17">
        <f t="array" ref="J167">IF(ROW(J167)&lt;=COUNTA(D:D)*2,IF(MOD(ROW(J167),2)=1,INDEX(D:D,(ROW(J167)+1)/2),INDEX(F:F,ROW(J167)/2)),"")</f>
        <v>-163.9</v>
      </c>
      <c r="K167" s="17">
        <f t="array" ref="K167">IF(ROW(K167)&lt;=COUNTA(E:E)*2,IF(MOD(ROW(K167),2)=1,INDEX(E:E,(ROW(K167)+1)/2),INDEX(G:G,ROW(K167)/2)),"")</f>
        <v>49.55952</v>
      </c>
    </row>
    <row r="168" spans="1:11" x14ac:dyDescent="0.25">
      <c r="A168" s="17"/>
      <c r="B168" s="17"/>
      <c r="D168" s="17">
        <f t="shared" si="20"/>
        <v>-331.9</v>
      </c>
      <c r="E168" s="17">
        <f t="shared" si="21"/>
        <v>50.88072</v>
      </c>
      <c r="F168" s="17">
        <f t="shared" si="22"/>
        <v>-333.9</v>
      </c>
      <c r="G168" s="17">
        <f t="shared" si="23"/>
        <v>50.88072</v>
      </c>
      <c r="J168" s="17">
        <f t="array" ref="J168">IF(ROW(J168)&lt;=COUNTA(D:D)*2,IF(MOD(ROW(J168),2)=1,INDEX(D:D,(ROW(J168)+1)/2),INDEX(F:F,ROW(J168)/2)),"")</f>
        <v>-165.9</v>
      </c>
      <c r="K168" s="17">
        <f t="array" ref="K168">IF(ROW(K168)&lt;=COUNTA(E:E)*2,IF(MOD(ROW(K168),2)=1,INDEX(E:E,(ROW(K168)+1)/2),INDEX(G:G,ROW(K168)/2)),"")</f>
        <v>49.55952</v>
      </c>
    </row>
    <row r="169" spans="1:11" x14ac:dyDescent="0.25">
      <c r="A169" s="17"/>
      <c r="B169" s="17"/>
      <c r="D169" s="17">
        <f t="shared" si="20"/>
        <v>-333.9</v>
      </c>
      <c r="E169" s="17">
        <f t="shared" si="21"/>
        <v>50.88992</v>
      </c>
      <c r="F169" s="17">
        <f t="shared" si="22"/>
        <v>-335.9</v>
      </c>
      <c r="G169" s="17">
        <f t="shared" si="23"/>
        <v>50.88992</v>
      </c>
      <c r="J169" s="17">
        <f t="array" ref="J169">IF(ROW(J169)&lt;=COUNTA(D:D)*2,IF(MOD(ROW(J169),2)=1,INDEX(D:D,(ROW(J169)+1)/2),INDEX(F:F,ROW(J169)/2)),"")</f>
        <v>-165.9</v>
      </c>
      <c r="K169" s="17">
        <f t="array" ref="K169">IF(ROW(K169)&lt;=COUNTA(E:E)*2,IF(MOD(ROW(K169),2)=1,INDEX(E:E,(ROW(K169)+1)/2),INDEX(G:G,ROW(K169)/2)),"")</f>
        <v>49.57492</v>
      </c>
    </row>
    <row r="170" spans="1:11" x14ac:dyDescent="0.25">
      <c r="A170" s="17"/>
      <c r="B170" s="17"/>
      <c r="D170" s="17">
        <f t="shared" si="20"/>
        <v>-335.9</v>
      </c>
      <c r="E170" s="17">
        <f t="shared" si="21"/>
        <v>50.89976</v>
      </c>
      <c r="F170" s="17">
        <f t="shared" si="22"/>
        <v>-337.9</v>
      </c>
      <c r="G170" s="17">
        <f t="shared" si="23"/>
        <v>50.89976</v>
      </c>
      <c r="J170" s="17">
        <f t="array" ref="J170">IF(ROW(J170)&lt;=COUNTA(D:D)*2,IF(MOD(ROW(J170),2)=1,INDEX(D:D,(ROW(J170)+1)/2),INDEX(F:F,ROW(J170)/2)),"")</f>
        <v>-167.9</v>
      </c>
      <c r="K170" s="17">
        <f t="array" ref="K170">IF(ROW(K170)&lt;=COUNTA(E:E)*2,IF(MOD(ROW(K170),2)=1,INDEX(E:E,(ROW(K170)+1)/2),INDEX(G:G,ROW(K170)/2)),"")</f>
        <v>49.57492</v>
      </c>
    </row>
    <row r="171" spans="1:11" x14ac:dyDescent="0.25">
      <c r="A171" s="17"/>
      <c r="B171" s="17"/>
      <c r="D171" s="17">
        <f t="shared" si="20"/>
        <v>-337.9</v>
      </c>
      <c r="E171" s="17">
        <f t="shared" si="21"/>
        <v>50.06112</v>
      </c>
      <c r="F171" s="17">
        <f t="shared" si="22"/>
        <v>-339.9</v>
      </c>
      <c r="G171" s="17">
        <f t="shared" si="23"/>
        <v>50.06112</v>
      </c>
      <c r="J171" s="17">
        <f t="array" ref="J171">IF(ROW(J171)&lt;=COUNTA(D:D)*2,IF(MOD(ROW(J171),2)=1,INDEX(D:D,(ROW(J171)+1)/2),INDEX(F:F,ROW(J171)/2)),"")</f>
        <v>-167.9</v>
      </c>
      <c r="K171" s="17">
        <f t="array" ref="K171">IF(ROW(K171)&lt;=COUNTA(E:E)*2,IF(MOD(ROW(K171),2)=1,INDEX(E:E,(ROW(K171)+1)/2),INDEX(G:G,ROW(K171)/2)),"")</f>
        <v>49.40224</v>
      </c>
    </row>
    <row r="172" spans="1:11" x14ac:dyDescent="0.25">
      <c r="A172" s="17"/>
      <c r="B172" s="17"/>
      <c r="D172" s="17">
        <f t="shared" si="20"/>
        <v>-339.9</v>
      </c>
      <c r="E172" s="17">
        <f t="shared" si="21"/>
        <v>49.90132</v>
      </c>
      <c r="F172" s="17">
        <f t="shared" si="22"/>
        <v>-341.9</v>
      </c>
      <c r="G172" s="17">
        <f t="shared" si="23"/>
        <v>49.90132</v>
      </c>
      <c r="J172" s="17">
        <f t="array" ref="J172">IF(ROW(J172)&lt;=COUNTA(D:D)*2,IF(MOD(ROW(J172),2)=1,INDEX(D:D,(ROW(J172)+1)/2),INDEX(F:F,ROW(J172)/2)),"")</f>
        <v>-169.9</v>
      </c>
      <c r="K172" s="17">
        <f t="array" ref="K172">IF(ROW(K172)&lt;=COUNTA(E:E)*2,IF(MOD(ROW(K172),2)=1,INDEX(E:E,(ROW(K172)+1)/2),INDEX(G:G,ROW(K172)/2)),"")</f>
        <v>49.40224</v>
      </c>
    </row>
    <row r="173" spans="1:11" x14ac:dyDescent="0.25">
      <c r="A173" s="17"/>
      <c r="B173" s="17"/>
      <c r="D173" s="17">
        <f t="shared" si="20"/>
        <v>-341.9</v>
      </c>
      <c r="E173" s="17">
        <f t="shared" si="21"/>
        <v>50.29728</v>
      </c>
      <c r="F173" s="17">
        <f t="shared" si="22"/>
        <v>-343.9</v>
      </c>
      <c r="G173" s="17">
        <f t="shared" si="23"/>
        <v>50.29728</v>
      </c>
      <c r="J173" s="17">
        <f t="array" ref="J173">IF(ROW(J173)&lt;=COUNTA(D:D)*2,IF(MOD(ROW(J173),2)=1,INDEX(D:D,(ROW(J173)+1)/2),INDEX(F:F,ROW(J173)/2)),"")</f>
        <v>-169.9</v>
      </c>
      <c r="K173" s="17">
        <f t="array" ref="K173">IF(ROW(K173)&lt;=COUNTA(E:E)*2,IF(MOD(ROW(K173),2)=1,INDEX(E:E,(ROW(K173)+1)/2),INDEX(G:G,ROW(K173)/2)),"")</f>
        <v>49.38544</v>
      </c>
    </row>
    <row r="174" spans="1:11" x14ac:dyDescent="0.25">
      <c r="A174" s="17"/>
      <c r="B174" s="17"/>
      <c r="D174" s="17">
        <f t="shared" si="20"/>
        <v>-343.9</v>
      </c>
      <c r="E174" s="17">
        <f t="shared" si="21"/>
        <v>50.91976</v>
      </c>
      <c r="F174" s="17">
        <f t="shared" si="22"/>
        <v>-345.9</v>
      </c>
      <c r="G174" s="17">
        <f t="shared" si="23"/>
        <v>50.91976</v>
      </c>
      <c r="J174" s="17">
        <f t="array" ref="J174">IF(ROW(J174)&lt;=COUNTA(D:D)*2,IF(MOD(ROW(J174),2)=1,INDEX(D:D,(ROW(J174)+1)/2),INDEX(F:F,ROW(J174)/2)),"")</f>
        <v>-171.9</v>
      </c>
      <c r="K174" s="17">
        <f t="array" ref="K174">IF(ROW(K174)&lt;=COUNTA(E:E)*2,IF(MOD(ROW(K174),2)=1,INDEX(E:E,(ROW(K174)+1)/2),INDEX(G:G,ROW(K174)/2)),"")</f>
        <v>49.38544</v>
      </c>
    </row>
    <row r="175" spans="1:11" x14ac:dyDescent="0.25">
      <c r="A175" s="17"/>
      <c r="B175" s="17"/>
      <c r="D175" s="17">
        <f t="shared" si="20"/>
        <v>-345.9</v>
      </c>
      <c r="E175" s="17">
        <f t="shared" si="21"/>
        <v>50.93044</v>
      </c>
      <c r="F175" s="17">
        <f t="shared" si="22"/>
        <v>-347.9</v>
      </c>
      <c r="G175" s="17">
        <f t="shared" si="23"/>
        <v>50.93044</v>
      </c>
      <c r="J175" s="17">
        <f t="array" ref="J175">IF(ROW(J175)&lt;=COUNTA(D:D)*2,IF(MOD(ROW(J175),2)=1,INDEX(D:D,(ROW(J175)+1)/2),INDEX(F:F,ROW(J175)/2)),"")</f>
        <v>-171.9</v>
      </c>
      <c r="K175" s="17">
        <f t="array" ref="K175">IF(ROW(K175)&lt;=COUNTA(E:E)*2,IF(MOD(ROW(K175),2)=1,INDEX(E:E,(ROW(K175)+1)/2),INDEX(G:G,ROW(K175)/2)),"")</f>
        <v>49.49516</v>
      </c>
    </row>
    <row r="176" spans="1:11" x14ac:dyDescent="0.25">
      <c r="A176" s="17"/>
      <c r="B176" s="17"/>
      <c r="D176" s="17">
        <f t="shared" si="20"/>
        <v>-347.9</v>
      </c>
      <c r="E176" s="17">
        <f t="shared" si="21"/>
        <v>50.9434</v>
      </c>
      <c r="F176" s="17">
        <f t="shared" si="22"/>
        <v>-349.9</v>
      </c>
      <c r="G176" s="17">
        <f t="shared" si="23"/>
        <v>50.9434</v>
      </c>
      <c r="J176" s="17">
        <f t="array" ref="J176">IF(ROW(J176)&lt;=COUNTA(D:D)*2,IF(MOD(ROW(J176),2)=1,INDEX(D:D,(ROW(J176)+1)/2),INDEX(F:F,ROW(J176)/2)),"")</f>
        <v>-173.9</v>
      </c>
      <c r="K176" s="17">
        <f t="array" ref="K176">IF(ROW(K176)&lt;=COUNTA(E:E)*2,IF(MOD(ROW(K176),2)=1,INDEX(E:E,(ROW(K176)+1)/2),INDEX(G:G,ROW(K176)/2)),"")</f>
        <v>49.49516</v>
      </c>
    </row>
    <row r="177" spans="1:11" x14ac:dyDescent="0.25">
      <c r="A177" s="17"/>
      <c r="B177" s="17"/>
      <c r="D177" s="17">
        <f t="shared" si="20"/>
        <v>-349.9</v>
      </c>
      <c r="E177" s="17">
        <f t="shared" si="21"/>
        <v>50.95492</v>
      </c>
      <c r="F177" s="17">
        <f t="shared" si="22"/>
        <v>-351.9</v>
      </c>
      <c r="G177" s="17">
        <f t="shared" si="23"/>
        <v>50.95492</v>
      </c>
      <c r="J177" s="17">
        <f t="array" ref="J177">IF(ROW(J177)&lt;=COUNTA(D:D)*2,IF(MOD(ROW(J177),2)=1,INDEX(D:D,(ROW(J177)+1)/2),INDEX(F:F,ROW(J177)/2)),"")</f>
        <v>-173.9</v>
      </c>
      <c r="K177" s="17">
        <f t="array" ref="K177">IF(ROW(K177)&lt;=COUNTA(E:E)*2,IF(MOD(ROW(K177),2)=1,INDEX(E:E,(ROW(K177)+1)/2),INDEX(G:G,ROW(K177)/2)),"")</f>
        <v>49.39248</v>
      </c>
    </row>
    <row r="178" spans="1:11" x14ac:dyDescent="0.25">
      <c r="A178" s="17"/>
      <c r="B178" s="17"/>
      <c r="D178" s="17">
        <f t="shared" si="20"/>
        <v>-351.9</v>
      </c>
      <c r="E178" s="17">
        <f t="shared" si="21"/>
        <v>50.96556</v>
      </c>
      <c r="F178" s="17">
        <f t="shared" si="22"/>
        <v>-353.9</v>
      </c>
      <c r="G178" s="17">
        <f t="shared" si="23"/>
        <v>50.96556</v>
      </c>
      <c r="J178" s="17">
        <f t="array" ref="J178">IF(ROW(J178)&lt;=COUNTA(D:D)*2,IF(MOD(ROW(J178),2)=1,INDEX(D:D,(ROW(J178)+1)/2),INDEX(F:F,ROW(J178)/2)),"")</f>
        <v>-175.9</v>
      </c>
      <c r="K178" s="17">
        <f t="array" ref="K178">IF(ROW(K178)&lt;=COUNTA(E:E)*2,IF(MOD(ROW(K178),2)=1,INDEX(E:E,(ROW(K178)+1)/2),INDEX(G:G,ROW(K178)/2)),"")</f>
        <v>49.39248</v>
      </c>
    </row>
    <row r="179" spans="1:11" x14ac:dyDescent="0.25">
      <c r="A179" s="17"/>
      <c r="B179" s="17"/>
      <c r="D179" s="17">
        <f t="shared" si="20"/>
        <v>-353.9</v>
      </c>
      <c r="E179" s="17">
        <f t="shared" si="21"/>
        <v>50.97392</v>
      </c>
      <c r="F179" s="17">
        <f t="shared" si="22"/>
        <v>-355.9</v>
      </c>
      <c r="G179" s="17">
        <f t="shared" si="23"/>
        <v>50.97392</v>
      </c>
      <c r="J179" s="17">
        <f t="array" ref="J179">IF(ROW(J179)&lt;=COUNTA(D:D)*2,IF(MOD(ROW(J179),2)=1,INDEX(D:D,(ROW(J179)+1)/2),INDEX(F:F,ROW(J179)/2)),"")</f>
        <v>-175.9</v>
      </c>
      <c r="K179" s="17">
        <f t="array" ref="K179">IF(ROW(K179)&lt;=COUNTA(E:E)*2,IF(MOD(ROW(K179),2)=1,INDEX(E:E,(ROW(K179)+1)/2),INDEX(G:G,ROW(K179)/2)),"")</f>
        <v>49.40896</v>
      </c>
    </row>
    <row r="180" spans="1:11" x14ac:dyDescent="0.25">
      <c r="A180" s="17"/>
      <c r="B180" s="17"/>
      <c r="D180" s="17">
        <f t="shared" si="20"/>
        <v>-355.9</v>
      </c>
      <c r="E180" s="17">
        <f t="shared" si="21"/>
        <v>50.04152</v>
      </c>
      <c r="F180" s="17">
        <f t="shared" si="22"/>
        <v>-357.9</v>
      </c>
      <c r="G180" s="17">
        <f t="shared" si="23"/>
        <v>50.04152</v>
      </c>
      <c r="J180" s="17">
        <f t="array" ref="J180">IF(ROW(J180)&lt;=COUNTA(D:D)*2,IF(MOD(ROW(J180),2)=1,INDEX(D:D,(ROW(J180)+1)/2),INDEX(F:F,ROW(J180)/2)),"")</f>
        <v>-177.9</v>
      </c>
      <c r="K180" s="17">
        <f t="array" ref="K180">IF(ROW(K180)&lt;=COUNTA(E:E)*2,IF(MOD(ROW(K180),2)=1,INDEX(E:E,(ROW(K180)+1)/2),INDEX(G:G,ROW(K180)/2)),"")</f>
        <v>49.40896</v>
      </c>
    </row>
    <row r="181" spans="1:11" x14ac:dyDescent="0.25">
      <c r="A181" s="17"/>
      <c r="B181" s="17"/>
      <c r="D181" s="17">
        <f t="shared" si="20"/>
        <v>-357.9</v>
      </c>
      <c r="E181" s="17">
        <f t="shared" si="21"/>
        <v>50.0726</v>
      </c>
      <c r="F181" s="17">
        <f t="shared" si="22"/>
        <v>-359.9</v>
      </c>
      <c r="G181" s="17">
        <f t="shared" si="23"/>
        <v>50.0726</v>
      </c>
      <c r="J181" s="17">
        <f t="array" ref="J181">IF(ROW(J181)&lt;=COUNTA(D:D)*2,IF(MOD(ROW(J181),2)=1,INDEX(D:D,(ROW(J181)+1)/2),INDEX(F:F,ROW(J181)/2)),"")</f>
        <v>-177.9</v>
      </c>
      <c r="K181" s="17">
        <f t="array" ref="K181">IF(ROW(K181)&lt;=COUNTA(E:E)*2,IF(MOD(ROW(K181),2)=1,INDEX(E:E,(ROW(K181)+1)/2),INDEX(G:G,ROW(K181)/2)),"")</f>
        <v>49.41888</v>
      </c>
    </row>
    <row r="182" spans="1:11" x14ac:dyDescent="0.25">
      <c r="A182" s="17"/>
      <c r="B182" s="17"/>
      <c r="D182" s="17">
        <f t="shared" si="20"/>
        <v>-359.9</v>
      </c>
      <c r="E182" s="17">
        <f t="shared" si="21"/>
        <v>50.2</v>
      </c>
      <c r="F182" s="17">
        <f t="shared" si="22"/>
        <v>-361.9</v>
      </c>
      <c r="G182" s="17">
        <f t="shared" si="23"/>
        <v>50.2</v>
      </c>
      <c r="J182" s="17">
        <f t="array" ref="J182">IF(ROW(J182)&lt;=COUNTA(D:D)*2,IF(MOD(ROW(J182),2)=1,INDEX(D:D,(ROW(J182)+1)/2),INDEX(F:F,ROW(J182)/2)),"")</f>
        <v>-179.9</v>
      </c>
      <c r="K182" s="17">
        <f t="array" ref="K182">IF(ROW(K182)&lt;=COUNTA(E:E)*2,IF(MOD(ROW(K182),2)=1,INDEX(E:E,(ROW(K182)+1)/2),INDEX(G:G,ROW(K182)/2)),"")</f>
        <v>49.41888</v>
      </c>
    </row>
    <row r="183" spans="1:11" x14ac:dyDescent="0.25">
      <c r="A183" s="17"/>
      <c r="B183" s="17"/>
      <c r="D183" s="17">
        <f t="shared" si="20"/>
        <v>-361.9</v>
      </c>
      <c r="E183" s="17">
        <f t="shared" si="21"/>
        <v>50.32</v>
      </c>
      <c r="F183" s="17">
        <f t="shared" si="22"/>
        <v>-363.9</v>
      </c>
      <c r="G183" s="17">
        <f t="shared" si="23"/>
        <v>50.32</v>
      </c>
      <c r="J183" s="17">
        <f t="array" ref="J183">IF(ROW(J183)&lt;=COUNTA(D:D)*2,IF(MOD(ROW(J183),2)=1,INDEX(D:D,(ROW(J183)+1)/2),INDEX(F:F,ROW(J183)/2)),"")</f>
        <v>-179.9</v>
      </c>
      <c r="K183" s="17">
        <f t="array" ref="K183">IF(ROW(K183)&lt;=COUNTA(E:E)*2,IF(MOD(ROW(K183),2)=1,INDEX(E:E,(ROW(K183)+1)/2),INDEX(G:G,ROW(K183)/2)),"")</f>
        <v>49.42576</v>
      </c>
    </row>
    <row r="184" spans="1:11" x14ac:dyDescent="0.25">
      <c r="A184" s="17"/>
      <c r="B184" s="17"/>
      <c r="D184" s="17">
        <f t="shared" si="20"/>
        <v>-363.9</v>
      </c>
      <c r="E184" s="17">
        <f t="shared" si="21"/>
        <v>49.88</v>
      </c>
      <c r="F184" s="17">
        <f t="shared" si="22"/>
        <v>-365.9</v>
      </c>
      <c r="G184" s="17">
        <f t="shared" si="23"/>
        <v>49.88</v>
      </c>
      <c r="J184" s="17">
        <f t="array" ref="J184">IF(ROW(J184)&lt;=COUNTA(D:D)*2,IF(MOD(ROW(J184),2)=1,INDEX(D:D,(ROW(J184)+1)/2),INDEX(F:F,ROW(J184)/2)),"")</f>
        <v>-181.9</v>
      </c>
      <c r="K184" s="17">
        <f t="array" ref="K184">IF(ROW(K184)&lt;=COUNTA(E:E)*2,IF(MOD(ROW(K184),2)=1,INDEX(E:E,(ROW(K184)+1)/2),INDEX(G:G,ROW(K184)/2)),"")</f>
        <v>49.42576</v>
      </c>
    </row>
    <row r="185" spans="1:11" x14ac:dyDescent="0.25">
      <c r="A185" s="17"/>
      <c r="B185" s="17"/>
      <c r="D185" s="17">
        <f t="shared" si="20"/>
        <v>-365.9</v>
      </c>
      <c r="E185" s="17">
        <f t="shared" si="21"/>
        <v>50.04</v>
      </c>
      <c r="F185" s="17">
        <f t="shared" si="22"/>
        <v>-367.9</v>
      </c>
      <c r="G185" s="17">
        <f t="shared" si="23"/>
        <v>50.04</v>
      </c>
      <c r="J185" s="17">
        <f t="array" ref="J185">IF(ROW(J185)&lt;=COUNTA(D:D)*2,IF(MOD(ROW(J185),2)=1,INDEX(D:D,(ROW(J185)+1)/2),INDEX(F:F,ROW(J185)/2)),"")</f>
        <v>-181.9</v>
      </c>
      <c r="K185" s="17">
        <f t="array" ref="K185">IF(ROW(K185)&lt;=COUNTA(E:E)*2,IF(MOD(ROW(K185),2)=1,INDEX(E:E,(ROW(K185)+1)/2),INDEX(G:G,ROW(K185)/2)),"")</f>
        <v>49.50084</v>
      </c>
    </row>
    <row r="186" spans="1:11" x14ac:dyDescent="0.25">
      <c r="A186" s="17"/>
      <c r="B186" s="17"/>
      <c r="D186" s="17">
        <f t="shared" si="20"/>
        <v>-367.9</v>
      </c>
      <c r="E186" s="17">
        <f t="shared" si="21"/>
        <v>50.04</v>
      </c>
      <c r="F186" s="17">
        <f t="shared" si="22"/>
        <v>-369.9</v>
      </c>
      <c r="G186" s="17">
        <f t="shared" si="23"/>
        <v>50.04</v>
      </c>
      <c r="J186" s="17">
        <f t="array" ref="J186">IF(ROW(J186)&lt;=COUNTA(D:D)*2,IF(MOD(ROW(J186),2)=1,INDEX(D:D,(ROW(J186)+1)/2),INDEX(F:F,ROW(J186)/2)),"")</f>
        <v>-183.9</v>
      </c>
      <c r="K186" s="17">
        <f t="array" ref="K186">IF(ROW(K186)&lt;=COUNTA(E:E)*2,IF(MOD(ROW(K186),2)=1,INDEX(E:E,(ROW(K186)+1)/2),INDEX(G:G,ROW(K186)/2)),"")</f>
        <v>49.50084</v>
      </c>
    </row>
    <row r="187" spans="1:11" x14ac:dyDescent="0.25">
      <c r="A187" s="17"/>
      <c r="B187" s="17"/>
      <c r="D187" s="17">
        <f t="shared" si="20"/>
        <v>-369.9</v>
      </c>
      <c r="E187" s="17">
        <f t="shared" si="21"/>
        <v>49.84</v>
      </c>
      <c r="F187" s="17">
        <f t="shared" si="22"/>
        <v>-371.9</v>
      </c>
      <c r="G187" s="17">
        <f t="shared" si="23"/>
        <v>49.84</v>
      </c>
      <c r="J187" s="17">
        <f t="array" ref="J187">IF(ROW(J187)&lt;=COUNTA(D:D)*2,IF(MOD(ROW(J187),2)=1,INDEX(D:D,(ROW(J187)+1)/2),INDEX(F:F,ROW(J187)/2)),"")</f>
        <v>-183.9</v>
      </c>
      <c r="K187" s="17">
        <f t="array" ref="K187">IF(ROW(K187)&lt;=COUNTA(E:E)*2,IF(MOD(ROW(K187),2)=1,INDEX(E:E,(ROW(K187)+1)/2),INDEX(G:G,ROW(K187)/2)),"")</f>
        <v>49.51104</v>
      </c>
    </row>
    <row r="188" spans="1:11" x14ac:dyDescent="0.25">
      <c r="A188" s="17"/>
      <c r="B188" s="17"/>
      <c r="D188" s="17">
        <f t="shared" si="20"/>
        <v>-371.9</v>
      </c>
      <c r="E188" s="17">
        <f t="shared" si="21"/>
        <v>51</v>
      </c>
      <c r="F188" s="17">
        <f t="shared" si="22"/>
        <v>-373.9</v>
      </c>
      <c r="G188" s="17">
        <f t="shared" si="23"/>
        <v>51</v>
      </c>
      <c r="J188" s="17">
        <f t="array" ref="J188">IF(ROW(J188)&lt;=COUNTA(D:D)*2,IF(MOD(ROW(J188),2)=1,INDEX(D:D,(ROW(J188)+1)/2),INDEX(F:F,ROW(J188)/2)),"")</f>
        <v>-185.9</v>
      </c>
      <c r="K188" s="17">
        <f t="array" ref="K188">IF(ROW(K188)&lt;=COUNTA(E:E)*2,IF(MOD(ROW(K188),2)=1,INDEX(E:E,(ROW(K188)+1)/2),INDEX(G:G,ROW(K188)/2)),"")</f>
        <v>49.51104</v>
      </c>
    </row>
    <row r="189" spans="1:11" x14ac:dyDescent="0.25">
      <c r="A189" s="17"/>
      <c r="B189" s="17"/>
      <c r="D189" s="17">
        <f t="shared" si="20"/>
        <v>-373.9</v>
      </c>
      <c r="E189" s="17">
        <f t="shared" si="21"/>
        <v>51</v>
      </c>
      <c r="F189" s="17">
        <f t="shared" si="22"/>
        <v>-375.9</v>
      </c>
      <c r="G189" s="17">
        <f t="shared" si="23"/>
        <v>51</v>
      </c>
      <c r="J189" s="17">
        <f t="array" ref="J189">IF(ROW(J189)&lt;=COUNTA(D:D)*2,IF(MOD(ROW(J189),2)=1,INDEX(D:D,(ROW(J189)+1)/2),INDEX(F:F,ROW(J189)/2)),"")</f>
        <v>-185.9</v>
      </c>
      <c r="K189" s="17">
        <f t="array" ref="K189">IF(ROW(K189)&lt;=COUNTA(E:E)*2,IF(MOD(ROW(K189),2)=1,INDEX(E:E,(ROW(K189)+1)/2),INDEX(G:G,ROW(K189)/2)),"")</f>
        <v>49.51976</v>
      </c>
    </row>
    <row r="190" spans="1:11" x14ac:dyDescent="0.25">
      <c r="A190" s="17"/>
      <c r="B190" s="17"/>
      <c r="D190" s="17">
        <f t="shared" si="20"/>
        <v>-375.9</v>
      </c>
      <c r="E190" s="17">
        <f t="shared" si="21"/>
        <v>51</v>
      </c>
      <c r="F190" s="17">
        <f t="shared" si="22"/>
        <v>-377.9</v>
      </c>
      <c r="G190" s="17">
        <f t="shared" si="23"/>
        <v>51</v>
      </c>
      <c r="J190" s="17">
        <f t="array" ref="J190">IF(ROW(J190)&lt;=COUNTA(D:D)*2,IF(MOD(ROW(J190),2)=1,INDEX(D:D,(ROW(J190)+1)/2),INDEX(F:F,ROW(J190)/2)),"")</f>
        <v>-187.9</v>
      </c>
      <c r="K190" s="17">
        <f t="array" ref="K190">IF(ROW(K190)&lt;=COUNTA(E:E)*2,IF(MOD(ROW(K190),2)=1,INDEX(E:E,(ROW(K190)+1)/2),INDEX(G:G,ROW(K190)/2)),"")</f>
        <v>49.51976</v>
      </c>
    </row>
    <row r="191" spans="1:11" x14ac:dyDescent="0.25">
      <c r="A191" s="17"/>
      <c r="B191" s="17"/>
      <c r="D191" s="17">
        <f t="shared" si="20"/>
        <v>-377.9</v>
      </c>
      <c r="E191" s="17">
        <f t="shared" si="21"/>
        <v>51</v>
      </c>
      <c r="F191" s="17">
        <f t="shared" si="22"/>
        <v>-379.9</v>
      </c>
      <c r="G191" s="17">
        <f t="shared" si="23"/>
        <v>51</v>
      </c>
      <c r="J191" s="17">
        <f t="array" ref="J191">IF(ROW(J191)&lt;=COUNTA(D:D)*2,IF(MOD(ROW(J191),2)=1,INDEX(D:D,(ROW(J191)+1)/2),INDEX(F:F,ROW(J191)/2)),"")</f>
        <v>-187.9</v>
      </c>
      <c r="K191" s="17">
        <f t="array" ref="K191">IF(ROW(K191)&lt;=COUNTA(E:E)*2,IF(MOD(ROW(K191),2)=1,INDEX(E:E,(ROW(K191)+1)/2),INDEX(G:G,ROW(K191)/2)),"")</f>
        <v>49.53408</v>
      </c>
    </row>
    <row r="192" spans="1:11" x14ac:dyDescent="0.25">
      <c r="A192" s="17"/>
      <c r="B192" s="17"/>
      <c r="D192" s="17">
        <f t="shared" si="20"/>
        <v>-379.9</v>
      </c>
      <c r="E192" s="17">
        <f t="shared" si="21"/>
        <v>51</v>
      </c>
      <c r="F192" s="17">
        <f t="shared" si="22"/>
        <v>-381.9</v>
      </c>
      <c r="G192" s="17">
        <f t="shared" si="23"/>
        <v>51</v>
      </c>
      <c r="J192" s="17">
        <f t="array" ref="J192">IF(ROW(J192)&lt;=COUNTA(D:D)*2,IF(MOD(ROW(J192),2)=1,INDEX(D:D,(ROW(J192)+1)/2),INDEX(F:F,ROW(J192)/2)),"")</f>
        <v>-189.9</v>
      </c>
      <c r="K192" s="17">
        <f t="array" ref="K192">IF(ROW(K192)&lt;=COUNTA(E:E)*2,IF(MOD(ROW(K192),2)=1,INDEX(E:E,(ROW(K192)+1)/2),INDEX(G:G,ROW(K192)/2)),"")</f>
        <v>49.53408</v>
      </c>
    </row>
    <row r="193" spans="1:11" x14ac:dyDescent="0.25">
      <c r="A193" s="17"/>
      <c r="B193" s="17"/>
      <c r="D193" s="17">
        <f t="shared" si="20"/>
        <v>-381.9</v>
      </c>
      <c r="E193" s="17">
        <f t="shared" si="21"/>
        <v>51</v>
      </c>
      <c r="F193" s="17">
        <f t="shared" si="22"/>
        <v>-383.9</v>
      </c>
      <c r="G193" s="17">
        <f t="shared" si="23"/>
        <v>51</v>
      </c>
      <c r="J193" s="17">
        <f t="array" ref="J193">IF(ROW(J193)&lt;=COUNTA(D:D)*2,IF(MOD(ROW(J193),2)=1,INDEX(D:D,(ROW(J193)+1)/2),INDEX(F:F,ROW(J193)/2)),"")</f>
        <v>-189.9</v>
      </c>
      <c r="K193" s="17">
        <f t="array" ref="K193">IF(ROW(K193)&lt;=COUNTA(E:E)*2,IF(MOD(ROW(K193),2)=1,INDEX(E:E,(ROW(K193)+1)/2),INDEX(G:G,ROW(K193)/2)),"")</f>
        <v>50.16944</v>
      </c>
    </row>
    <row r="194" spans="1:11" x14ac:dyDescent="0.25">
      <c r="A194" s="17"/>
      <c r="B194" s="17"/>
      <c r="D194" s="17">
        <f t="shared" ref="D194:D225" si="24">0-A193</f>
        <v>-383.9</v>
      </c>
      <c r="E194" s="17">
        <f t="shared" ref="E194:E225" si="25">49+(B194)*4</f>
        <v>51</v>
      </c>
      <c r="F194" s="17">
        <f t="shared" ref="F194:F225" si="26">0-A194</f>
        <v>-385.9</v>
      </c>
      <c r="G194" s="17">
        <f t="shared" ref="G194:G225" si="27">49+(B194)*4</f>
        <v>51</v>
      </c>
      <c r="J194" s="17">
        <f t="array" ref="J194">IF(ROW(J194)&lt;=COUNTA(D:D)*2,IF(MOD(ROW(J194),2)=1,INDEX(D:D,(ROW(J194)+1)/2),INDEX(F:F,ROW(J194)/2)),"")</f>
        <v>-191.9</v>
      </c>
      <c r="K194" s="17">
        <f t="array" ref="K194">IF(ROW(K194)&lt;=COUNTA(E:E)*2,IF(MOD(ROW(K194),2)=1,INDEX(E:E,(ROW(K194)+1)/2),INDEX(G:G,ROW(K194)/2)),"")</f>
        <v>50.16944</v>
      </c>
    </row>
    <row r="195" spans="1:11" x14ac:dyDescent="0.25">
      <c r="A195" s="17"/>
      <c r="B195" s="17"/>
      <c r="D195" s="17">
        <f t="shared" si="24"/>
        <v>-385.9</v>
      </c>
      <c r="E195" s="17">
        <f t="shared" si="25"/>
        <v>50.32</v>
      </c>
      <c r="F195" s="17">
        <f t="shared" si="26"/>
        <v>-387.9</v>
      </c>
      <c r="G195" s="17">
        <f t="shared" si="27"/>
        <v>50.32</v>
      </c>
      <c r="J195" s="17">
        <f t="array" ref="J195">IF(ROW(J195)&lt;=COUNTA(D:D)*2,IF(MOD(ROW(J195),2)=1,INDEX(D:D,(ROW(J195)+1)/2),INDEX(F:F,ROW(J195)/2)),"")</f>
        <v>-191.9</v>
      </c>
      <c r="K195" s="17">
        <f t="array" ref="K195">IF(ROW(K195)&lt;=COUNTA(E:E)*2,IF(MOD(ROW(K195),2)=1,INDEX(E:E,(ROW(K195)+1)/2),INDEX(G:G,ROW(K195)/2)),"")</f>
        <v>49.89264</v>
      </c>
    </row>
    <row r="196" spans="1:11" x14ac:dyDescent="0.25">
      <c r="A196" s="17"/>
      <c r="B196" s="17"/>
      <c r="D196" s="17">
        <f t="shared" si="24"/>
        <v>-387.9</v>
      </c>
      <c r="E196" s="17">
        <f t="shared" si="25"/>
        <v>51.04</v>
      </c>
      <c r="F196" s="17">
        <f t="shared" si="26"/>
        <v>-389.9</v>
      </c>
      <c r="G196" s="17">
        <f t="shared" si="27"/>
        <v>51.04</v>
      </c>
      <c r="J196" s="17">
        <f t="array" ref="J196">IF(ROW(J196)&lt;=COUNTA(D:D)*2,IF(MOD(ROW(J196),2)=1,INDEX(D:D,(ROW(J196)+1)/2),INDEX(F:F,ROW(J196)/2)),"")</f>
        <v>-193.9</v>
      </c>
      <c r="K196" s="17">
        <f t="array" ref="K196">IF(ROW(K196)&lt;=COUNTA(E:E)*2,IF(MOD(ROW(K196),2)=1,INDEX(E:E,(ROW(K196)+1)/2),INDEX(G:G,ROW(K196)/2)),"")</f>
        <v>49.89264</v>
      </c>
    </row>
    <row r="197" spans="1:11" x14ac:dyDescent="0.25">
      <c r="A197" s="17"/>
      <c r="B197" s="17"/>
      <c r="D197" s="17">
        <f t="shared" si="24"/>
        <v>-389.9</v>
      </c>
      <c r="E197" s="17">
        <f t="shared" si="25"/>
        <v>51.04</v>
      </c>
      <c r="F197" s="17">
        <f t="shared" si="26"/>
        <v>-391.9</v>
      </c>
      <c r="G197" s="17">
        <f t="shared" si="27"/>
        <v>51.04</v>
      </c>
      <c r="J197" s="17">
        <f t="array" ref="J197">IF(ROW(J197)&lt;=COUNTA(D:D)*2,IF(MOD(ROW(J197),2)=1,INDEX(D:D,(ROW(J197)+1)/2),INDEX(F:F,ROW(J197)/2)),"")</f>
        <v>-193.9</v>
      </c>
      <c r="K197" s="17">
        <f t="array" ref="K197">IF(ROW(K197)&lt;=COUNTA(E:E)*2,IF(MOD(ROW(K197),2)=1,INDEX(E:E,(ROW(K197)+1)/2),INDEX(G:G,ROW(K197)/2)),"")</f>
        <v>49.57544</v>
      </c>
    </row>
    <row r="198" spans="1:11" x14ac:dyDescent="0.25">
      <c r="A198" s="17"/>
      <c r="B198" s="17"/>
      <c r="D198" s="17">
        <f t="shared" si="24"/>
        <v>-391.9</v>
      </c>
      <c r="E198" s="17">
        <f t="shared" si="25"/>
        <v>51.08</v>
      </c>
      <c r="F198" s="17">
        <f t="shared" si="26"/>
        <v>-393.9</v>
      </c>
      <c r="G198" s="17">
        <f t="shared" si="27"/>
        <v>51.08</v>
      </c>
      <c r="J198" s="17">
        <f t="array" ref="J198">IF(ROW(J198)&lt;=COUNTA(D:D)*2,IF(MOD(ROW(J198),2)=1,INDEX(D:D,(ROW(J198)+1)/2),INDEX(F:F,ROW(J198)/2)),"")</f>
        <v>-195.9</v>
      </c>
      <c r="K198" s="17">
        <f t="array" ref="K198">IF(ROW(K198)&lt;=COUNTA(E:E)*2,IF(MOD(ROW(K198),2)=1,INDEX(E:E,(ROW(K198)+1)/2),INDEX(G:G,ROW(K198)/2)),"")</f>
        <v>49.57544</v>
      </c>
    </row>
    <row r="199" spans="1:11" x14ac:dyDescent="0.25">
      <c r="A199" s="17"/>
      <c r="B199" s="17"/>
      <c r="D199" s="17">
        <f t="shared" si="24"/>
        <v>-393.9</v>
      </c>
      <c r="E199" s="17">
        <f t="shared" si="25"/>
        <v>51.08</v>
      </c>
      <c r="F199" s="17">
        <f t="shared" si="26"/>
        <v>-395.9</v>
      </c>
      <c r="G199" s="17">
        <f t="shared" si="27"/>
        <v>51.08</v>
      </c>
      <c r="J199" s="17">
        <f t="array" ref="J199">IF(ROW(J199)&lt;=COUNTA(D:D)*2,IF(MOD(ROW(J199),2)=1,INDEX(D:D,(ROW(J199)+1)/2),INDEX(F:F,ROW(J199)/2)),"")</f>
        <v>-195.9</v>
      </c>
      <c r="K199" s="17">
        <f t="array" ref="K199">IF(ROW(K199)&lt;=COUNTA(E:E)*2,IF(MOD(ROW(K199),2)=1,INDEX(E:E,(ROW(K199)+1)/2),INDEX(G:G,ROW(K199)/2)),"")</f>
        <v>49.79144</v>
      </c>
    </row>
    <row r="200" spans="1:11" x14ac:dyDescent="0.25">
      <c r="A200" s="17"/>
      <c r="B200" s="17"/>
      <c r="D200" s="17">
        <f t="shared" si="24"/>
        <v>-395.9</v>
      </c>
      <c r="E200" s="17">
        <f t="shared" si="25"/>
        <v>51.08</v>
      </c>
      <c r="F200" s="17">
        <f t="shared" si="26"/>
        <v>-397.9</v>
      </c>
      <c r="G200" s="17">
        <f t="shared" si="27"/>
        <v>51.08</v>
      </c>
      <c r="J200" s="17">
        <f t="array" ref="J200">IF(ROW(J200)&lt;=COUNTA(D:D)*2,IF(MOD(ROW(J200),2)=1,INDEX(D:D,(ROW(J200)+1)/2),INDEX(F:F,ROW(J200)/2)),"")</f>
        <v>-197.9</v>
      </c>
      <c r="K200" s="17">
        <f t="array" ref="K200">IF(ROW(K200)&lt;=COUNTA(E:E)*2,IF(MOD(ROW(K200),2)=1,INDEX(E:E,(ROW(K200)+1)/2),INDEX(G:G,ROW(K200)/2)),"")</f>
        <v>49.79144</v>
      </c>
    </row>
    <row r="201" spans="1:11" x14ac:dyDescent="0.25">
      <c r="A201" s="17"/>
      <c r="B201" s="17"/>
      <c r="D201" s="17">
        <f t="shared" si="24"/>
        <v>-397.9</v>
      </c>
      <c r="E201" s="17">
        <f t="shared" si="25"/>
        <v>51.08</v>
      </c>
      <c r="F201" s="17">
        <f t="shared" si="26"/>
        <v>-399.9</v>
      </c>
      <c r="G201" s="17">
        <f t="shared" si="27"/>
        <v>51.08</v>
      </c>
      <c r="J201" s="17">
        <f t="array" ref="J201">IF(ROW(J201)&lt;=COUNTA(D:D)*2,IF(MOD(ROW(J201),2)=1,INDEX(D:D,(ROW(J201)+1)/2),INDEX(F:F,ROW(J201)/2)),"")</f>
        <v>-197.9</v>
      </c>
      <c r="K201" s="17">
        <f t="array" ref="K201">IF(ROW(K201)&lt;=COUNTA(E:E)*2,IF(MOD(ROW(K201),2)=1,INDEX(E:E,(ROW(K201)+1)/2),INDEX(G:G,ROW(K201)/2)),"")</f>
        <v>49.79452</v>
      </c>
    </row>
    <row r="202" spans="1:11" x14ac:dyDescent="0.25">
      <c r="A202" s="17"/>
      <c r="B202" s="17"/>
      <c r="D202" s="17">
        <f t="shared" si="24"/>
        <v>-399.9</v>
      </c>
      <c r="E202" s="17">
        <f t="shared" si="25"/>
        <v>52.48</v>
      </c>
      <c r="F202" s="17">
        <f t="shared" si="26"/>
        <v>-401.9</v>
      </c>
      <c r="G202" s="17">
        <f t="shared" si="27"/>
        <v>52.48</v>
      </c>
      <c r="J202" s="17">
        <f t="array" ref="J202">IF(ROW(J202)&lt;=COUNTA(D:D)*2,IF(MOD(ROW(J202),2)=1,INDEX(D:D,(ROW(J202)+1)/2),INDEX(F:F,ROW(J202)/2)),"")</f>
        <v>-199.9</v>
      </c>
      <c r="K202" s="17">
        <f t="array" ref="K202">IF(ROW(K202)&lt;=COUNTA(E:E)*2,IF(MOD(ROW(K202),2)=1,INDEX(E:E,(ROW(K202)+1)/2),INDEX(G:G,ROW(K202)/2)),"")</f>
        <v>49.79452</v>
      </c>
    </row>
    <row r="203" spans="1:11" x14ac:dyDescent="0.25">
      <c r="A203" s="17"/>
      <c r="B203" s="17"/>
      <c r="D203" s="17">
        <f t="shared" si="24"/>
        <v>-401.9</v>
      </c>
      <c r="E203" s="17">
        <f t="shared" si="25"/>
        <v>51.08</v>
      </c>
      <c r="F203" s="17">
        <f t="shared" si="26"/>
        <v>-403.9</v>
      </c>
      <c r="G203" s="17">
        <f t="shared" si="27"/>
        <v>51.08</v>
      </c>
      <c r="J203" s="17">
        <f t="array" ref="J203">IF(ROW(J203)&lt;=COUNTA(D:D)*2,IF(MOD(ROW(J203),2)=1,INDEX(D:D,(ROW(J203)+1)/2),INDEX(F:F,ROW(J203)/2)),"")</f>
        <v>-199.9</v>
      </c>
      <c r="K203" s="17">
        <f t="array" ref="K203">IF(ROW(K203)&lt;=COUNTA(E:E)*2,IF(MOD(ROW(K203),2)=1,INDEX(E:E,(ROW(K203)+1)/2),INDEX(G:G,ROW(K203)/2)),"")</f>
        <v>49.80076</v>
      </c>
    </row>
    <row r="204" spans="1:11" x14ac:dyDescent="0.25">
      <c r="A204" s="17"/>
      <c r="B204" s="17"/>
      <c r="D204" s="17">
        <f t="shared" si="24"/>
        <v>-403.9</v>
      </c>
      <c r="E204" s="17">
        <f t="shared" si="25"/>
        <v>51.12</v>
      </c>
      <c r="F204" s="17">
        <f t="shared" si="26"/>
        <v>-405.9</v>
      </c>
      <c r="G204" s="17">
        <f t="shared" si="27"/>
        <v>51.12</v>
      </c>
      <c r="J204" s="17">
        <f t="array" ref="J204">IF(ROW(J204)&lt;=COUNTA(D:D)*2,IF(MOD(ROW(J204),2)=1,INDEX(D:D,(ROW(J204)+1)/2),INDEX(F:F,ROW(J204)/2)),"")</f>
        <v>-201.9</v>
      </c>
      <c r="K204" s="17">
        <f t="array" ref="K204">IF(ROW(K204)&lt;=COUNTA(E:E)*2,IF(MOD(ROW(K204),2)=1,INDEX(E:E,(ROW(K204)+1)/2),INDEX(G:G,ROW(K204)/2)),"")</f>
        <v>49.80076</v>
      </c>
    </row>
    <row r="205" spans="1:11" x14ac:dyDescent="0.25">
      <c r="A205" s="17"/>
      <c r="B205" s="17"/>
      <c r="D205" s="17">
        <f t="shared" si="24"/>
        <v>-405.9</v>
      </c>
      <c r="E205" s="17">
        <f t="shared" si="25"/>
        <v>50.68</v>
      </c>
      <c r="F205" s="17">
        <f t="shared" si="26"/>
        <v>-407.9</v>
      </c>
      <c r="G205" s="17">
        <f t="shared" si="27"/>
        <v>50.68</v>
      </c>
      <c r="J205" s="17">
        <f t="array" ref="J205">IF(ROW(J205)&lt;=COUNTA(D:D)*2,IF(MOD(ROW(J205),2)=1,INDEX(D:D,(ROW(J205)+1)/2),INDEX(F:F,ROW(J205)/2)),"")</f>
        <v>-201.9</v>
      </c>
      <c r="K205" s="17">
        <f t="array" ref="K205">IF(ROW(K205)&lt;=COUNTA(E:E)*2,IF(MOD(ROW(K205),2)=1,INDEX(E:E,(ROW(K205)+1)/2),INDEX(G:G,ROW(K205)/2)),"")</f>
        <v>50.14608</v>
      </c>
    </row>
    <row r="206" spans="1:11" x14ac:dyDescent="0.25">
      <c r="A206" s="17"/>
      <c r="B206" s="17"/>
      <c r="D206" s="17">
        <f t="shared" si="24"/>
        <v>-407.9</v>
      </c>
      <c r="E206" s="17">
        <f t="shared" si="25"/>
        <v>50.68</v>
      </c>
      <c r="F206" s="17">
        <f t="shared" si="26"/>
        <v>-409.9</v>
      </c>
      <c r="G206" s="17">
        <f t="shared" si="27"/>
        <v>50.68</v>
      </c>
      <c r="J206" s="17">
        <f t="array" ref="J206">IF(ROW(J206)&lt;=COUNTA(D:D)*2,IF(MOD(ROW(J206),2)=1,INDEX(D:D,(ROW(J206)+1)/2),INDEX(F:F,ROW(J206)/2)),"")</f>
        <v>-203.9</v>
      </c>
      <c r="K206" s="17">
        <f t="array" ref="K206">IF(ROW(K206)&lt;=COUNTA(E:E)*2,IF(MOD(ROW(K206),2)=1,INDEX(E:E,(ROW(K206)+1)/2),INDEX(G:G,ROW(K206)/2)),"")</f>
        <v>50.14608</v>
      </c>
    </row>
    <row r="207" spans="1:11" x14ac:dyDescent="0.25">
      <c r="A207" s="17"/>
      <c r="B207" s="17"/>
      <c r="D207" s="17">
        <f t="shared" si="24"/>
        <v>-409.9</v>
      </c>
      <c r="E207" s="17">
        <f t="shared" si="25"/>
        <v>49.92</v>
      </c>
      <c r="F207" s="17">
        <f t="shared" si="26"/>
        <v>-411.9</v>
      </c>
      <c r="G207" s="17">
        <f t="shared" si="27"/>
        <v>49.92</v>
      </c>
      <c r="J207" s="17">
        <f t="array" ref="J207">IF(ROW(J207)&lt;=COUNTA(D:D)*2,IF(MOD(ROW(J207),2)=1,INDEX(D:D,(ROW(J207)+1)/2),INDEX(F:F,ROW(J207)/2)),"")</f>
        <v>-203.9</v>
      </c>
      <c r="K207" s="17">
        <f t="array" ref="K207">IF(ROW(K207)&lt;=COUNTA(E:E)*2,IF(MOD(ROW(K207),2)=1,INDEX(E:E,(ROW(K207)+1)/2),INDEX(G:G,ROW(K207)/2)),"")</f>
        <v>50.15296</v>
      </c>
    </row>
    <row r="208" spans="1:11" x14ac:dyDescent="0.25">
      <c r="A208" s="17"/>
      <c r="B208" s="17"/>
      <c r="D208" s="17">
        <f t="shared" si="24"/>
        <v>-411.9</v>
      </c>
      <c r="E208" s="17">
        <f t="shared" si="25"/>
        <v>50.04</v>
      </c>
      <c r="F208" s="17">
        <f t="shared" si="26"/>
        <v>-413.9</v>
      </c>
      <c r="G208" s="17">
        <f t="shared" si="27"/>
        <v>50.04</v>
      </c>
      <c r="J208" s="17">
        <f t="array" ref="J208">IF(ROW(J208)&lt;=COUNTA(D:D)*2,IF(MOD(ROW(J208),2)=1,INDEX(D:D,(ROW(J208)+1)/2),INDEX(F:F,ROW(J208)/2)),"")</f>
        <v>-205.9</v>
      </c>
      <c r="K208" s="17">
        <f t="array" ref="K208">IF(ROW(K208)&lt;=COUNTA(E:E)*2,IF(MOD(ROW(K208),2)=1,INDEX(E:E,(ROW(K208)+1)/2),INDEX(G:G,ROW(K208)/2)),"")</f>
        <v>50.15296</v>
      </c>
    </row>
    <row r="209" spans="1:11" x14ac:dyDescent="0.25">
      <c r="A209" s="17"/>
      <c r="B209" s="17"/>
      <c r="D209" s="17">
        <f t="shared" si="24"/>
        <v>-413.9</v>
      </c>
      <c r="E209" s="17">
        <f t="shared" si="25"/>
        <v>49.84</v>
      </c>
      <c r="F209" s="17">
        <f t="shared" si="26"/>
        <v>-415.9</v>
      </c>
      <c r="G209" s="17">
        <f t="shared" si="27"/>
        <v>49.84</v>
      </c>
      <c r="J209" s="17">
        <f t="array" ref="J209">IF(ROW(J209)&lt;=COUNTA(D:D)*2,IF(MOD(ROW(J209),2)=1,INDEX(D:D,(ROW(J209)+1)/2),INDEX(F:F,ROW(J209)/2)),"")</f>
        <v>-205.9</v>
      </c>
      <c r="K209" s="17">
        <f t="array" ref="K209">IF(ROW(K209)&lt;=COUNTA(E:E)*2,IF(MOD(ROW(K209),2)=1,INDEX(E:E,(ROW(K209)+1)/2),INDEX(G:G,ROW(K209)/2)),"")</f>
        <v>50.67576</v>
      </c>
    </row>
    <row r="210" spans="1:11" x14ac:dyDescent="0.25">
      <c r="A210" s="17"/>
      <c r="B210" s="17"/>
      <c r="D210" s="17">
        <f t="shared" si="24"/>
        <v>-415.9</v>
      </c>
      <c r="E210" s="17">
        <f t="shared" si="25"/>
        <v>49.84</v>
      </c>
      <c r="F210" s="17">
        <f t="shared" si="26"/>
        <v>-417.9</v>
      </c>
      <c r="G210" s="17">
        <f t="shared" si="27"/>
        <v>49.84</v>
      </c>
      <c r="J210" s="17">
        <f t="array" ref="J210">IF(ROW(J210)&lt;=COUNTA(D:D)*2,IF(MOD(ROW(J210),2)=1,INDEX(D:D,(ROW(J210)+1)/2),INDEX(F:F,ROW(J210)/2)),"")</f>
        <v>-207.9</v>
      </c>
      <c r="K210" s="17">
        <f t="array" ref="K210">IF(ROW(K210)&lt;=COUNTA(E:E)*2,IF(MOD(ROW(K210),2)=1,INDEX(E:E,(ROW(K210)+1)/2),INDEX(G:G,ROW(K210)/2)),"")</f>
        <v>50.67576</v>
      </c>
    </row>
    <row r="211" spans="1:11" x14ac:dyDescent="0.25">
      <c r="A211" s="17"/>
      <c r="B211" s="17"/>
      <c r="D211" s="17">
        <f t="shared" si="24"/>
        <v>-417.9</v>
      </c>
      <c r="E211" s="17">
        <f t="shared" si="25"/>
        <v>49.88</v>
      </c>
      <c r="F211" s="17">
        <f t="shared" si="26"/>
        <v>-419.9</v>
      </c>
      <c r="G211" s="17">
        <f t="shared" si="27"/>
        <v>49.88</v>
      </c>
      <c r="J211" s="17">
        <f t="array" ref="J211">IF(ROW(J211)&lt;=COUNTA(D:D)*2,IF(MOD(ROW(J211),2)=1,INDEX(D:D,(ROW(J211)+1)/2),INDEX(F:F,ROW(J211)/2)),"")</f>
        <v>-207.9</v>
      </c>
      <c r="K211" s="17">
        <f t="array" ref="K211">IF(ROW(K211)&lt;=COUNTA(E:E)*2,IF(MOD(ROW(K211),2)=1,INDEX(E:E,(ROW(K211)+1)/2),INDEX(G:G,ROW(K211)/2)),"")</f>
        <v>51.7346</v>
      </c>
    </row>
    <row r="212" spans="1:11" x14ac:dyDescent="0.25">
      <c r="A212" s="17"/>
      <c r="B212" s="17"/>
      <c r="D212" s="17">
        <f t="shared" si="24"/>
        <v>-419.9</v>
      </c>
      <c r="E212" s="17">
        <f t="shared" si="25"/>
        <v>49.88</v>
      </c>
      <c r="F212" s="17">
        <f t="shared" si="26"/>
        <v>-421.9</v>
      </c>
      <c r="G212" s="17">
        <f t="shared" si="27"/>
        <v>49.88</v>
      </c>
      <c r="J212" s="17">
        <f t="array" ref="J212">IF(ROW(J212)&lt;=COUNTA(D:D)*2,IF(MOD(ROW(J212),2)=1,INDEX(D:D,(ROW(J212)+1)/2),INDEX(F:F,ROW(J212)/2)),"")</f>
        <v>-209.9</v>
      </c>
      <c r="K212" s="17">
        <f t="array" ref="K212">IF(ROW(K212)&lt;=COUNTA(E:E)*2,IF(MOD(ROW(K212),2)=1,INDEX(E:E,(ROW(K212)+1)/2),INDEX(G:G,ROW(K212)/2)),"")</f>
        <v>51.7346</v>
      </c>
    </row>
    <row r="213" spans="1:11" x14ac:dyDescent="0.25">
      <c r="A213" s="17"/>
      <c r="B213" s="17"/>
      <c r="D213" s="17">
        <f t="shared" si="24"/>
        <v>-421.9</v>
      </c>
      <c r="E213" s="17">
        <f t="shared" si="25"/>
        <v>50.12</v>
      </c>
      <c r="F213" s="17">
        <f t="shared" si="26"/>
        <v>-423.9</v>
      </c>
      <c r="G213" s="17">
        <f t="shared" si="27"/>
        <v>50.12</v>
      </c>
      <c r="J213" s="17">
        <f t="array" ref="J213">IF(ROW(J213)&lt;=COUNTA(D:D)*2,IF(MOD(ROW(J213),2)=1,INDEX(D:D,(ROW(J213)+1)/2),INDEX(F:F,ROW(J213)/2)),"")</f>
        <v>-209.9</v>
      </c>
      <c r="K213" s="17">
        <f t="array" ref="K213">IF(ROW(K213)&lt;=COUNTA(E:E)*2,IF(MOD(ROW(K213),2)=1,INDEX(E:E,(ROW(K213)+1)/2),INDEX(G:G,ROW(K213)/2)),"")</f>
        <v>51.78636</v>
      </c>
    </row>
    <row r="214" spans="1:11" x14ac:dyDescent="0.25">
      <c r="A214" s="17"/>
      <c r="B214" s="17"/>
      <c r="D214" s="17">
        <f t="shared" si="24"/>
        <v>-423.9</v>
      </c>
      <c r="E214" s="17">
        <f t="shared" si="25"/>
        <v>50.16</v>
      </c>
      <c r="F214" s="17">
        <f t="shared" si="26"/>
        <v>-425.9</v>
      </c>
      <c r="G214" s="17">
        <f t="shared" si="27"/>
        <v>50.16</v>
      </c>
      <c r="J214" s="17">
        <f t="array" ref="J214">IF(ROW(J214)&lt;=COUNTA(D:D)*2,IF(MOD(ROW(J214),2)=1,INDEX(D:D,(ROW(J214)+1)/2),INDEX(F:F,ROW(J214)/2)),"")</f>
        <v>-211.9</v>
      </c>
      <c r="K214" s="17">
        <f t="array" ref="K214">IF(ROW(K214)&lt;=COUNTA(E:E)*2,IF(MOD(ROW(K214),2)=1,INDEX(E:E,(ROW(K214)+1)/2),INDEX(G:G,ROW(K214)/2)),"")</f>
        <v>51.78636</v>
      </c>
    </row>
    <row r="215" spans="1:11" x14ac:dyDescent="0.25">
      <c r="A215" s="17"/>
      <c r="B215" s="17"/>
      <c r="D215" s="17">
        <f t="shared" si="24"/>
        <v>-425.9</v>
      </c>
      <c r="E215" s="17">
        <f t="shared" si="25"/>
        <v>50.04</v>
      </c>
      <c r="F215" s="17">
        <f t="shared" si="26"/>
        <v>-427.9</v>
      </c>
      <c r="G215" s="17">
        <f t="shared" si="27"/>
        <v>50.04</v>
      </c>
      <c r="J215" s="17">
        <f t="array" ref="J215">IF(ROW(J215)&lt;=COUNTA(D:D)*2,IF(MOD(ROW(J215),2)=1,INDEX(D:D,(ROW(J215)+1)/2),INDEX(F:F,ROW(J215)/2)),"")</f>
        <v>-211.9</v>
      </c>
      <c r="K215" s="17">
        <f t="array" ref="K215">IF(ROW(K215)&lt;=COUNTA(E:E)*2,IF(MOD(ROW(K215),2)=1,INDEX(E:E,(ROW(K215)+1)/2),INDEX(G:G,ROW(K215)/2)),"")</f>
        <v>51.79884</v>
      </c>
    </row>
    <row r="216" spans="1:11" x14ac:dyDescent="0.25">
      <c r="A216" s="17"/>
      <c r="B216" s="17"/>
      <c r="D216" s="17">
        <f t="shared" si="24"/>
        <v>-427.9</v>
      </c>
      <c r="E216" s="17">
        <f t="shared" si="25"/>
        <v>50.04</v>
      </c>
      <c r="F216" s="17">
        <f t="shared" si="26"/>
        <v>-429.9</v>
      </c>
      <c r="G216" s="17">
        <f t="shared" si="27"/>
        <v>50.04</v>
      </c>
      <c r="J216" s="17">
        <f t="array" ref="J216">IF(ROW(J216)&lt;=COUNTA(D:D)*2,IF(MOD(ROW(J216),2)=1,INDEX(D:D,(ROW(J216)+1)/2),INDEX(F:F,ROW(J216)/2)),"")</f>
        <v>-213.9</v>
      </c>
      <c r="K216" s="17">
        <f t="array" ref="K216">IF(ROW(K216)&lt;=COUNTA(E:E)*2,IF(MOD(ROW(K216),2)=1,INDEX(E:E,(ROW(K216)+1)/2),INDEX(G:G,ROW(K216)/2)),"")</f>
        <v>51.79884</v>
      </c>
    </row>
    <row r="217" spans="1:11" x14ac:dyDescent="0.25">
      <c r="A217" s="17"/>
      <c r="B217" s="17"/>
      <c r="D217" s="17">
        <f t="shared" si="24"/>
        <v>-429.9</v>
      </c>
      <c r="E217" s="17">
        <f t="shared" si="25"/>
        <v>49.88</v>
      </c>
      <c r="F217" s="17">
        <f t="shared" si="26"/>
        <v>-431.9</v>
      </c>
      <c r="G217" s="17">
        <f t="shared" si="27"/>
        <v>49.88</v>
      </c>
      <c r="J217" s="17">
        <f t="array" ref="J217">IF(ROW(J217)&lt;=COUNTA(D:D)*2,IF(MOD(ROW(J217),2)=1,INDEX(D:D,(ROW(J217)+1)/2),INDEX(F:F,ROW(J217)/2)),"")</f>
        <v>-213.9</v>
      </c>
      <c r="K217" s="17">
        <f t="array" ref="K217">IF(ROW(K217)&lt;=COUNTA(E:E)*2,IF(MOD(ROW(K217),2)=1,INDEX(E:E,(ROW(K217)+1)/2),INDEX(G:G,ROW(K217)/2)),"")</f>
        <v>50.60316</v>
      </c>
    </row>
    <row r="218" spans="1:11" x14ac:dyDescent="0.25">
      <c r="A218" s="17"/>
      <c r="B218" s="17"/>
      <c r="D218" s="17">
        <f t="shared" si="24"/>
        <v>-431.9</v>
      </c>
      <c r="E218" s="17">
        <f t="shared" si="25"/>
        <v>49.8</v>
      </c>
      <c r="F218" s="17">
        <f t="shared" si="26"/>
        <v>-433.9</v>
      </c>
      <c r="G218" s="17">
        <f t="shared" si="27"/>
        <v>49.8</v>
      </c>
      <c r="J218" s="17">
        <f t="array" ref="J218">IF(ROW(J218)&lt;=COUNTA(D:D)*2,IF(MOD(ROW(J218),2)=1,INDEX(D:D,(ROW(J218)+1)/2),INDEX(F:F,ROW(J218)/2)),"")</f>
        <v>-215.9</v>
      </c>
      <c r="K218" s="17">
        <f t="array" ref="K218">IF(ROW(K218)&lt;=COUNTA(E:E)*2,IF(MOD(ROW(K218),2)=1,INDEX(E:E,(ROW(K218)+1)/2),INDEX(G:G,ROW(K218)/2)),"")</f>
        <v>50.60316</v>
      </c>
    </row>
    <row r="219" spans="1:11" x14ac:dyDescent="0.25">
      <c r="A219" s="17"/>
      <c r="B219" s="17"/>
      <c r="D219" s="17">
        <f t="shared" si="24"/>
        <v>-433.9</v>
      </c>
      <c r="E219" s="17">
        <f t="shared" si="25"/>
        <v>50.24</v>
      </c>
      <c r="F219" s="17">
        <f t="shared" si="26"/>
        <v>-435.9</v>
      </c>
      <c r="G219" s="17">
        <f t="shared" si="27"/>
        <v>50.24</v>
      </c>
      <c r="J219" s="17">
        <f t="array" ref="J219">IF(ROW(J219)&lt;=COUNTA(D:D)*2,IF(MOD(ROW(J219),2)=1,INDEX(D:D,(ROW(J219)+1)/2),INDEX(F:F,ROW(J219)/2)),"")</f>
        <v>-215.9</v>
      </c>
      <c r="K219" s="17">
        <f t="array" ref="K219">IF(ROW(K219)&lt;=COUNTA(E:E)*2,IF(MOD(ROW(K219),2)=1,INDEX(E:E,(ROW(K219)+1)/2),INDEX(G:G,ROW(K219)/2)),"")</f>
        <v>50.61044</v>
      </c>
    </row>
    <row r="220" spans="1:11" x14ac:dyDescent="0.25">
      <c r="A220" s="17"/>
      <c r="B220" s="17"/>
      <c r="D220" s="17">
        <f t="shared" si="24"/>
        <v>-435.9</v>
      </c>
      <c r="E220" s="17">
        <f t="shared" si="25"/>
        <v>50.24</v>
      </c>
      <c r="F220" s="17">
        <f t="shared" si="26"/>
        <v>-437.9</v>
      </c>
      <c r="G220" s="17">
        <f t="shared" si="27"/>
        <v>50.24</v>
      </c>
      <c r="J220" s="17">
        <f t="array" ref="J220">IF(ROW(J220)&lt;=COUNTA(D:D)*2,IF(MOD(ROW(J220),2)=1,INDEX(D:D,(ROW(J220)+1)/2),INDEX(F:F,ROW(J220)/2)),"")</f>
        <v>-217.9</v>
      </c>
      <c r="K220" s="17">
        <f t="array" ref="K220">IF(ROW(K220)&lt;=COUNTA(E:E)*2,IF(MOD(ROW(K220),2)=1,INDEX(E:E,(ROW(K220)+1)/2),INDEX(G:G,ROW(K220)/2)),"")</f>
        <v>50.61044</v>
      </c>
    </row>
    <row r="221" spans="1:11" x14ac:dyDescent="0.25">
      <c r="A221" s="17"/>
      <c r="B221" s="17"/>
      <c r="D221" s="17">
        <f t="shared" si="24"/>
        <v>-437.9</v>
      </c>
      <c r="E221" s="17">
        <f t="shared" si="25"/>
        <v>50.52</v>
      </c>
      <c r="F221" s="17">
        <f t="shared" si="26"/>
        <v>-439.9</v>
      </c>
      <c r="G221" s="17">
        <f t="shared" si="27"/>
        <v>50.52</v>
      </c>
      <c r="J221" s="17">
        <f t="array" ref="J221">IF(ROW(J221)&lt;=COUNTA(D:D)*2,IF(MOD(ROW(J221),2)=1,INDEX(D:D,(ROW(J221)+1)/2),INDEX(F:F,ROW(J221)/2)),"")</f>
        <v>-217.9</v>
      </c>
      <c r="K221" s="17">
        <f t="array" ref="K221">IF(ROW(K221)&lt;=COUNTA(E:E)*2,IF(MOD(ROW(K221),2)=1,INDEX(E:E,(ROW(K221)+1)/2),INDEX(G:G,ROW(K221)/2)),"")</f>
        <v>50.61612</v>
      </c>
    </row>
    <row r="222" spans="1:11" x14ac:dyDescent="0.25">
      <c r="A222" s="17"/>
      <c r="B222" s="17"/>
      <c r="D222" s="17">
        <f t="shared" si="24"/>
        <v>-439.9</v>
      </c>
      <c r="E222" s="17">
        <f t="shared" si="25"/>
        <v>50.52</v>
      </c>
      <c r="F222" s="17">
        <f t="shared" si="26"/>
        <v>-441.9</v>
      </c>
      <c r="G222" s="17">
        <f t="shared" si="27"/>
        <v>50.52</v>
      </c>
      <c r="J222" s="17">
        <f t="array" ref="J222">IF(ROW(J222)&lt;=COUNTA(D:D)*2,IF(MOD(ROW(J222),2)=1,INDEX(D:D,(ROW(J222)+1)/2),INDEX(F:F,ROW(J222)/2)),"")</f>
        <v>-219.9</v>
      </c>
      <c r="K222" s="17">
        <f t="array" ref="K222">IF(ROW(K222)&lt;=COUNTA(E:E)*2,IF(MOD(ROW(K222),2)=1,INDEX(E:E,(ROW(K222)+1)/2),INDEX(G:G,ROW(K222)/2)),"")</f>
        <v>50.61612</v>
      </c>
    </row>
    <row r="223" spans="1:11" x14ac:dyDescent="0.25">
      <c r="A223" s="17"/>
      <c r="B223" s="17"/>
      <c r="D223" s="17">
        <f t="shared" si="24"/>
        <v>-441.9</v>
      </c>
      <c r="E223" s="17">
        <f t="shared" si="25"/>
        <v>50.28</v>
      </c>
      <c r="F223" s="17">
        <f t="shared" si="26"/>
        <v>-443.9</v>
      </c>
      <c r="G223" s="17">
        <f t="shared" si="27"/>
        <v>50.28</v>
      </c>
      <c r="J223" s="17">
        <f t="array" ref="J223">IF(ROW(J223)&lt;=COUNTA(D:D)*2,IF(MOD(ROW(J223),2)=1,INDEX(D:D,(ROW(J223)+1)/2),INDEX(F:F,ROW(J223)/2)),"")</f>
        <v>-219.9</v>
      </c>
      <c r="K223" s="17">
        <f t="array" ref="K223">IF(ROW(K223)&lt;=COUNTA(E:E)*2,IF(MOD(ROW(K223),2)=1,INDEX(E:E,(ROW(K223)+1)/2),INDEX(G:G,ROW(K223)/2)),"")</f>
        <v>50.62328</v>
      </c>
    </row>
    <row r="224" spans="1:11" x14ac:dyDescent="0.25">
      <c r="A224" s="17"/>
      <c r="B224" s="17"/>
      <c r="D224" s="17">
        <f t="shared" si="24"/>
        <v>-443.9</v>
      </c>
      <c r="E224" s="17">
        <f t="shared" si="25"/>
        <v>50.28</v>
      </c>
      <c r="F224" s="17">
        <f t="shared" si="26"/>
        <v>-445.9</v>
      </c>
      <c r="G224" s="17">
        <f t="shared" si="27"/>
        <v>50.28</v>
      </c>
      <c r="J224" s="17">
        <f t="array" ref="J224">IF(ROW(J224)&lt;=COUNTA(D:D)*2,IF(MOD(ROW(J224),2)=1,INDEX(D:D,(ROW(J224)+1)/2),INDEX(F:F,ROW(J224)/2)),"")</f>
        <v>-221.9</v>
      </c>
      <c r="K224" s="17">
        <f t="array" ref="K224">IF(ROW(K224)&lt;=COUNTA(E:E)*2,IF(MOD(ROW(K224),2)=1,INDEX(E:E,(ROW(K224)+1)/2),INDEX(G:G,ROW(K224)/2)),"")</f>
        <v>50.62328</v>
      </c>
    </row>
    <row r="225" spans="1:11" x14ac:dyDescent="0.25">
      <c r="A225" s="17"/>
      <c r="B225" s="17"/>
      <c r="D225" s="17">
        <f t="shared" si="24"/>
        <v>-445.9</v>
      </c>
      <c r="E225" s="17">
        <f t="shared" si="25"/>
        <v>50.52</v>
      </c>
      <c r="F225" s="17">
        <f t="shared" si="26"/>
        <v>-447.9</v>
      </c>
      <c r="G225" s="17">
        <f t="shared" si="27"/>
        <v>50.52</v>
      </c>
      <c r="J225" s="17">
        <f t="array" ref="J225">IF(ROW(J225)&lt;=COUNTA(D:D)*2,IF(MOD(ROW(J225),2)=1,INDEX(D:D,(ROW(J225)+1)/2),INDEX(F:F,ROW(J225)/2)),"")</f>
        <v>-221.9</v>
      </c>
      <c r="K225" s="17">
        <f t="array" ref="K225">IF(ROW(K225)&lt;=COUNTA(E:E)*2,IF(MOD(ROW(K225),2)=1,INDEX(E:E,(ROW(K225)+1)/2),INDEX(G:G,ROW(K225)/2)),"")</f>
        <v>50.63832</v>
      </c>
    </row>
    <row r="226" spans="1:11" x14ac:dyDescent="0.25">
      <c r="A226" s="17"/>
      <c r="B226" s="17"/>
      <c r="D226" s="17">
        <f t="shared" ref="D226:D257" si="28">0-A225</f>
        <v>-447.9</v>
      </c>
      <c r="E226" s="17">
        <f t="shared" ref="E226:E257" si="29">49+(B226)*4</f>
        <v>50.56</v>
      </c>
      <c r="F226" s="17">
        <f t="shared" ref="F226:F257" si="30">0-A226</f>
        <v>-449.9</v>
      </c>
      <c r="G226" s="17">
        <f t="shared" ref="G226:G257" si="31">49+(B226)*4</f>
        <v>50.56</v>
      </c>
      <c r="J226" s="17">
        <f t="array" ref="J226">IF(ROW(J226)&lt;=COUNTA(D:D)*2,IF(MOD(ROW(J226),2)=1,INDEX(D:D,(ROW(J226)+1)/2),INDEX(F:F,ROW(J226)/2)),"")</f>
        <v>-223.9</v>
      </c>
      <c r="K226" s="17">
        <f t="array" ref="K226">IF(ROW(K226)&lt;=COUNTA(E:E)*2,IF(MOD(ROW(K226),2)=1,INDEX(E:E,(ROW(K226)+1)/2),INDEX(G:G,ROW(K226)/2)),"")</f>
        <v>50.63832</v>
      </c>
    </row>
    <row r="227" spans="1:11" x14ac:dyDescent="0.25">
      <c r="A227" s="17"/>
      <c r="B227" s="17"/>
      <c r="D227" s="17">
        <f t="shared" si="28"/>
        <v>-449.9</v>
      </c>
      <c r="E227" s="17">
        <f t="shared" si="29"/>
        <v>50.28</v>
      </c>
      <c r="F227" s="17">
        <f t="shared" si="30"/>
        <v>-451.9</v>
      </c>
      <c r="G227" s="17">
        <f t="shared" si="31"/>
        <v>50.28</v>
      </c>
      <c r="J227" s="17">
        <f t="array" ref="J227">IF(ROW(J227)&lt;=COUNTA(D:D)*2,IF(MOD(ROW(J227),2)=1,INDEX(D:D,(ROW(J227)+1)/2),INDEX(F:F,ROW(J227)/2)),"")</f>
        <v>-223.9</v>
      </c>
      <c r="K227" s="17">
        <f t="array" ref="K227">IF(ROW(K227)&lt;=COUNTA(E:E)*2,IF(MOD(ROW(K227),2)=1,INDEX(E:E,(ROW(K227)+1)/2),INDEX(G:G,ROW(K227)/2)),"")</f>
        <v>50.64872</v>
      </c>
    </row>
    <row r="228" spans="1:11" x14ac:dyDescent="0.25">
      <c r="A228" s="17"/>
      <c r="B228" s="17"/>
      <c r="D228" s="17">
        <f t="shared" si="28"/>
        <v>-451.9</v>
      </c>
      <c r="E228" s="17">
        <f t="shared" si="29"/>
        <v>53</v>
      </c>
      <c r="F228" s="17">
        <f t="shared" si="30"/>
        <v>-453.9</v>
      </c>
      <c r="G228" s="17">
        <f t="shared" si="31"/>
        <v>53</v>
      </c>
      <c r="J228" s="17">
        <f t="array" ref="J228">IF(ROW(J228)&lt;=COUNTA(D:D)*2,IF(MOD(ROW(J228),2)=1,INDEX(D:D,(ROW(J228)+1)/2),INDEX(F:F,ROW(J228)/2)),"")</f>
        <v>-225.9</v>
      </c>
      <c r="K228" s="17">
        <f t="array" ref="K228">IF(ROW(K228)&lt;=COUNTA(E:E)*2,IF(MOD(ROW(K228),2)=1,INDEX(E:E,(ROW(K228)+1)/2),INDEX(G:G,ROW(K228)/2)),"")</f>
        <v>50.64872</v>
      </c>
    </row>
    <row r="229" spans="1:11" x14ac:dyDescent="0.25">
      <c r="A229" s="17"/>
      <c r="B229" s="17"/>
      <c r="D229" s="17">
        <f t="shared" si="28"/>
        <v>-453.9</v>
      </c>
      <c r="E229" s="17">
        <f t="shared" si="29"/>
        <v>50.56</v>
      </c>
      <c r="F229" s="17">
        <f t="shared" si="30"/>
        <v>-455.9</v>
      </c>
      <c r="G229" s="17">
        <f t="shared" si="31"/>
        <v>50.56</v>
      </c>
      <c r="J229" s="17">
        <f t="array" ref="J229">IF(ROW(J229)&lt;=COUNTA(D:D)*2,IF(MOD(ROW(J229),2)=1,INDEX(D:D,(ROW(J229)+1)/2),INDEX(F:F,ROW(J229)/2)),"")</f>
        <v>-225.9</v>
      </c>
      <c r="K229" s="17">
        <f t="array" ref="K229">IF(ROW(K229)&lt;=COUNTA(E:E)*2,IF(MOD(ROW(K229),2)=1,INDEX(E:E,(ROW(K229)+1)/2),INDEX(G:G,ROW(K229)/2)),"")</f>
        <v>50.66012</v>
      </c>
    </row>
    <row r="230" spans="1:11" x14ac:dyDescent="0.25">
      <c r="A230" s="17"/>
      <c r="B230" s="17"/>
      <c r="D230" s="17">
        <f t="shared" si="28"/>
        <v>-455.9</v>
      </c>
      <c r="E230" s="17">
        <f t="shared" si="29"/>
        <v>50.56</v>
      </c>
      <c r="F230" s="17">
        <f t="shared" si="30"/>
        <v>-457.9</v>
      </c>
      <c r="G230" s="17">
        <f t="shared" si="31"/>
        <v>50.56</v>
      </c>
      <c r="J230" s="17">
        <f t="array" ref="J230">IF(ROW(J230)&lt;=COUNTA(D:D)*2,IF(MOD(ROW(J230),2)=1,INDEX(D:D,(ROW(J230)+1)/2),INDEX(F:F,ROW(J230)/2)),"")</f>
        <v>-227.9</v>
      </c>
      <c r="K230" s="17">
        <f t="array" ref="K230">IF(ROW(K230)&lt;=COUNTA(E:E)*2,IF(MOD(ROW(K230),2)=1,INDEX(E:E,(ROW(K230)+1)/2),INDEX(G:G,ROW(K230)/2)),"")</f>
        <v>50.66012</v>
      </c>
    </row>
    <row r="231" spans="1:11" x14ac:dyDescent="0.25">
      <c r="A231" s="17"/>
      <c r="B231" s="17"/>
      <c r="D231" s="17">
        <f t="shared" si="28"/>
        <v>-457.9</v>
      </c>
      <c r="E231" s="17">
        <f t="shared" si="29"/>
        <v>50.6</v>
      </c>
      <c r="F231" s="17">
        <f t="shared" si="30"/>
        <v>-459.9</v>
      </c>
      <c r="G231" s="17">
        <f t="shared" si="31"/>
        <v>50.6</v>
      </c>
      <c r="J231" s="17">
        <f t="array" ref="J231">IF(ROW(J231)&lt;=COUNTA(D:D)*2,IF(MOD(ROW(J231),2)=1,INDEX(D:D,(ROW(J231)+1)/2),INDEX(F:F,ROW(J231)/2)),"")</f>
        <v>-227.9</v>
      </c>
      <c r="K231" s="17">
        <f t="array" ref="K231">IF(ROW(K231)&lt;=COUNTA(E:E)*2,IF(MOD(ROW(K231),2)=1,INDEX(E:E,(ROW(K231)+1)/2),INDEX(G:G,ROW(K231)/2)),"")</f>
        <v>50.67432</v>
      </c>
    </row>
    <row r="232" spans="1:11" x14ac:dyDescent="0.25">
      <c r="A232" s="17"/>
      <c r="B232" s="17"/>
      <c r="D232" s="17">
        <f t="shared" si="28"/>
        <v>-459.9</v>
      </c>
      <c r="E232" s="17">
        <f t="shared" si="29"/>
        <v>50.56</v>
      </c>
      <c r="F232" s="17">
        <f t="shared" si="30"/>
        <v>-461.9</v>
      </c>
      <c r="G232" s="17">
        <f t="shared" si="31"/>
        <v>50.56</v>
      </c>
      <c r="J232" s="17">
        <f t="array" ref="J232">IF(ROW(J232)&lt;=COUNTA(D:D)*2,IF(MOD(ROW(J232),2)=1,INDEX(D:D,(ROW(J232)+1)/2),INDEX(F:F,ROW(J232)/2)),"")</f>
        <v>-229.9</v>
      </c>
      <c r="K232" s="17">
        <f t="array" ref="K232">IF(ROW(K232)&lt;=COUNTA(E:E)*2,IF(MOD(ROW(K232),2)=1,INDEX(E:E,(ROW(K232)+1)/2),INDEX(G:G,ROW(K232)/2)),"")</f>
        <v>50.67432</v>
      </c>
    </row>
    <row r="233" spans="1:11" x14ac:dyDescent="0.25">
      <c r="A233" s="17"/>
      <c r="B233" s="17"/>
      <c r="D233" s="17">
        <f t="shared" si="28"/>
        <v>-461.9</v>
      </c>
      <c r="E233" s="17">
        <f t="shared" si="29"/>
        <v>50.56</v>
      </c>
      <c r="F233" s="17">
        <f t="shared" si="30"/>
        <v>-463.9</v>
      </c>
      <c r="G233" s="17">
        <f t="shared" si="31"/>
        <v>50.56</v>
      </c>
      <c r="J233" s="17">
        <f t="array" ref="J233">IF(ROW(J233)&lt;=COUNTA(D:D)*2,IF(MOD(ROW(J233),2)=1,INDEX(D:D,(ROW(J233)+1)/2),INDEX(F:F,ROW(J233)/2)),"")</f>
        <v>-229.9</v>
      </c>
      <c r="K233" s="17">
        <f t="array" ref="K233">IF(ROW(K233)&lt;=COUNTA(E:E)*2,IF(MOD(ROW(K233),2)=1,INDEX(E:E,(ROW(K233)+1)/2),INDEX(G:G,ROW(K233)/2)),"")</f>
        <v>50.68388</v>
      </c>
    </row>
    <row r="234" spans="1:11" x14ac:dyDescent="0.25">
      <c r="A234" s="17"/>
      <c r="B234" s="17"/>
      <c r="D234" s="17">
        <f t="shared" si="28"/>
        <v>-463.9</v>
      </c>
      <c r="E234" s="17">
        <f t="shared" si="29"/>
        <v>50.56</v>
      </c>
      <c r="F234" s="17">
        <f t="shared" si="30"/>
        <v>-465.9</v>
      </c>
      <c r="G234" s="17">
        <f t="shared" si="31"/>
        <v>50.56</v>
      </c>
      <c r="J234" s="17">
        <f t="array" ref="J234">IF(ROW(J234)&lt;=COUNTA(D:D)*2,IF(MOD(ROW(J234),2)=1,INDEX(D:D,(ROW(J234)+1)/2),INDEX(F:F,ROW(J234)/2)),"")</f>
        <v>-231.9</v>
      </c>
      <c r="K234" s="17">
        <f t="array" ref="K234">IF(ROW(K234)&lt;=COUNTA(E:E)*2,IF(MOD(ROW(K234),2)=1,INDEX(E:E,(ROW(K234)+1)/2),INDEX(G:G,ROW(K234)/2)),"")</f>
        <v>50.68388</v>
      </c>
    </row>
    <row r="235" spans="1:11" x14ac:dyDescent="0.25">
      <c r="A235" s="17"/>
      <c r="B235" s="17"/>
      <c r="D235" s="17">
        <f t="shared" si="28"/>
        <v>-465.9</v>
      </c>
      <c r="E235" s="17">
        <f t="shared" si="29"/>
        <v>50.96</v>
      </c>
      <c r="F235" s="17">
        <f t="shared" si="30"/>
        <v>-467.9</v>
      </c>
      <c r="G235" s="17">
        <f t="shared" si="31"/>
        <v>50.96</v>
      </c>
      <c r="J235" s="17">
        <f t="array" ref="J235">IF(ROW(J235)&lt;=COUNTA(D:D)*2,IF(MOD(ROW(J235),2)=1,INDEX(D:D,(ROW(J235)+1)/2),INDEX(F:F,ROW(J235)/2)),"")</f>
        <v>-231.9</v>
      </c>
      <c r="K235" s="17">
        <f t="array" ref="K235">IF(ROW(K235)&lt;=COUNTA(E:E)*2,IF(MOD(ROW(K235),2)=1,INDEX(E:E,(ROW(K235)+1)/2),INDEX(G:G,ROW(K235)/2)),"")</f>
        <v>50.69768</v>
      </c>
    </row>
    <row r="236" spans="1:11" x14ac:dyDescent="0.25">
      <c r="A236" s="17"/>
      <c r="B236" s="17"/>
      <c r="D236" s="17">
        <f t="shared" si="28"/>
        <v>-467.9</v>
      </c>
      <c r="E236" s="17">
        <f t="shared" si="29"/>
        <v>50.8</v>
      </c>
      <c r="F236" s="17">
        <f t="shared" si="30"/>
        <v>-469.9</v>
      </c>
      <c r="G236" s="17">
        <f t="shared" si="31"/>
        <v>50.8</v>
      </c>
      <c r="J236" s="17">
        <f t="array" ref="J236">IF(ROW(J236)&lt;=COUNTA(D:D)*2,IF(MOD(ROW(J236),2)=1,INDEX(D:D,(ROW(J236)+1)/2),INDEX(F:F,ROW(J236)/2)),"")</f>
        <v>-233.9</v>
      </c>
      <c r="K236" s="17">
        <f t="array" ref="K236">IF(ROW(K236)&lt;=COUNTA(E:E)*2,IF(MOD(ROW(K236),2)=1,INDEX(E:E,(ROW(K236)+1)/2),INDEX(G:G,ROW(K236)/2)),"")</f>
        <v>50.69768</v>
      </c>
    </row>
    <row r="237" spans="1:11" x14ac:dyDescent="0.25">
      <c r="A237" s="17"/>
      <c r="B237" s="17"/>
      <c r="D237" s="17">
        <f t="shared" si="28"/>
        <v>-469.9</v>
      </c>
      <c r="E237" s="17">
        <f t="shared" si="29"/>
        <v>50.6</v>
      </c>
      <c r="F237" s="17">
        <f t="shared" si="30"/>
        <v>-471.9</v>
      </c>
      <c r="G237" s="17">
        <f t="shared" si="31"/>
        <v>50.6</v>
      </c>
      <c r="J237" s="17">
        <f t="array" ref="J237">IF(ROW(J237)&lt;=COUNTA(D:D)*2,IF(MOD(ROW(J237),2)=1,INDEX(D:D,(ROW(J237)+1)/2),INDEX(F:F,ROW(J237)/2)),"")</f>
        <v>-233.9</v>
      </c>
      <c r="K237" s="17">
        <f t="array" ref="K237">IF(ROW(K237)&lt;=COUNTA(E:E)*2,IF(MOD(ROW(K237),2)=1,INDEX(E:E,(ROW(K237)+1)/2),INDEX(G:G,ROW(K237)/2)),"")</f>
        <v>50.70812</v>
      </c>
    </row>
    <row r="238" spans="1:11" x14ac:dyDescent="0.25">
      <c r="A238" s="17"/>
      <c r="B238" s="17"/>
      <c r="D238" s="17">
        <f t="shared" si="28"/>
        <v>-471.9</v>
      </c>
      <c r="E238" s="17">
        <f t="shared" si="29"/>
        <v>50.24</v>
      </c>
      <c r="F238" s="17">
        <f t="shared" si="30"/>
        <v>-473.9</v>
      </c>
      <c r="G238" s="17">
        <f t="shared" si="31"/>
        <v>50.24</v>
      </c>
      <c r="J238" s="17">
        <f t="array" ref="J238">IF(ROW(J238)&lt;=COUNTA(D:D)*2,IF(MOD(ROW(J238),2)=1,INDEX(D:D,(ROW(J238)+1)/2),INDEX(F:F,ROW(J238)/2)),"")</f>
        <v>-235.9</v>
      </c>
      <c r="K238" s="17">
        <f t="array" ref="K238">IF(ROW(K238)&lt;=COUNTA(E:E)*2,IF(MOD(ROW(K238),2)=1,INDEX(E:E,(ROW(K238)+1)/2),INDEX(G:G,ROW(K238)/2)),"")</f>
        <v>50.70812</v>
      </c>
    </row>
    <row r="239" spans="1:11" x14ac:dyDescent="0.25">
      <c r="A239" s="17"/>
      <c r="B239" s="17"/>
      <c r="D239" s="17">
        <f t="shared" si="28"/>
        <v>-473.9</v>
      </c>
      <c r="E239" s="17">
        <f t="shared" si="29"/>
        <v>50.04</v>
      </c>
      <c r="F239" s="17">
        <f t="shared" si="30"/>
        <v>-475.9</v>
      </c>
      <c r="G239" s="17">
        <f t="shared" si="31"/>
        <v>50.04</v>
      </c>
      <c r="J239" s="17">
        <f t="array" ref="J239">IF(ROW(J239)&lt;=COUNTA(D:D)*2,IF(MOD(ROW(J239),2)=1,INDEX(D:D,(ROW(J239)+1)/2),INDEX(F:F,ROW(J239)/2)),"")</f>
        <v>-235.9</v>
      </c>
      <c r="K239" s="17">
        <f t="array" ref="K239">IF(ROW(K239)&lt;=COUNTA(E:E)*2,IF(MOD(ROW(K239),2)=1,INDEX(E:E,(ROW(K239)+1)/2),INDEX(G:G,ROW(K239)/2)),"")</f>
        <v>50.7258</v>
      </c>
    </row>
    <row r="240" spans="1:11" x14ac:dyDescent="0.25">
      <c r="A240" s="17"/>
      <c r="B240" s="17"/>
      <c r="D240" s="17">
        <f t="shared" si="28"/>
        <v>-475.9</v>
      </c>
      <c r="E240" s="17">
        <f t="shared" si="29"/>
        <v>50.04</v>
      </c>
      <c r="F240" s="17">
        <f t="shared" si="30"/>
        <v>-477.9</v>
      </c>
      <c r="G240" s="17">
        <f t="shared" si="31"/>
        <v>50.04</v>
      </c>
      <c r="J240" s="17">
        <f t="array" ref="J240">IF(ROW(J240)&lt;=COUNTA(D:D)*2,IF(MOD(ROW(J240),2)=1,INDEX(D:D,(ROW(J240)+1)/2),INDEX(F:F,ROW(J240)/2)),"")</f>
        <v>-237.9</v>
      </c>
      <c r="K240" s="17">
        <f t="array" ref="K240">IF(ROW(K240)&lt;=COUNTA(E:E)*2,IF(MOD(ROW(K240),2)=1,INDEX(E:E,(ROW(K240)+1)/2),INDEX(G:G,ROW(K240)/2)),"")</f>
        <v>50.7258</v>
      </c>
    </row>
    <row r="241" spans="1:11" x14ac:dyDescent="0.25">
      <c r="A241" s="17"/>
      <c r="B241" s="17"/>
      <c r="D241" s="17">
        <f t="shared" si="28"/>
        <v>-477.9</v>
      </c>
      <c r="E241" s="17">
        <f t="shared" si="29"/>
        <v>50.56</v>
      </c>
      <c r="F241" s="17">
        <f t="shared" si="30"/>
        <v>-479.9</v>
      </c>
      <c r="G241" s="17">
        <f t="shared" si="31"/>
        <v>50.56</v>
      </c>
      <c r="J241" s="17">
        <f t="array" ref="J241">IF(ROW(J241)&lt;=COUNTA(D:D)*2,IF(MOD(ROW(J241),2)=1,INDEX(D:D,(ROW(J241)+1)/2),INDEX(F:F,ROW(J241)/2)),"")</f>
        <v>-237.9</v>
      </c>
      <c r="K241" s="17">
        <f t="array" ref="K241">IF(ROW(K241)&lt;=COUNTA(E:E)*2,IF(MOD(ROW(K241),2)=1,INDEX(E:E,(ROW(K241)+1)/2),INDEX(G:G,ROW(K241)/2)),"")</f>
        <v>50.736</v>
      </c>
    </row>
    <row r="242" spans="1:11" x14ac:dyDescent="0.25">
      <c r="A242" s="17"/>
      <c r="B242" s="17"/>
      <c r="D242" s="17">
        <f t="shared" si="28"/>
        <v>-479.9</v>
      </c>
      <c r="E242" s="17">
        <f t="shared" si="29"/>
        <v>50.56</v>
      </c>
      <c r="F242" s="17">
        <f t="shared" si="30"/>
        <v>-481.9</v>
      </c>
      <c r="G242" s="17">
        <f t="shared" si="31"/>
        <v>50.56</v>
      </c>
      <c r="J242" s="17">
        <f t="array" ref="J242">IF(ROW(J242)&lt;=COUNTA(D:D)*2,IF(MOD(ROW(J242),2)=1,INDEX(D:D,(ROW(J242)+1)/2),INDEX(F:F,ROW(J242)/2)),"")</f>
        <v>-239.9</v>
      </c>
      <c r="K242" s="17">
        <f t="array" ref="K242">IF(ROW(K242)&lt;=COUNTA(E:E)*2,IF(MOD(ROW(K242),2)=1,INDEX(E:E,(ROW(K242)+1)/2),INDEX(G:G,ROW(K242)/2)),"")</f>
        <v>50.736</v>
      </c>
    </row>
    <row r="243" spans="1:11" x14ac:dyDescent="0.25">
      <c r="A243" s="17"/>
      <c r="B243" s="17"/>
      <c r="D243" s="17">
        <f t="shared" si="28"/>
        <v>-481.9</v>
      </c>
      <c r="E243" s="17">
        <f t="shared" si="29"/>
        <v>50.68</v>
      </c>
      <c r="F243" s="17">
        <f t="shared" si="30"/>
        <v>-483.9</v>
      </c>
      <c r="G243" s="17">
        <f t="shared" si="31"/>
        <v>50.68</v>
      </c>
      <c r="J243" s="17">
        <f t="array" ref="J243">IF(ROW(J243)&lt;=COUNTA(D:D)*2,IF(MOD(ROW(J243),2)=1,INDEX(D:D,(ROW(J243)+1)/2),INDEX(F:F,ROW(J243)/2)),"")</f>
        <v>-239.9</v>
      </c>
      <c r="K243" s="17">
        <f t="array" ref="K243">IF(ROW(K243)&lt;=COUNTA(E:E)*2,IF(MOD(ROW(K243),2)=1,INDEX(E:E,(ROW(K243)+1)/2),INDEX(G:G,ROW(K243)/2)),"")</f>
        <v>50.7474</v>
      </c>
    </row>
    <row r="244" spans="1:11" x14ac:dyDescent="0.25">
      <c r="A244" s="17"/>
      <c r="B244" s="17"/>
      <c r="D244" s="17">
        <f t="shared" si="28"/>
        <v>-483.9</v>
      </c>
      <c r="E244" s="17">
        <f t="shared" si="29"/>
        <v>50.56</v>
      </c>
      <c r="F244" s="17">
        <f t="shared" si="30"/>
        <v>-485.9</v>
      </c>
      <c r="G244" s="17">
        <f t="shared" si="31"/>
        <v>50.56</v>
      </c>
      <c r="J244" s="17">
        <f t="array" ref="J244">IF(ROW(J244)&lt;=COUNTA(D:D)*2,IF(MOD(ROW(J244),2)=1,INDEX(D:D,(ROW(J244)+1)/2),INDEX(F:F,ROW(J244)/2)),"")</f>
        <v>-241.9</v>
      </c>
      <c r="K244" s="17">
        <f t="array" ref="K244">IF(ROW(K244)&lt;=COUNTA(E:E)*2,IF(MOD(ROW(K244),2)=1,INDEX(E:E,(ROW(K244)+1)/2),INDEX(G:G,ROW(K244)/2)),"")</f>
        <v>50.7474</v>
      </c>
    </row>
    <row r="245" spans="1:11" x14ac:dyDescent="0.25">
      <c r="A245" s="17"/>
      <c r="B245" s="17"/>
      <c r="D245" s="17">
        <f t="shared" si="28"/>
        <v>-485.9</v>
      </c>
      <c r="E245" s="17">
        <f t="shared" si="29"/>
        <v>50.72</v>
      </c>
      <c r="F245" s="17">
        <f t="shared" si="30"/>
        <v>-487.9</v>
      </c>
      <c r="G245" s="17">
        <f t="shared" si="31"/>
        <v>50.72</v>
      </c>
      <c r="J245" s="17">
        <f t="array" ref="J245">IF(ROW(J245)&lt;=COUNTA(D:D)*2,IF(MOD(ROW(J245),2)=1,INDEX(D:D,(ROW(J245)+1)/2),INDEX(F:F,ROW(J245)/2)),"")</f>
        <v>-241.9</v>
      </c>
      <c r="K245" s="17">
        <f t="array" ref="K245">IF(ROW(K245)&lt;=COUNTA(E:E)*2,IF(MOD(ROW(K245),2)=1,INDEX(E:E,(ROW(K245)+1)/2),INDEX(G:G,ROW(K245)/2)),"")</f>
        <v>49.96764</v>
      </c>
    </row>
    <row r="246" spans="1:11" x14ac:dyDescent="0.25">
      <c r="A246" s="17"/>
      <c r="B246" s="17"/>
      <c r="D246" s="17">
        <f t="shared" si="28"/>
        <v>-487.9</v>
      </c>
      <c r="E246" s="17">
        <f t="shared" si="29"/>
        <v>50.56</v>
      </c>
      <c r="F246" s="17">
        <f t="shared" si="30"/>
        <v>-489.9</v>
      </c>
      <c r="G246" s="17">
        <f t="shared" si="31"/>
        <v>50.56</v>
      </c>
      <c r="J246" s="17">
        <f t="array" ref="J246">IF(ROW(J246)&lt;=COUNTA(D:D)*2,IF(MOD(ROW(J246),2)=1,INDEX(D:D,(ROW(J246)+1)/2),INDEX(F:F,ROW(J246)/2)),"")</f>
        <v>-243.9</v>
      </c>
      <c r="K246" s="17">
        <f t="array" ref="K246">IF(ROW(K246)&lt;=COUNTA(E:E)*2,IF(MOD(ROW(K246),2)=1,INDEX(E:E,(ROW(K246)+1)/2),INDEX(G:G,ROW(K246)/2)),"")</f>
        <v>49.96764</v>
      </c>
    </row>
    <row r="247" spans="1:11" x14ac:dyDescent="0.25">
      <c r="A247" s="17"/>
      <c r="B247" s="17"/>
      <c r="D247" s="17">
        <f t="shared" si="28"/>
        <v>-489.9</v>
      </c>
      <c r="E247" s="17">
        <f t="shared" si="29"/>
        <v>50.6</v>
      </c>
      <c r="F247" s="17">
        <f t="shared" si="30"/>
        <v>-491.9</v>
      </c>
      <c r="G247" s="17">
        <f t="shared" si="31"/>
        <v>50.6</v>
      </c>
      <c r="J247" s="17">
        <f t="array" ref="J247">IF(ROW(J247)&lt;=COUNTA(D:D)*2,IF(MOD(ROW(J247),2)=1,INDEX(D:D,(ROW(J247)+1)/2),INDEX(F:F,ROW(J247)/2)),"")</f>
        <v>-243.9</v>
      </c>
      <c r="K247" s="17">
        <f t="array" ref="K247">IF(ROW(K247)&lt;=COUNTA(E:E)*2,IF(MOD(ROW(K247),2)=1,INDEX(E:E,(ROW(K247)+1)/2),INDEX(G:G,ROW(K247)/2)),"")</f>
        <v>49.97224</v>
      </c>
    </row>
    <row r="248" spans="1:11" x14ac:dyDescent="0.25">
      <c r="A248" s="17"/>
      <c r="B248" s="17"/>
      <c r="D248" s="17">
        <f t="shared" si="28"/>
        <v>-491.9</v>
      </c>
      <c r="E248" s="17">
        <f t="shared" si="29"/>
        <v>50.72</v>
      </c>
      <c r="F248" s="17">
        <f t="shared" si="30"/>
        <v>-493.9</v>
      </c>
      <c r="G248" s="17">
        <f t="shared" si="31"/>
        <v>50.72</v>
      </c>
      <c r="J248" s="17">
        <f t="array" ref="J248">IF(ROW(J248)&lt;=COUNTA(D:D)*2,IF(MOD(ROW(J248),2)=1,INDEX(D:D,(ROW(J248)+1)/2),INDEX(F:F,ROW(J248)/2)),"")</f>
        <v>-245.9</v>
      </c>
      <c r="K248" s="17">
        <f t="array" ref="K248">IF(ROW(K248)&lt;=COUNTA(E:E)*2,IF(MOD(ROW(K248),2)=1,INDEX(E:E,(ROW(K248)+1)/2),INDEX(G:G,ROW(K248)/2)),"")</f>
        <v>49.97224</v>
      </c>
    </row>
    <row r="249" spans="1:11" x14ac:dyDescent="0.25">
      <c r="A249" s="17"/>
      <c r="B249" s="17"/>
      <c r="D249" s="17">
        <f t="shared" si="28"/>
        <v>-493.9</v>
      </c>
      <c r="E249" s="17">
        <f t="shared" si="29"/>
        <v>50.6</v>
      </c>
      <c r="F249" s="17">
        <f t="shared" si="30"/>
        <v>-495.9</v>
      </c>
      <c r="G249" s="17">
        <f t="shared" si="31"/>
        <v>50.6</v>
      </c>
      <c r="J249" s="17">
        <f t="array" ref="J249">IF(ROW(J249)&lt;=COUNTA(D:D)*2,IF(MOD(ROW(J249),2)=1,INDEX(D:D,(ROW(J249)+1)/2),INDEX(F:F,ROW(J249)/2)),"")</f>
        <v>-245.9</v>
      </c>
      <c r="K249" s="17">
        <f t="array" ref="K249">IF(ROW(K249)&lt;=COUNTA(E:E)*2,IF(MOD(ROW(K249),2)=1,INDEX(E:E,(ROW(K249)+1)/2),INDEX(G:G,ROW(K249)/2)),"")</f>
        <v>49.68064</v>
      </c>
    </row>
    <row r="250" spans="1:11" x14ac:dyDescent="0.25">
      <c r="A250" s="17"/>
      <c r="B250" s="17"/>
      <c r="D250" s="17">
        <f t="shared" si="28"/>
        <v>-495.9</v>
      </c>
      <c r="E250" s="17">
        <f t="shared" si="29"/>
        <v>50.6</v>
      </c>
      <c r="F250" s="17">
        <f t="shared" si="30"/>
        <v>-497.9</v>
      </c>
      <c r="G250" s="17">
        <f t="shared" si="31"/>
        <v>50.6</v>
      </c>
      <c r="J250" s="17">
        <f t="array" ref="J250">IF(ROW(J250)&lt;=COUNTA(D:D)*2,IF(MOD(ROW(J250),2)=1,INDEX(D:D,(ROW(J250)+1)/2),INDEX(F:F,ROW(J250)/2)),"")</f>
        <v>-247.9</v>
      </c>
      <c r="K250" s="17">
        <f t="array" ref="K250">IF(ROW(K250)&lt;=COUNTA(E:E)*2,IF(MOD(ROW(K250),2)=1,INDEX(E:E,(ROW(K250)+1)/2),INDEX(G:G,ROW(K250)/2)),"")</f>
        <v>49.68064</v>
      </c>
    </row>
    <row r="251" spans="1:11" x14ac:dyDescent="0.25">
      <c r="A251" s="17"/>
      <c r="B251" s="17"/>
      <c r="D251" s="17">
        <f t="shared" si="28"/>
        <v>-497.9</v>
      </c>
      <c r="E251" s="17">
        <f t="shared" si="29"/>
        <v>50.6</v>
      </c>
      <c r="F251" s="17">
        <f t="shared" si="30"/>
        <v>-499.9</v>
      </c>
      <c r="G251" s="17">
        <f t="shared" si="31"/>
        <v>50.6</v>
      </c>
      <c r="J251" s="17">
        <f t="array" ref="J251">IF(ROW(J251)&lt;=COUNTA(D:D)*2,IF(MOD(ROW(J251),2)=1,INDEX(D:D,(ROW(J251)+1)/2),INDEX(F:F,ROW(J251)/2)),"")</f>
        <v>-247.9</v>
      </c>
      <c r="K251" s="17">
        <f t="array" ref="K251">IF(ROW(K251)&lt;=COUNTA(E:E)*2,IF(MOD(ROW(K251),2)=1,INDEX(E:E,(ROW(K251)+1)/2),INDEX(G:G,ROW(K251)/2)),"")</f>
        <v>49.68328</v>
      </c>
    </row>
    <row r="252" spans="1:11" x14ac:dyDescent="0.25">
      <c r="A252" s="17"/>
      <c r="B252" s="17"/>
      <c r="D252" s="17">
        <f t="shared" si="28"/>
        <v>-499.9</v>
      </c>
      <c r="E252" s="17">
        <f t="shared" si="29"/>
        <v>50.72</v>
      </c>
      <c r="F252" s="17">
        <f t="shared" si="30"/>
        <v>-501.9</v>
      </c>
      <c r="G252" s="17">
        <f t="shared" si="31"/>
        <v>50.72</v>
      </c>
      <c r="J252" s="17">
        <f t="array" ref="J252">IF(ROW(J252)&lt;=COUNTA(D:D)*2,IF(MOD(ROW(J252),2)=1,INDEX(D:D,(ROW(J252)+1)/2),INDEX(F:F,ROW(J252)/2)),"")</f>
        <v>-249.9</v>
      </c>
      <c r="K252" s="17">
        <f t="array" ref="K252">IF(ROW(K252)&lt;=COUNTA(E:E)*2,IF(MOD(ROW(K252),2)=1,INDEX(E:E,(ROW(K252)+1)/2),INDEX(G:G,ROW(K252)/2)),"")</f>
        <v>49.68328</v>
      </c>
    </row>
    <row r="253" spans="1:11" x14ac:dyDescent="0.25">
      <c r="A253" s="17"/>
      <c r="B253" s="17"/>
      <c r="D253" s="17">
        <f t="shared" si="28"/>
        <v>-501.9</v>
      </c>
      <c r="E253" s="17">
        <f t="shared" si="29"/>
        <v>50.6</v>
      </c>
      <c r="F253" s="17">
        <f t="shared" si="30"/>
        <v>-503.9</v>
      </c>
      <c r="G253" s="17">
        <f t="shared" si="31"/>
        <v>50.6</v>
      </c>
      <c r="J253" s="17">
        <f t="array" ref="J253">IF(ROW(J253)&lt;=COUNTA(D:D)*2,IF(MOD(ROW(J253),2)=1,INDEX(D:D,(ROW(J253)+1)/2),INDEX(F:F,ROW(J253)/2)),"")</f>
        <v>-249.9</v>
      </c>
      <c r="K253" s="17">
        <f t="array" ref="K253">IF(ROW(K253)&lt;=COUNTA(E:E)*2,IF(MOD(ROW(K253),2)=1,INDEX(E:E,(ROW(K253)+1)/2),INDEX(G:G,ROW(K253)/2)),"")</f>
        <v>49.68504</v>
      </c>
    </row>
    <row r="254" spans="1:11" x14ac:dyDescent="0.25">
      <c r="A254" s="17"/>
      <c r="B254" s="17"/>
      <c r="D254" s="17">
        <f t="shared" si="28"/>
        <v>-503.9</v>
      </c>
      <c r="E254" s="17">
        <f t="shared" si="29"/>
        <v>50.6</v>
      </c>
      <c r="F254" s="17">
        <f t="shared" si="30"/>
        <v>-505.9</v>
      </c>
      <c r="G254" s="17">
        <f t="shared" si="31"/>
        <v>50.6</v>
      </c>
      <c r="J254" s="17">
        <f t="array" ref="J254">IF(ROW(J254)&lt;=COUNTA(D:D)*2,IF(MOD(ROW(J254),2)=1,INDEX(D:D,(ROW(J254)+1)/2),INDEX(F:F,ROW(J254)/2)),"")</f>
        <v>-251.9</v>
      </c>
      <c r="K254" s="17">
        <f t="array" ref="K254">IF(ROW(K254)&lt;=COUNTA(E:E)*2,IF(MOD(ROW(K254),2)=1,INDEX(E:E,(ROW(K254)+1)/2),INDEX(G:G,ROW(K254)/2)),"")</f>
        <v>49.68504</v>
      </c>
    </row>
    <row r="255" spans="1:11" x14ac:dyDescent="0.25">
      <c r="A255" s="17"/>
      <c r="B255" s="17"/>
      <c r="D255" s="17">
        <f t="shared" si="28"/>
        <v>-505.9</v>
      </c>
      <c r="E255" s="17">
        <f t="shared" si="29"/>
        <v>50.6</v>
      </c>
      <c r="F255" s="17">
        <f t="shared" si="30"/>
        <v>-507.9</v>
      </c>
      <c r="G255" s="17">
        <f t="shared" si="31"/>
        <v>50.6</v>
      </c>
      <c r="J255" s="17">
        <f t="array" ref="J255">IF(ROW(J255)&lt;=COUNTA(D:D)*2,IF(MOD(ROW(J255),2)=1,INDEX(D:D,(ROW(J255)+1)/2),INDEX(F:F,ROW(J255)/2)),"")</f>
        <v>-251.9</v>
      </c>
      <c r="K255" s="17">
        <f t="array" ref="K255">IF(ROW(K255)&lt;=COUNTA(E:E)*2,IF(MOD(ROW(K255),2)=1,INDEX(E:E,(ROW(K255)+1)/2),INDEX(G:G,ROW(K255)/2)),"")</f>
        <v>50.26656</v>
      </c>
    </row>
    <row r="256" spans="1:11" x14ac:dyDescent="0.25">
      <c r="A256" s="17"/>
      <c r="B256" s="17"/>
      <c r="D256" s="17">
        <f t="shared" si="28"/>
        <v>-507.9</v>
      </c>
      <c r="E256" s="17">
        <f t="shared" si="29"/>
        <v>50.32</v>
      </c>
      <c r="F256" s="17">
        <f t="shared" si="30"/>
        <v>-509.9</v>
      </c>
      <c r="G256" s="17">
        <f t="shared" si="31"/>
        <v>50.32</v>
      </c>
      <c r="J256" s="17">
        <f t="array" ref="J256">IF(ROW(J256)&lt;=COUNTA(D:D)*2,IF(MOD(ROW(J256),2)=1,INDEX(D:D,(ROW(J256)+1)/2),INDEX(F:F,ROW(J256)/2)),"")</f>
        <v>-253.9</v>
      </c>
      <c r="K256" s="17">
        <f t="array" ref="K256">IF(ROW(K256)&lt;=COUNTA(E:E)*2,IF(MOD(ROW(K256),2)=1,INDEX(E:E,(ROW(K256)+1)/2),INDEX(G:G,ROW(K256)/2)),"")</f>
        <v>50.26656</v>
      </c>
    </row>
    <row r="257" spans="1:11" x14ac:dyDescent="0.25">
      <c r="A257" s="17"/>
      <c r="B257" s="17"/>
      <c r="D257" s="17">
        <f t="shared" si="28"/>
        <v>-509.9</v>
      </c>
      <c r="E257" s="17">
        <f t="shared" si="29"/>
        <v>50.32</v>
      </c>
      <c r="F257" s="17">
        <f t="shared" si="30"/>
        <v>-511.9</v>
      </c>
      <c r="G257" s="17">
        <f t="shared" si="31"/>
        <v>50.32</v>
      </c>
      <c r="J257" s="17">
        <f t="array" ref="J257">IF(ROW(J257)&lt;=COUNTA(D:D)*2,IF(MOD(ROW(J257),2)=1,INDEX(D:D,(ROW(J257)+1)/2),INDEX(F:F,ROW(J257)/2)),"")</f>
        <v>-253.9</v>
      </c>
      <c r="K257" s="17">
        <f t="array" ref="K257">IF(ROW(K257)&lt;=COUNTA(E:E)*2,IF(MOD(ROW(K257),2)=1,INDEX(E:E,(ROW(K257)+1)/2),INDEX(G:G,ROW(K257)/2)),"")</f>
        <v>49.68852</v>
      </c>
    </row>
    <row r="258" spans="1:11" x14ac:dyDescent="0.25">
      <c r="A258" s="17"/>
      <c r="B258" s="17"/>
      <c r="D258" s="17">
        <f t="shared" ref="D258:D289" si="32">0-A257</f>
        <v>-511.9</v>
      </c>
      <c r="E258" s="17">
        <f t="shared" ref="E258:E289" si="33">49+(B258)*4</f>
        <v>50.76</v>
      </c>
      <c r="F258" s="17">
        <f t="shared" ref="F258:F289" si="34">0-A258</f>
        <v>-513.9</v>
      </c>
      <c r="G258" s="17">
        <f t="shared" ref="G258:G289" si="35">49+(B258)*4</f>
        <v>50.76</v>
      </c>
      <c r="J258" s="17">
        <f t="array" ref="J258">IF(ROW(J258)&lt;=COUNTA(D:D)*2,IF(MOD(ROW(J258),2)=1,INDEX(D:D,(ROW(J258)+1)/2),INDEX(F:F,ROW(J258)/2)),"")</f>
        <v>-255.9</v>
      </c>
      <c r="K258" s="17">
        <f t="array" ref="K258">IF(ROW(K258)&lt;=COUNTA(E:E)*2,IF(MOD(ROW(K258),2)=1,INDEX(E:E,(ROW(K258)+1)/2),INDEX(G:G,ROW(K258)/2)),"")</f>
        <v>49.68852</v>
      </c>
    </row>
    <row r="259" spans="1:11" x14ac:dyDescent="0.25">
      <c r="A259" s="17"/>
      <c r="B259" s="17"/>
      <c r="D259" s="17">
        <f t="shared" si="32"/>
        <v>-513.9</v>
      </c>
      <c r="E259" s="17">
        <f t="shared" si="33"/>
        <v>50.32</v>
      </c>
      <c r="F259" s="17">
        <f t="shared" si="34"/>
        <v>-515.9</v>
      </c>
      <c r="G259" s="17">
        <f t="shared" si="35"/>
        <v>50.32</v>
      </c>
      <c r="J259" s="17">
        <f t="array" ref="J259">IF(ROW(J259)&lt;=COUNTA(D:D)*2,IF(MOD(ROW(J259),2)=1,INDEX(D:D,(ROW(J259)+1)/2),INDEX(F:F,ROW(J259)/2)),"")</f>
        <v>-255.9</v>
      </c>
      <c r="K259" s="17">
        <f t="array" ref="K259">IF(ROW(K259)&lt;=COUNTA(E:E)*2,IF(MOD(ROW(K259),2)=1,INDEX(E:E,(ROW(K259)+1)/2),INDEX(G:G,ROW(K259)/2)),"")</f>
        <v>50.27376</v>
      </c>
    </row>
    <row r="260" spans="1:11" x14ac:dyDescent="0.25">
      <c r="A260" s="17"/>
      <c r="B260" s="17"/>
      <c r="D260" s="17">
        <f t="shared" si="32"/>
        <v>-515.9</v>
      </c>
      <c r="E260" s="17">
        <f t="shared" si="33"/>
        <v>50.32</v>
      </c>
      <c r="F260" s="17">
        <f t="shared" si="34"/>
        <v>-517.9</v>
      </c>
      <c r="G260" s="17">
        <f t="shared" si="35"/>
        <v>50.32</v>
      </c>
      <c r="J260" s="17">
        <f t="array" ref="J260">IF(ROW(J260)&lt;=COUNTA(D:D)*2,IF(MOD(ROW(J260),2)=1,INDEX(D:D,(ROW(J260)+1)/2),INDEX(F:F,ROW(J260)/2)),"")</f>
        <v>-257.9</v>
      </c>
      <c r="K260" s="17">
        <f t="array" ref="K260">IF(ROW(K260)&lt;=COUNTA(E:E)*2,IF(MOD(ROW(K260),2)=1,INDEX(E:E,(ROW(K260)+1)/2),INDEX(G:G,ROW(K260)/2)),"")</f>
        <v>50.27376</v>
      </c>
    </row>
    <row r="261" spans="1:11" x14ac:dyDescent="0.25">
      <c r="A261" s="17"/>
      <c r="B261" s="17"/>
      <c r="D261" s="17">
        <f t="shared" si="32"/>
        <v>-517.9</v>
      </c>
      <c r="E261" s="17">
        <f t="shared" si="33"/>
        <v>51.32</v>
      </c>
      <c r="F261" s="17">
        <f t="shared" si="34"/>
        <v>-519.9</v>
      </c>
      <c r="G261" s="17">
        <f t="shared" si="35"/>
        <v>51.32</v>
      </c>
      <c r="J261" s="17">
        <f t="array" ref="J261">IF(ROW(J261)&lt;=COUNTA(D:D)*2,IF(MOD(ROW(J261),2)=1,INDEX(D:D,(ROW(J261)+1)/2),INDEX(F:F,ROW(J261)/2)),"")</f>
        <v>-257.9</v>
      </c>
      <c r="K261" s="17">
        <f t="array" ref="K261">IF(ROW(K261)&lt;=COUNTA(E:E)*2,IF(MOD(ROW(K261),2)=1,INDEX(E:E,(ROW(K261)+1)/2),INDEX(G:G,ROW(K261)/2)),"")</f>
        <v>50.68824</v>
      </c>
    </row>
    <row r="262" spans="1:11" x14ac:dyDescent="0.25">
      <c r="A262" s="17"/>
      <c r="B262" s="17"/>
      <c r="D262" s="17">
        <f t="shared" si="32"/>
        <v>-519.9</v>
      </c>
      <c r="E262" s="17">
        <f t="shared" si="33"/>
        <v>50.36</v>
      </c>
      <c r="F262" s="17">
        <f t="shared" si="34"/>
        <v>-521.9</v>
      </c>
      <c r="G262" s="17">
        <f t="shared" si="35"/>
        <v>50.36</v>
      </c>
      <c r="J262" s="17">
        <f t="array" ref="J262">IF(ROW(J262)&lt;=COUNTA(D:D)*2,IF(MOD(ROW(J262),2)=1,INDEX(D:D,(ROW(J262)+1)/2),INDEX(F:F,ROW(J262)/2)),"")</f>
        <v>-259.9</v>
      </c>
      <c r="K262" s="17">
        <f t="array" ref="K262">IF(ROW(K262)&lt;=COUNTA(E:E)*2,IF(MOD(ROW(K262),2)=1,INDEX(E:E,(ROW(K262)+1)/2),INDEX(G:G,ROW(K262)/2)),"")</f>
        <v>50.68824</v>
      </c>
    </row>
    <row r="263" spans="1:11" x14ac:dyDescent="0.25">
      <c r="A263" s="17"/>
      <c r="B263" s="17"/>
      <c r="D263" s="17">
        <f t="shared" si="32"/>
        <v>-521.9</v>
      </c>
      <c r="E263" s="17">
        <f t="shared" si="33"/>
        <v>50</v>
      </c>
      <c r="F263" s="17">
        <f t="shared" si="34"/>
        <v>-523.9</v>
      </c>
      <c r="G263" s="17">
        <f t="shared" si="35"/>
        <v>50</v>
      </c>
      <c r="J263" s="17">
        <f t="array" ref="J263">IF(ROW(J263)&lt;=COUNTA(D:D)*2,IF(MOD(ROW(J263),2)=1,INDEX(D:D,(ROW(J263)+1)/2),INDEX(F:F,ROW(J263)/2)),"")</f>
        <v>-259.9</v>
      </c>
      <c r="K263" s="17">
        <f t="array" ref="K263">IF(ROW(K263)&lt;=COUNTA(E:E)*2,IF(MOD(ROW(K263),2)=1,INDEX(E:E,(ROW(K263)+1)/2),INDEX(G:G,ROW(K263)/2)),"")</f>
        <v>50.69516</v>
      </c>
    </row>
    <row r="264" spans="1:11" x14ac:dyDescent="0.25">
      <c r="A264" s="17"/>
      <c r="B264" s="17"/>
      <c r="D264" s="17">
        <f t="shared" si="32"/>
        <v>-523.9</v>
      </c>
      <c r="E264" s="17">
        <f t="shared" si="33"/>
        <v>50.32</v>
      </c>
      <c r="F264" s="17">
        <f t="shared" si="34"/>
        <v>-525.9</v>
      </c>
      <c r="G264" s="17">
        <f t="shared" si="35"/>
        <v>50.32</v>
      </c>
      <c r="J264" s="17">
        <f t="array" ref="J264">IF(ROW(J264)&lt;=COUNTA(D:D)*2,IF(MOD(ROW(J264),2)=1,INDEX(D:D,(ROW(J264)+1)/2),INDEX(F:F,ROW(J264)/2)),"")</f>
        <v>-261.9</v>
      </c>
      <c r="K264" s="17">
        <f t="array" ref="K264">IF(ROW(K264)&lt;=COUNTA(E:E)*2,IF(MOD(ROW(K264),2)=1,INDEX(E:E,(ROW(K264)+1)/2),INDEX(G:G,ROW(K264)/2)),"")</f>
        <v>50.69516</v>
      </c>
    </row>
    <row r="265" spans="1:11" x14ac:dyDescent="0.25">
      <c r="A265" s="17"/>
      <c r="B265" s="17"/>
      <c r="D265" s="17">
        <f t="shared" si="32"/>
        <v>-525.9</v>
      </c>
      <c r="E265" s="17">
        <f t="shared" si="33"/>
        <v>50.04</v>
      </c>
      <c r="F265" s="17">
        <f t="shared" si="34"/>
        <v>-527.9</v>
      </c>
      <c r="G265" s="17">
        <f t="shared" si="35"/>
        <v>50.04</v>
      </c>
      <c r="J265" s="17">
        <f t="array" ref="J265">IF(ROW(J265)&lt;=COUNTA(D:D)*2,IF(MOD(ROW(J265),2)=1,INDEX(D:D,(ROW(J265)+1)/2),INDEX(F:F,ROW(J265)/2)),"")</f>
        <v>-261.9</v>
      </c>
      <c r="K265" s="17">
        <f t="array" ref="K265">IF(ROW(K265)&lt;=COUNTA(E:E)*2,IF(MOD(ROW(K265),2)=1,INDEX(E:E,(ROW(K265)+1)/2),INDEX(G:G,ROW(K265)/2)),"")</f>
        <v>50.71492</v>
      </c>
    </row>
    <row r="266" spans="1:11" x14ac:dyDescent="0.25">
      <c r="A266" s="17"/>
      <c r="B266" s="17"/>
      <c r="D266" s="17">
        <f t="shared" si="32"/>
        <v>-527.9</v>
      </c>
      <c r="E266" s="17">
        <f t="shared" si="33"/>
        <v>50.04</v>
      </c>
      <c r="F266" s="17">
        <f t="shared" si="34"/>
        <v>-529.9</v>
      </c>
      <c r="G266" s="17">
        <f t="shared" si="35"/>
        <v>50.04</v>
      </c>
      <c r="J266" s="17">
        <f t="array" ref="J266">IF(ROW(J266)&lt;=COUNTA(D:D)*2,IF(MOD(ROW(J266),2)=1,INDEX(D:D,(ROW(J266)+1)/2),INDEX(F:F,ROW(J266)/2)),"")</f>
        <v>-263.9</v>
      </c>
      <c r="K266" s="17">
        <f t="array" ref="K266">IF(ROW(K266)&lt;=COUNTA(E:E)*2,IF(MOD(ROW(K266),2)=1,INDEX(E:E,(ROW(K266)+1)/2),INDEX(G:G,ROW(K266)/2)),"")</f>
        <v>50.71492</v>
      </c>
    </row>
    <row r="267" spans="1:11" x14ac:dyDescent="0.25">
      <c r="A267" s="17"/>
      <c r="B267" s="17"/>
      <c r="D267" s="17">
        <f t="shared" si="32"/>
        <v>-529.9</v>
      </c>
      <c r="E267" s="17">
        <f t="shared" si="33"/>
        <v>50.04</v>
      </c>
      <c r="F267" s="17">
        <f t="shared" si="34"/>
        <v>-531.9</v>
      </c>
      <c r="G267" s="17">
        <f t="shared" si="35"/>
        <v>50.04</v>
      </c>
      <c r="J267" s="17">
        <f t="array" ref="J267">IF(ROW(J267)&lt;=COUNTA(D:D)*2,IF(MOD(ROW(J267),2)=1,INDEX(D:D,(ROW(J267)+1)/2),INDEX(F:F,ROW(J267)/2)),"")</f>
        <v>-263.9</v>
      </c>
      <c r="K267" s="17">
        <f t="array" ref="K267">IF(ROW(K267)&lt;=COUNTA(E:E)*2,IF(MOD(ROW(K267),2)=1,INDEX(E:E,(ROW(K267)+1)/2),INDEX(G:G,ROW(K267)/2)),"")</f>
        <v>50.72072</v>
      </c>
    </row>
    <row r="268" spans="1:11" x14ac:dyDescent="0.25">
      <c r="A268" s="17"/>
      <c r="B268" s="17"/>
      <c r="D268" s="17">
        <f t="shared" si="32"/>
        <v>-531.9</v>
      </c>
      <c r="E268" s="17">
        <f t="shared" si="33"/>
        <v>50.04</v>
      </c>
      <c r="F268" s="17">
        <f t="shared" si="34"/>
        <v>-533.9</v>
      </c>
      <c r="G268" s="17">
        <f t="shared" si="35"/>
        <v>50.04</v>
      </c>
      <c r="J268" s="17">
        <f t="array" ref="J268">IF(ROW(J268)&lt;=COUNTA(D:D)*2,IF(MOD(ROW(J268),2)=1,INDEX(D:D,(ROW(J268)+1)/2),INDEX(F:F,ROW(J268)/2)),"")</f>
        <v>-265.9</v>
      </c>
      <c r="K268" s="17">
        <f t="array" ref="K268">IF(ROW(K268)&lt;=COUNTA(E:E)*2,IF(MOD(ROW(K268),2)=1,INDEX(E:E,(ROW(K268)+1)/2),INDEX(G:G,ROW(K268)/2)),"")</f>
        <v>50.72072</v>
      </c>
    </row>
    <row r="269" spans="1:11" x14ac:dyDescent="0.25">
      <c r="A269" s="17"/>
      <c r="B269" s="17"/>
      <c r="D269" s="17">
        <f t="shared" si="32"/>
        <v>-533.9</v>
      </c>
      <c r="E269" s="17">
        <f t="shared" si="33"/>
        <v>50.36</v>
      </c>
      <c r="F269" s="17">
        <f t="shared" si="34"/>
        <v>-535.9</v>
      </c>
      <c r="G269" s="17">
        <f t="shared" si="35"/>
        <v>50.36</v>
      </c>
      <c r="J269" s="17">
        <f t="array" ref="J269">IF(ROW(J269)&lt;=COUNTA(D:D)*2,IF(MOD(ROW(J269),2)=1,INDEX(D:D,(ROW(J269)+1)/2),INDEX(F:F,ROW(J269)/2)),"")</f>
        <v>-265.9</v>
      </c>
      <c r="K269" s="17">
        <f t="array" ref="K269">IF(ROW(K269)&lt;=COUNTA(E:E)*2,IF(MOD(ROW(K269),2)=1,INDEX(E:E,(ROW(K269)+1)/2),INDEX(G:G,ROW(K269)/2)),"")</f>
        <v>51.14656</v>
      </c>
    </row>
    <row r="270" spans="1:11" x14ac:dyDescent="0.25">
      <c r="A270" s="17"/>
      <c r="B270" s="17"/>
      <c r="D270" s="17">
        <f t="shared" si="32"/>
        <v>-535.9</v>
      </c>
      <c r="E270" s="17">
        <f t="shared" si="33"/>
        <v>50.32</v>
      </c>
      <c r="F270" s="17">
        <f t="shared" si="34"/>
        <v>-537.9</v>
      </c>
      <c r="G270" s="17">
        <f t="shared" si="35"/>
        <v>50.32</v>
      </c>
      <c r="J270" s="17">
        <f t="array" ref="J270">IF(ROW(J270)&lt;=COUNTA(D:D)*2,IF(MOD(ROW(J270),2)=1,INDEX(D:D,(ROW(J270)+1)/2),INDEX(F:F,ROW(J270)/2)),"")</f>
        <v>-267.9</v>
      </c>
      <c r="K270" s="17">
        <f t="array" ref="K270">IF(ROW(K270)&lt;=COUNTA(E:E)*2,IF(MOD(ROW(K270),2)=1,INDEX(E:E,(ROW(K270)+1)/2),INDEX(G:G,ROW(K270)/2)),"")</f>
        <v>51.14656</v>
      </c>
    </row>
    <row r="271" spans="1:11" x14ac:dyDescent="0.25">
      <c r="A271" s="17"/>
      <c r="B271" s="17"/>
      <c r="D271" s="17">
        <f t="shared" si="32"/>
        <v>-537.9</v>
      </c>
      <c r="E271" s="17">
        <f t="shared" si="33"/>
        <v>50.32</v>
      </c>
      <c r="F271" s="17">
        <f t="shared" si="34"/>
        <v>-539.9</v>
      </c>
      <c r="G271" s="17">
        <f t="shared" si="35"/>
        <v>50.32</v>
      </c>
      <c r="J271" s="17">
        <f t="array" ref="J271">IF(ROW(J271)&lt;=COUNTA(D:D)*2,IF(MOD(ROW(J271),2)=1,INDEX(D:D,(ROW(J271)+1)/2),INDEX(F:F,ROW(J271)/2)),"")</f>
        <v>-267.9</v>
      </c>
      <c r="K271" s="17">
        <f t="array" ref="K271">IF(ROW(K271)&lt;=COUNTA(E:E)*2,IF(MOD(ROW(K271),2)=1,INDEX(E:E,(ROW(K271)+1)/2),INDEX(G:G,ROW(K271)/2)),"")</f>
        <v>51.16448</v>
      </c>
    </row>
    <row r="272" spans="1:11" x14ac:dyDescent="0.25">
      <c r="A272" s="17"/>
      <c r="B272" s="17"/>
      <c r="D272" s="17">
        <f t="shared" si="32"/>
        <v>-539.9</v>
      </c>
      <c r="E272" s="17">
        <f t="shared" si="33"/>
        <v>50.36</v>
      </c>
      <c r="F272" s="17">
        <f t="shared" si="34"/>
        <v>-541.9</v>
      </c>
      <c r="G272" s="17">
        <f t="shared" si="35"/>
        <v>50.36</v>
      </c>
      <c r="J272" s="17">
        <f t="array" ref="J272">IF(ROW(J272)&lt;=COUNTA(D:D)*2,IF(MOD(ROW(J272),2)=1,INDEX(D:D,(ROW(J272)+1)/2),INDEX(F:F,ROW(J272)/2)),"")</f>
        <v>-269.9</v>
      </c>
      <c r="K272" s="17">
        <f t="array" ref="K272">IF(ROW(K272)&lt;=COUNTA(E:E)*2,IF(MOD(ROW(K272),2)=1,INDEX(E:E,(ROW(K272)+1)/2),INDEX(G:G,ROW(K272)/2)),"")</f>
        <v>51.16448</v>
      </c>
    </row>
    <row r="273" spans="1:11" x14ac:dyDescent="0.25">
      <c r="A273" s="17"/>
      <c r="B273" s="17"/>
      <c r="D273" s="17">
        <f t="shared" si="32"/>
        <v>-541.9</v>
      </c>
      <c r="E273" s="17">
        <f t="shared" si="33"/>
        <v>50.36</v>
      </c>
      <c r="F273" s="17">
        <f t="shared" si="34"/>
        <v>-543.9</v>
      </c>
      <c r="G273" s="17">
        <f t="shared" si="35"/>
        <v>50.36</v>
      </c>
      <c r="J273" s="17">
        <f t="array" ref="J273">IF(ROW(J273)&lt;=COUNTA(D:D)*2,IF(MOD(ROW(J273),2)=1,INDEX(D:D,(ROW(J273)+1)/2),INDEX(F:F,ROW(J273)/2)),"")</f>
        <v>-269.9</v>
      </c>
      <c r="K273" s="17">
        <f t="array" ref="K273">IF(ROW(K273)&lt;=COUNTA(E:E)*2,IF(MOD(ROW(K273),2)=1,INDEX(E:E,(ROW(K273)+1)/2),INDEX(G:G,ROW(K273)/2)),"")</f>
        <v>51.17472</v>
      </c>
    </row>
    <row r="274" spans="1:11" x14ac:dyDescent="0.25">
      <c r="A274" s="17"/>
      <c r="B274" s="17"/>
      <c r="D274" s="17">
        <f t="shared" si="32"/>
        <v>-543.9</v>
      </c>
      <c r="E274" s="17">
        <f t="shared" si="33"/>
        <v>50.36</v>
      </c>
      <c r="F274" s="17">
        <f t="shared" si="34"/>
        <v>-545.9</v>
      </c>
      <c r="G274" s="17">
        <f t="shared" si="35"/>
        <v>50.36</v>
      </c>
      <c r="J274" s="17">
        <f t="array" ref="J274">IF(ROW(J274)&lt;=COUNTA(D:D)*2,IF(MOD(ROW(J274),2)=1,INDEX(D:D,(ROW(J274)+1)/2),INDEX(F:F,ROW(J274)/2)),"")</f>
        <v>-271.9</v>
      </c>
      <c r="K274" s="17">
        <f t="array" ref="K274">IF(ROW(K274)&lt;=COUNTA(E:E)*2,IF(MOD(ROW(K274),2)=1,INDEX(E:E,(ROW(K274)+1)/2),INDEX(G:G,ROW(K274)/2)),"")</f>
        <v>51.17472</v>
      </c>
    </row>
    <row r="275" spans="1:11" x14ac:dyDescent="0.25">
      <c r="A275" s="17"/>
      <c r="B275" s="17"/>
      <c r="D275" s="17">
        <f t="shared" si="32"/>
        <v>-545.9</v>
      </c>
      <c r="E275" s="17">
        <f t="shared" si="33"/>
        <v>50.36</v>
      </c>
      <c r="F275" s="17">
        <f t="shared" si="34"/>
        <v>-547.9</v>
      </c>
      <c r="G275" s="17">
        <f t="shared" si="35"/>
        <v>50.36</v>
      </c>
      <c r="J275" s="17">
        <f t="array" ref="J275">IF(ROW(J275)&lt;=COUNTA(D:D)*2,IF(MOD(ROW(J275),2)=1,INDEX(D:D,(ROW(J275)+1)/2),INDEX(F:F,ROW(J275)/2)),"")</f>
        <v>-271.9</v>
      </c>
      <c r="K275" s="17">
        <f t="array" ref="K275">IF(ROW(K275)&lt;=COUNTA(E:E)*2,IF(MOD(ROW(K275),2)=1,INDEX(E:E,(ROW(K275)+1)/2),INDEX(G:G,ROW(K275)/2)),"")</f>
        <v>51.19392</v>
      </c>
    </row>
    <row r="276" spans="1:11" x14ac:dyDescent="0.25">
      <c r="A276" s="17"/>
      <c r="B276" s="17"/>
      <c r="D276" s="17">
        <f t="shared" si="32"/>
        <v>-547.9</v>
      </c>
      <c r="E276" s="17">
        <f t="shared" si="33"/>
        <v>50.36</v>
      </c>
      <c r="F276" s="17">
        <f t="shared" si="34"/>
        <v>-549.9</v>
      </c>
      <c r="G276" s="17">
        <f t="shared" si="35"/>
        <v>50.36</v>
      </c>
      <c r="J276" s="17">
        <f t="array" ref="J276">IF(ROW(J276)&lt;=COUNTA(D:D)*2,IF(MOD(ROW(J276),2)=1,INDEX(D:D,(ROW(J276)+1)/2),INDEX(F:F,ROW(J276)/2)),"")</f>
        <v>-273.9</v>
      </c>
      <c r="K276" s="17">
        <f t="array" ref="K276">IF(ROW(K276)&lt;=COUNTA(E:E)*2,IF(MOD(ROW(K276),2)=1,INDEX(E:E,(ROW(K276)+1)/2),INDEX(G:G,ROW(K276)/2)),"")</f>
        <v>51.19392</v>
      </c>
    </row>
    <row r="277" spans="1:11" x14ac:dyDescent="0.25">
      <c r="A277" s="17"/>
      <c r="B277" s="17"/>
      <c r="D277" s="17">
        <f t="shared" si="32"/>
        <v>-549.9</v>
      </c>
      <c r="E277" s="17">
        <f t="shared" si="33"/>
        <v>50.36</v>
      </c>
      <c r="F277" s="17">
        <f t="shared" si="34"/>
        <v>-551.9</v>
      </c>
      <c r="G277" s="17">
        <f t="shared" si="35"/>
        <v>50.36</v>
      </c>
      <c r="J277" s="17">
        <f t="array" ref="J277">IF(ROW(J277)&lt;=COUNTA(D:D)*2,IF(MOD(ROW(J277),2)=1,INDEX(D:D,(ROW(J277)+1)/2),INDEX(F:F,ROW(J277)/2)),"")</f>
        <v>-273.9</v>
      </c>
      <c r="K277" s="17">
        <f t="array" ref="K277">IF(ROW(K277)&lt;=COUNTA(E:E)*2,IF(MOD(ROW(K277),2)=1,INDEX(E:E,(ROW(K277)+1)/2),INDEX(G:G,ROW(K277)/2)),"")</f>
        <v>51.1194</v>
      </c>
    </row>
    <row r="278" spans="1:11" x14ac:dyDescent="0.25">
      <c r="A278" s="17"/>
      <c r="B278" s="17"/>
      <c r="D278" s="17">
        <f t="shared" si="32"/>
        <v>-551.9</v>
      </c>
      <c r="E278" s="17">
        <f t="shared" si="33"/>
        <v>50.36</v>
      </c>
      <c r="F278" s="17">
        <f t="shared" si="34"/>
        <v>-553.9</v>
      </c>
      <c r="G278" s="17">
        <f t="shared" si="35"/>
        <v>50.36</v>
      </c>
      <c r="J278" s="17">
        <f t="array" ref="J278">IF(ROW(J278)&lt;=COUNTA(D:D)*2,IF(MOD(ROW(J278),2)=1,INDEX(D:D,(ROW(J278)+1)/2),INDEX(F:F,ROW(J278)/2)),"")</f>
        <v>-275.9</v>
      </c>
      <c r="K278" s="17">
        <f t="array" ref="K278">IF(ROW(K278)&lt;=COUNTA(E:E)*2,IF(MOD(ROW(K278),2)=1,INDEX(E:E,(ROW(K278)+1)/2),INDEX(G:G,ROW(K278)/2)),"")</f>
        <v>51.1194</v>
      </c>
    </row>
    <row r="279" spans="1:11" x14ac:dyDescent="0.25">
      <c r="A279" s="17"/>
      <c r="B279" s="17"/>
      <c r="D279" s="17">
        <f t="shared" si="32"/>
        <v>-553.9</v>
      </c>
      <c r="E279" s="17">
        <f t="shared" si="33"/>
        <v>50.36</v>
      </c>
      <c r="F279" s="17">
        <f t="shared" si="34"/>
        <v>-555.9</v>
      </c>
      <c r="G279" s="17">
        <f t="shared" si="35"/>
        <v>50.36</v>
      </c>
      <c r="J279" s="17">
        <f t="array" ref="J279">IF(ROW(J279)&lt;=COUNTA(D:D)*2,IF(MOD(ROW(J279),2)=1,INDEX(D:D,(ROW(J279)+1)/2),INDEX(F:F,ROW(J279)/2)),"")</f>
        <v>-275.9</v>
      </c>
      <c r="K279" s="17">
        <f t="array" ref="K279">IF(ROW(K279)&lt;=COUNTA(E:E)*2,IF(MOD(ROW(K279),2)=1,INDEX(E:E,(ROW(K279)+1)/2),INDEX(G:G,ROW(K279)/2)),"")</f>
        <v>51.21216</v>
      </c>
    </row>
    <row r="280" spans="1:11" x14ac:dyDescent="0.25">
      <c r="A280" s="17"/>
      <c r="B280" s="17"/>
      <c r="D280" s="17">
        <f t="shared" si="32"/>
        <v>-555.9</v>
      </c>
      <c r="E280" s="17">
        <f t="shared" si="33"/>
        <v>50.32</v>
      </c>
      <c r="F280" s="17">
        <f t="shared" si="34"/>
        <v>-557.9</v>
      </c>
      <c r="G280" s="17">
        <f t="shared" si="35"/>
        <v>50.32</v>
      </c>
      <c r="J280" s="17">
        <f t="array" ref="J280">IF(ROW(J280)&lt;=COUNTA(D:D)*2,IF(MOD(ROW(J280),2)=1,INDEX(D:D,(ROW(J280)+1)/2),INDEX(F:F,ROW(J280)/2)),"")</f>
        <v>-277.9</v>
      </c>
      <c r="K280" s="17">
        <f t="array" ref="K280">IF(ROW(K280)&lt;=COUNTA(E:E)*2,IF(MOD(ROW(K280),2)=1,INDEX(E:E,(ROW(K280)+1)/2),INDEX(G:G,ROW(K280)/2)),"")</f>
        <v>51.21216</v>
      </c>
    </row>
    <row r="281" spans="1:11" x14ac:dyDescent="0.25">
      <c r="A281" s="17"/>
      <c r="B281" s="17"/>
      <c r="D281" s="17">
        <f t="shared" si="32"/>
        <v>-557.9</v>
      </c>
      <c r="E281" s="17">
        <f t="shared" si="33"/>
        <v>50.36</v>
      </c>
      <c r="F281" s="17">
        <f t="shared" si="34"/>
        <v>-559.9</v>
      </c>
      <c r="G281" s="17">
        <f t="shared" si="35"/>
        <v>50.36</v>
      </c>
      <c r="J281" s="17">
        <f t="array" ref="J281">IF(ROW(J281)&lt;=COUNTA(D:D)*2,IF(MOD(ROW(J281),2)=1,INDEX(D:D,(ROW(J281)+1)/2),INDEX(F:F,ROW(J281)/2)),"")</f>
        <v>-277.9</v>
      </c>
      <c r="K281" s="17">
        <f t="array" ref="K281">IF(ROW(K281)&lt;=COUNTA(E:E)*2,IF(MOD(ROW(K281),2)=1,INDEX(E:E,(ROW(K281)+1)/2),INDEX(G:G,ROW(K281)/2)),"")</f>
        <v>51.228</v>
      </c>
    </row>
    <row r="282" spans="1:11" x14ac:dyDescent="0.25">
      <c r="A282" s="17"/>
      <c r="B282" s="17"/>
      <c r="D282" s="17">
        <f t="shared" si="32"/>
        <v>-559.9</v>
      </c>
      <c r="E282" s="17">
        <f t="shared" si="33"/>
        <v>50.36</v>
      </c>
      <c r="F282" s="17">
        <f t="shared" si="34"/>
        <v>-561.9</v>
      </c>
      <c r="G282" s="17">
        <f t="shared" si="35"/>
        <v>50.36</v>
      </c>
      <c r="J282" s="17">
        <f t="array" ref="J282">IF(ROW(J282)&lt;=COUNTA(D:D)*2,IF(MOD(ROW(J282),2)=1,INDEX(D:D,(ROW(J282)+1)/2),INDEX(F:F,ROW(J282)/2)),"")</f>
        <v>-279.9</v>
      </c>
      <c r="K282" s="17">
        <f t="array" ref="K282">IF(ROW(K282)&lt;=COUNTA(E:E)*2,IF(MOD(ROW(K282),2)=1,INDEX(E:E,(ROW(K282)+1)/2),INDEX(G:G,ROW(K282)/2)),"")</f>
        <v>51.228</v>
      </c>
    </row>
    <row r="283" spans="1:11" x14ac:dyDescent="0.25">
      <c r="A283" s="17"/>
      <c r="B283" s="17"/>
      <c r="D283" s="17">
        <f t="shared" si="32"/>
        <v>-561.9</v>
      </c>
      <c r="E283" s="17">
        <f t="shared" si="33"/>
        <v>50.36</v>
      </c>
      <c r="F283" s="17">
        <f t="shared" si="34"/>
        <v>-563.9</v>
      </c>
      <c r="G283" s="17">
        <f t="shared" si="35"/>
        <v>50.36</v>
      </c>
      <c r="J283" s="17">
        <f t="array" ref="J283">IF(ROW(J283)&lt;=COUNTA(D:D)*2,IF(MOD(ROW(J283),2)=1,INDEX(D:D,(ROW(J283)+1)/2),INDEX(F:F,ROW(J283)/2)),"")</f>
        <v>-279.9</v>
      </c>
      <c r="K283" s="17">
        <f t="array" ref="K283">IF(ROW(K283)&lt;=COUNTA(E:E)*2,IF(MOD(ROW(K283),2)=1,INDEX(E:E,(ROW(K283)+1)/2),INDEX(G:G,ROW(K283)/2)),"")</f>
        <v>51.24192</v>
      </c>
    </row>
    <row r="284" spans="1:11" x14ac:dyDescent="0.25">
      <c r="A284" s="17"/>
      <c r="B284" s="17"/>
      <c r="D284" s="17">
        <f t="shared" si="32"/>
        <v>-563.9</v>
      </c>
      <c r="E284" s="17">
        <f t="shared" si="33"/>
        <v>50.36</v>
      </c>
      <c r="F284" s="17">
        <f t="shared" si="34"/>
        <v>-565.9</v>
      </c>
      <c r="G284" s="17">
        <f t="shared" si="35"/>
        <v>50.36</v>
      </c>
      <c r="J284" s="17">
        <f t="array" ref="J284">IF(ROW(J284)&lt;=COUNTA(D:D)*2,IF(MOD(ROW(J284),2)=1,INDEX(D:D,(ROW(J284)+1)/2),INDEX(F:F,ROW(J284)/2)),"")</f>
        <v>-281.9</v>
      </c>
      <c r="K284" s="17">
        <f t="array" ref="K284">IF(ROW(K284)&lt;=COUNTA(E:E)*2,IF(MOD(ROW(K284),2)=1,INDEX(E:E,(ROW(K284)+1)/2),INDEX(G:G,ROW(K284)/2)),"")</f>
        <v>51.24192</v>
      </c>
    </row>
    <row r="285" spans="1:11" x14ac:dyDescent="0.25">
      <c r="A285" s="17"/>
      <c r="B285" s="17"/>
      <c r="D285" s="17">
        <f t="shared" si="32"/>
        <v>-565.9</v>
      </c>
      <c r="E285" s="17">
        <f t="shared" si="33"/>
        <v>50.68</v>
      </c>
      <c r="F285" s="17">
        <f t="shared" si="34"/>
        <v>-567.9</v>
      </c>
      <c r="G285" s="17">
        <f t="shared" si="35"/>
        <v>50.68</v>
      </c>
      <c r="J285" s="17">
        <f t="array" ref="J285">IF(ROW(J285)&lt;=COUNTA(D:D)*2,IF(MOD(ROW(J285),2)=1,INDEX(D:D,(ROW(J285)+1)/2),INDEX(F:F,ROW(J285)/2)),"")</f>
        <v>-281.9</v>
      </c>
      <c r="K285" s="17">
        <f t="array" ref="K285">IF(ROW(K285)&lt;=COUNTA(E:E)*2,IF(MOD(ROW(K285),2)=1,INDEX(E:E,(ROW(K285)+1)/2),INDEX(G:G,ROW(K285)/2)),"")</f>
        <v>50.77284</v>
      </c>
    </row>
    <row r="286" spans="1:11" x14ac:dyDescent="0.25">
      <c r="A286" s="17"/>
      <c r="B286" s="17"/>
      <c r="D286" s="17">
        <f t="shared" si="32"/>
        <v>-567.9</v>
      </c>
      <c r="E286" s="17">
        <f t="shared" si="33"/>
        <v>49.8</v>
      </c>
      <c r="F286" s="17">
        <f t="shared" si="34"/>
        <v>-569.9</v>
      </c>
      <c r="G286" s="17">
        <f t="shared" si="35"/>
        <v>49.8</v>
      </c>
      <c r="J286" s="17">
        <f t="array" ref="J286">IF(ROW(J286)&lt;=COUNTA(D:D)*2,IF(MOD(ROW(J286),2)=1,INDEX(D:D,(ROW(J286)+1)/2),INDEX(F:F,ROW(J286)/2)),"")</f>
        <v>-283.9</v>
      </c>
      <c r="K286" s="17">
        <f t="array" ref="K286">IF(ROW(K286)&lt;=COUNTA(E:E)*2,IF(MOD(ROW(K286),2)=1,INDEX(E:E,(ROW(K286)+1)/2),INDEX(G:G,ROW(K286)/2)),"")</f>
        <v>50.77284</v>
      </c>
    </row>
    <row r="287" spans="1:11" x14ac:dyDescent="0.25">
      <c r="A287" s="17"/>
      <c r="B287" s="17"/>
      <c r="D287" s="17">
        <f t="shared" si="32"/>
        <v>-569.9</v>
      </c>
      <c r="E287" s="17">
        <f t="shared" si="33"/>
        <v>50.36</v>
      </c>
      <c r="F287" s="17">
        <f t="shared" si="34"/>
        <v>-571.9</v>
      </c>
      <c r="G287" s="17">
        <f t="shared" si="35"/>
        <v>50.36</v>
      </c>
      <c r="J287" s="17">
        <f t="array" ref="J287">IF(ROW(J287)&lt;=COUNTA(D:D)*2,IF(MOD(ROW(J287),2)=1,INDEX(D:D,(ROW(J287)+1)/2),INDEX(F:F,ROW(J287)/2)),"")</f>
        <v>-283.9</v>
      </c>
      <c r="K287" s="17">
        <f t="array" ref="K287">IF(ROW(K287)&lt;=COUNTA(E:E)*2,IF(MOD(ROW(K287),2)=1,INDEX(E:E,(ROW(K287)+1)/2),INDEX(G:G,ROW(K287)/2)),"")</f>
        <v>51.2536</v>
      </c>
    </row>
    <row r="288" spans="1:11" x14ac:dyDescent="0.25">
      <c r="A288" s="17"/>
      <c r="B288" s="17"/>
      <c r="D288" s="17">
        <f t="shared" si="32"/>
        <v>-571.9</v>
      </c>
      <c r="E288" s="17">
        <f t="shared" si="33"/>
        <v>50.32</v>
      </c>
      <c r="F288" s="17">
        <f t="shared" si="34"/>
        <v>-573.9</v>
      </c>
      <c r="G288" s="17">
        <f t="shared" si="35"/>
        <v>50.32</v>
      </c>
      <c r="J288" s="17">
        <f t="array" ref="J288">IF(ROW(J288)&lt;=COUNTA(D:D)*2,IF(MOD(ROW(J288),2)=1,INDEX(D:D,(ROW(J288)+1)/2),INDEX(F:F,ROW(J288)/2)),"")</f>
        <v>-285.9</v>
      </c>
      <c r="K288" s="17">
        <f t="array" ref="K288">IF(ROW(K288)&lt;=COUNTA(E:E)*2,IF(MOD(ROW(K288),2)=1,INDEX(E:E,(ROW(K288)+1)/2),INDEX(G:G,ROW(K288)/2)),"")</f>
        <v>51.2536</v>
      </c>
    </row>
    <row r="289" spans="1:11" x14ac:dyDescent="0.25">
      <c r="A289" s="17"/>
      <c r="B289" s="17"/>
      <c r="D289" s="17">
        <f t="shared" si="32"/>
        <v>-573.9</v>
      </c>
      <c r="E289" s="17">
        <f t="shared" si="33"/>
        <v>50.36</v>
      </c>
      <c r="F289" s="17">
        <f t="shared" si="34"/>
        <v>-575.9</v>
      </c>
      <c r="G289" s="17">
        <f t="shared" si="35"/>
        <v>50.36</v>
      </c>
      <c r="J289" s="17">
        <f t="array" ref="J289">IF(ROW(J289)&lt;=COUNTA(D:D)*2,IF(MOD(ROW(J289),2)=1,INDEX(D:D,(ROW(J289)+1)/2),INDEX(F:F,ROW(J289)/2)),"")</f>
        <v>-285.9</v>
      </c>
      <c r="K289" s="17">
        <f t="array" ref="K289">IF(ROW(K289)&lt;=COUNTA(E:E)*2,IF(MOD(ROW(K289),2)=1,INDEX(E:E,(ROW(K289)+1)/2),INDEX(G:G,ROW(K289)/2)),"")</f>
        <v>51.27408</v>
      </c>
    </row>
    <row r="290" spans="1:11" x14ac:dyDescent="0.25">
      <c r="A290" s="17"/>
      <c r="B290" s="17"/>
      <c r="D290" s="17">
        <f t="shared" ref="D290:D321" si="36">0-A289</f>
        <v>-575.9</v>
      </c>
      <c r="E290" s="17">
        <f t="shared" ref="E290:E321" si="37">49+(B290)*4</f>
        <v>50.36</v>
      </c>
      <c r="F290" s="17">
        <f t="shared" ref="F290:F321" si="38">0-A290</f>
        <v>-577.9</v>
      </c>
      <c r="G290" s="17">
        <f t="shared" ref="G290:G321" si="39">49+(B290)*4</f>
        <v>50.36</v>
      </c>
      <c r="J290" s="17">
        <f t="array" ref="J290">IF(ROW(J290)&lt;=COUNTA(D:D)*2,IF(MOD(ROW(J290),2)=1,INDEX(D:D,(ROW(J290)+1)/2),INDEX(F:F,ROW(J290)/2)),"")</f>
        <v>-287.9</v>
      </c>
      <c r="K290" s="17">
        <f t="array" ref="K290">IF(ROW(K290)&lt;=COUNTA(E:E)*2,IF(MOD(ROW(K290),2)=1,INDEX(E:E,(ROW(K290)+1)/2),INDEX(G:G,ROW(K290)/2)),"")</f>
        <v>51.27408</v>
      </c>
    </row>
    <row r="291" spans="1:11" x14ac:dyDescent="0.25">
      <c r="A291" s="17"/>
      <c r="B291" s="17"/>
      <c r="D291" s="17">
        <f t="shared" si="36"/>
        <v>-577.9</v>
      </c>
      <c r="E291" s="17">
        <f t="shared" si="37"/>
        <v>50.36</v>
      </c>
      <c r="F291" s="17">
        <f t="shared" si="38"/>
        <v>-579.9</v>
      </c>
      <c r="G291" s="17">
        <f t="shared" si="39"/>
        <v>50.36</v>
      </c>
      <c r="J291" s="17">
        <f t="array" ref="J291">IF(ROW(J291)&lt;=COUNTA(D:D)*2,IF(MOD(ROW(J291),2)=1,INDEX(D:D,(ROW(J291)+1)/2),INDEX(F:F,ROW(J291)/2)),"")</f>
        <v>-287.9</v>
      </c>
      <c r="K291" s="17">
        <f t="array" ref="K291">IF(ROW(K291)&lt;=COUNTA(E:E)*2,IF(MOD(ROW(K291),2)=1,INDEX(E:E,(ROW(K291)+1)/2),INDEX(G:G,ROW(K291)/2)),"")</f>
        <v>51.2872</v>
      </c>
    </row>
    <row r="292" spans="1:11" x14ac:dyDescent="0.25">
      <c r="A292" s="17"/>
      <c r="B292" s="17"/>
      <c r="D292" s="17">
        <f t="shared" si="36"/>
        <v>-579.9</v>
      </c>
      <c r="E292" s="17">
        <f t="shared" si="37"/>
        <v>50.36</v>
      </c>
      <c r="F292" s="17">
        <f t="shared" si="38"/>
        <v>-581.9</v>
      </c>
      <c r="G292" s="17">
        <f t="shared" si="39"/>
        <v>50.36</v>
      </c>
      <c r="J292" s="17">
        <f t="array" ref="J292">IF(ROW(J292)&lt;=COUNTA(D:D)*2,IF(MOD(ROW(J292),2)=1,INDEX(D:D,(ROW(J292)+1)/2),INDEX(F:F,ROW(J292)/2)),"")</f>
        <v>-289.9</v>
      </c>
      <c r="K292" s="17">
        <f t="array" ref="K292">IF(ROW(K292)&lt;=COUNTA(E:E)*2,IF(MOD(ROW(K292),2)=1,INDEX(E:E,(ROW(K292)+1)/2),INDEX(G:G,ROW(K292)/2)),"")</f>
        <v>51.2872</v>
      </c>
    </row>
    <row r="293" spans="1:11" x14ac:dyDescent="0.25">
      <c r="A293" s="17"/>
      <c r="B293" s="17"/>
      <c r="D293" s="17">
        <f t="shared" si="36"/>
        <v>-581.9</v>
      </c>
      <c r="E293" s="17">
        <f t="shared" si="37"/>
        <v>50.36</v>
      </c>
      <c r="F293" s="17">
        <f t="shared" si="38"/>
        <v>-583.9</v>
      </c>
      <c r="G293" s="17">
        <f t="shared" si="39"/>
        <v>50.36</v>
      </c>
      <c r="J293" s="17">
        <f t="array" ref="J293">IF(ROW(J293)&lt;=COUNTA(D:D)*2,IF(MOD(ROW(J293),2)=1,INDEX(D:D,(ROW(J293)+1)/2),INDEX(F:F,ROW(J293)/2)),"")</f>
        <v>-289.9</v>
      </c>
      <c r="K293" s="17">
        <f t="array" ref="K293">IF(ROW(K293)&lt;=COUNTA(E:E)*2,IF(MOD(ROW(K293),2)=1,INDEX(E:E,(ROW(K293)+1)/2),INDEX(G:G,ROW(K293)/2)),"")</f>
        <v>50.77964</v>
      </c>
    </row>
    <row r="294" spans="1:11" x14ac:dyDescent="0.25">
      <c r="A294" s="17"/>
      <c r="B294" s="17"/>
      <c r="D294" s="17">
        <f t="shared" si="36"/>
        <v>-583.9</v>
      </c>
      <c r="E294" s="17">
        <f t="shared" si="37"/>
        <v>50.36</v>
      </c>
      <c r="F294" s="17">
        <f t="shared" si="38"/>
        <v>-585.9</v>
      </c>
      <c r="G294" s="17">
        <f t="shared" si="39"/>
        <v>50.36</v>
      </c>
      <c r="J294" s="17">
        <f t="array" ref="J294">IF(ROW(J294)&lt;=COUNTA(D:D)*2,IF(MOD(ROW(J294),2)=1,INDEX(D:D,(ROW(J294)+1)/2),INDEX(F:F,ROW(J294)/2)),"")</f>
        <v>-291.9</v>
      </c>
      <c r="K294" s="17">
        <f t="array" ref="K294">IF(ROW(K294)&lt;=COUNTA(E:E)*2,IF(MOD(ROW(K294),2)=1,INDEX(E:E,(ROW(K294)+1)/2),INDEX(G:G,ROW(K294)/2)),"")</f>
        <v>50.77964</v>
      </c>
    </row>
    <row r="295" spans="1:11" x14ac:dyDescent="0.25">
      <c r="A295" s="17"/>
      <c r="B295" s="17"/>
      <c r="D295" s="17">
        <f t="shared" si="36"/>
        <v>-585.9</v>
      </c>
      <c r="E295" s="17">
        <f t="shared" si="37"/>
        <v>50.36</v>
      </c>
      <c r="F295" s="17">
        <f t="shared" si="38"/>
        <v>-587.9</v>
      </c>
      <c r="G295" s="17">
        <f t="shared" si="39"/>
        <v>50.36</v>
      </c>
      <c r="J295" s="17">
        <f t="array" ref="J295">IF(ROW(J295)&lt;=COUNTA(D:D)*2,IF(MOD(ROW(J295),2)=1,INDEX(D:D,(ROW(J295)+1)/2),INDEX(F:F,ROW(J295)/2)),"")</f>
        <v>-291.9</v>
      </c>
      <c r="K295" s="17">
        <f t="array" ref="K295">IF(ROW(K295)&lt;=COUNTA(E:E)*2,IF(MOD(ROW(K295),2)=1,INDEX(E:E,(ROW(K295)+1)/2),INDEX(G:G,ROW(K295)/2)),"")</f>
        <v>51.29632</v>
      </c>
    </row>
    <row r="296" spans="1:11" x14ac:dyDescent="0.25">
      <c r="A296" s="17"/>
      <c r="B296" s="17"/>
      <c r="D296" s="17">
        <f t="shared" si="36"/>
        <v>-587.9</v>
      </c>
      <c r="E296" s="17">
        <f t="shared" si="37"/>
        <v>50.16</v>
      </c>
      <c r="F296" s="17">
        <f t="shared" si="38"/>
        <v>-589.9</v>
      </c>
      <c r="G296" s="17">
        <f t="shared" si="39"/>
        <v>50.16</v>
      </c>
      <c r="J296" s="17">
        <f t="array" ref="J296">IF(ROW(J296)&lt;=COUNTA(D:D)*2,IF(MOD(ROW(J296),2)=1,INDEX(D:D,(ROW(J296)+1)/2),INDEX(F:F,ROW(J296)/2)),"")</f>
        <v>-293.9</v>
      </c>
      <c r="K296" s="17">
        <f t="array" ref="K296">IF(ROW(K296)&lt;=COUNTA(E:E)*2,IF(MOD(ROW(K296),2)=1,INDEX(E:E,(ROW(K296)+1)/2),INDEX(G:G,ROW(K296)/2)),"")</f>
        <v>51.29632</v>
      </c>
    </row>
    <row r="297" spans="1:11" x14ac:dyDescent="0.25">
      <c r="A297" s="17"/>
      <c r="B297" s="17"/>
      <c r="D297" s="17">
        <f t="shared" si="36"/>
        <v>-589.9</v>
      </c>
      <c r="E297" s="17">
        <f t="shared" si="37"/>
        <v>50.4</v>
      </c>
      <c r="F297" s="17">
        <f t="shared" si="38"/>
        <v>-591.9</v>
      </c>
      <c r="G297" s="17">
        <f t="shared" si="39"/>
        <v>50.4</v>
      </c>
      <c r="J297" s="17">
        <f t="array" ref="J297">IF(ROW(J297)&lt;=COUNTA(D:D)*2,IF(MOD(ROW(J297),2)=1,INDEX(D:D,(ROW(J297)+1)/2),INDEX(F:F,ROW(J297)/2)),"")</f>
        <v>-293.9</v>
      </c>
      <c r="K297" s="17">
        <f t="array" ref="K297">IF(ROW(K297)&lt;=COUNTA(E:E)*2,IF(MOD(ROW(K297),2)=1,INDEX(E:E,(ROW(K297)+1)/2),INDEX(G:G,ROW(K297)/2)),"")</f>
        <v>51.30656</v>
      </c>
    </row>
    <row r="298" spans="1:11" x14ac:dyDescent="0.25">
      <c r="A298" s="17"/>
      <c r="B298" s="17"/>
      <c r="D298" s="17">
        <f t="shared" si="36"/>
        <v>-591.9</v>
      </c>
      <c r="E298" s="17">
        <f t="shared" si="37"/>
        <v>50.36</v>
      </c>
      <c r="F298" s="17">
        <f t="shared" si="38"/>
        <v>-593.9</v>
      </c>
      <c r="G298" s="17">
        <f t="shared" si="39"/>
        <v>50.36</v>
      </c>
      <c r="J298" s="17">
        <f t="array" ref="J298">IF(ROW(J298)&lt;=COUNTA(D:D)*2,IF(MOD(ROW(J298),2)=1,INDEX(D:D,(ROW(J298)+1)/2),INDEX(F:F,ROW(J298)/2)),"")</f>
        <v>-295.9</v>
      </c>
      <c r="K298" s="17">
        <f t="array" ref="K298">IF(ROW(K298)&lt;=COUNTA(E:E)*2,IF(MOD(ROW(K298),2)=1,INDEX(E:E,(ROW(K298)+1)/2),INDEX(G:G,ROW(K298)/2)),"")</f>
        <v>51.30656</v>
      </c>
    </row>
    <row r="299" spans="1:11" x14ac:dyDescent="0.25">
      <c r="A299" s="17"/>
      <c r="B299" s="17"/>
      <c r="D299" s="17">
        <f t="shared" si="36"/>
        <v>-593.9</v>
      </c>
      <c r="E299" s="17">
        <f t="shared" si="37"/>
        <v>50.36</v>
      </c>
      <c r="F299" s="17">
        <f t="shared" si="38"/>
        <v>-595.9</v>
      </c>
      <c r="G299" s="17">
        <f t="shared" si="39"/>
        <v>50.36</v>
      </c>
      <c r="J299" s="17">
        <f t="array" ref="J299">IF(ROW(J299)&lt;=COUNTA(D:D)*2,IF(MOD(ROW(J299),2)=1,INDEX(D:D,(ROW(J299)+1)/2),INDEX(F:F,ROW(J299)/2)),"")</f>
        <v>-295.9</v>
      </c>
      <c r="K299" s="17">
        <f t="array" ref="K299">IF(ROW(K299)&lt;=COUNTA(E:E)*2,IF(MOD(ROW(K299),2)=1,INDEX(E:E,(ROW(K299)+1)/2),INDEX(G:G,ROW(K299)/2)),"")</f>
        <v>51.32448</v>
      </c>
    </row>
    <row r="300" spans="1:11" x14ac:dyDescent="0.25">
      <c r="A300" s="17"/>
      <c r="B300" s="17"/>
      <c r="D300" s="17">
        <f t="shared" si="36"/>
        <v>-595.9</v>
      </c>
      <c r="E300" s="17">
        <f t="shared" si="37"/>
        <v>50.36</v>
      </c>
      <c r="F300" s="17">
        <f t="shared" si="38"/>
        <v>-597.9</v>
      </c>
      <c r="G300" s="17">
        <f t="shared" si="39"/>
        <v>50.36</v>
      </c>
      <c r="J300" s="17">
        <f t="array" ref="J300">IF(ROW(J300)&lt;=COUNTA(D:D)*2,IF(MOD(ROW(J300),2)=1,INDEX(D:D,(ROW(J300)+1)/2),INDEX(F:F,ROW(J300)/2)),"")</f>
        <v>-297.9</v>
      </c>
      <c r="K300" s="17">
        <f t="array" ref="K300">IF(ROW(K300)&lt;=COUNTA(E:E)*2,IF(MOD(ROW(K300),2)=1,INDEX(E:E,(ROW(K300)+1)/2),INDEX(G:G,ROW(K300)/2)),"")</f>
        <v>51.32448</v>
      </c>
    </row>
    <row r="301" spans="1:11" x14ac:dyDescent="0.25">
      <c r="A301" s="17"/>
      <c r="B301" s="17"/>
      <c r="D301" s="17">
        <f t="shared" si="36"/>
        <v>-597.9</v>
      </c>
      <c r="E301" s="17">
        <f t="shared" si="37"/>
        <v>50.36</v>
      </c>
      <c r="F301" s="17">
        <f t="shared" si="38"/>
        <v>-599.9</v>
      </c>
      <c r="G301" s="17">
        <f t="shared" si="39"/>
        <v>50.36</v>
      </c>
      <c r="J301" s="17">
        <f t="array" ref="J301">IF(ROW(J301)&lt;=COUNTA(D:D)*2,IF(MOD(ROW(J301),2)=1,INDEX(D:D,(ROW(J301)+1)/2),INDEX(F:F,ROW(J301)/2)),"")</f>
        <v>-297.9</v>
      </c>
      <c r="K301" s="17">
        <f t="array" ref="K301">IF(ROW(K301)&lt;=COUNTA(E:E)*2,IF(MOD(ROW(K301),2)=1,INDEX(E:E,(ROW(K301)+1)/2),INDEX(G:G,ROW(K301)/2)),"")</f>
        <v>51.33808</v>
      </c>
    </row>
    <row r="302" spans="1:11" x14ac:dyDescent="0.25">
      <c r="A302" s="17"/>
      <c r="B302" s="17"/>
      <c r="D302" s="17">
        <f t="shared" si="36"/>
        <v>-599.9</v>
      </c>
      <c r="E302" s="17">
        <f t="shared" si="37"/>
        <v>50.36</v>
      </c>
      <c r="F302" s="17">
        <f t="shared" si="38"/>
        <v>-601.9</v>
      </c>
      <c r="G302" s="17">
        <f t="shared" si="39"/>
        <v>50.36</v>
      </c>
      <c r="J302" s="17">
        <f t="array" ref="J302">IF(ROW(J302)&lt;=COUNTA(D:D)*2,IF(MOD(ROW(J302),2)=1,INDEX(D:D,(ROW(J302)+1)/2),INDEX(F:F,ROW(J302)/2)),"")</f>
        <v>-299.9</v>
      </c>
      <c r="K302" s="17">
        <f t="array" ref="K302">IF(ROW(K302)&lt;=COUNTA(E:E)*2,IF(MOD(ROW(K302),2)=1,INDEX(E:E,(ROW(K302)+1)/2),INDEX(G:G,ROW(K302)/2)),"")</f>
        <v>51.33808</v>
      </c>
    </row>
    <row r="303" spans="1:11" x14ac:dyDescent="0.25">
      <c r="A303" s="17"/>
      <c r="B303" s="17"/>
      <c r="D303" s="17">
        <f t="shared" si="36"/>
        <v>-601.9</v>
      </c>
      <c r="E303" s="17">
        <f t="shared" si="37"/>
        <v>50.36</v>
      </c>
      <c r="F303" s="17">
        <f t="shared" si="38"/>
        <v>-603.9</v>
      </c>
      <c r="G303" s="17">
        <f t="shared" si="39"/>
        <v>50.36</v>
      </c>
      <c r="J303" s="17">
        <f t="array" ref="J303">IF(ROW(J303)&lt;=COUNTA(D:D)*2,IF(MOD(ROW(J303),2)=1,INDEX(D:D,(ROW(J303)+1)/2),INDEX(F:F,ROW(J303)/2)),"")</f>
        <v>-299.9</v>
      </c>
      <c r="K303" s="17">
        <f t="array" ref="K303">IF(ROW(K303)&lt;=COUNTA(E:E)*2,IF(MOD(ROW(K303),2)=1,INDEX(E:E,(ROW(K303)+1)/2),INDEX(G:G,ROW(K303)/2)),"")</f>
        <v>50.60224</v>
      </c>
    </row>
    <row r="304" spans="1:11" x14ac:dyDescent="0.25">
      <c r="A304" s="17"/>
      <c r="B304" s="17"/>
      <c r="D304" s="17">
        <f t="shared" si="36"/>
        <v>-603.9</v>
      </c>
      <c r="E304" s="17">
        <f t="shared" si="37"/>
        <v>50.4</v>
      </c>
      <c r="F304" s="17">
        <f t="shared" si="38"/>
        <v>-605.9</v>
      </c>
      <c r="G304" s="17">
        <f t="shared" si="39"/>
        <v>50.4</v>
      </c>
      <c r="J304" s="17">
        <f t="array" ref="J304">IF(ROW(J304)&lt;=COUNTA(D:D)*2,IF(MOD(ROW(J304),2)=1,INDEX(D:D,(ROW(J304)+1)/2),INDEX(F:F,ROW(J304)/2)),"")</f>
        <v>-301.9</v>
      </c>
      <c r="K304" s="17">
        <f t="array" ref="K304">IF(ROW(K304)&lt;=COUNTA(E:E)*2,IF(MOD(ROW(K304),2)=1,INDEX(E:E,(ROW(K304)+1)/2),INDEX(G:G,ROW(K304)/2)),"")</f>
        <v>50.60224</v>
      </c>
    </row>
    <row r="305" spans="1:11" x14ac:dyDescent="0.25">
      <c r="A305" s="17"/>
      <c r="B305" s="17"/>
      <c r="D305" s="17">
        <f t="shared" si="36"/>
        <v>-605.9</v>
      </c>
      <c r="E305" s="17">
        <f t="shared" si="37"/>
        <v>50.4</v>
      </c>
      <c r="F305" s="17">
        <f t="shared" si="38"/>
        <v>-607.9</v>
      </c>
      <c r="G305" s="17">
        <f t="shared" si="39"/>
        <v>50.4</v>
      </c>
      <c r="J305" s="17">
        <f t="array" ref="J305">IF(ROW(J305)&lt;=COUNTA(D:D)*2,IF(MOD(ROW(J305),2)=1,INDEX(D:D,(ROW(J305)+1)/2),INDEX(F:F,ROW(J305)/2)),"")</f>
        <v>-301.9</v>
      </c>
      <c r="K305" s="17">
        <f t="array" ref="K305">IF(ROW(K305)&lt;=COUNTA(E:E)*2,IF(MOD(ROW(K305),2)=1,INDEX(E:E,(ROW(K305)+1)/2),INDEX(G:G,ROW(K305)/2)),"")</f>
        <v>50.60976</v>
      </c>
    </row>
    <row r="306" spans="1:11" x14ac:dyDescent="0.25">
      <c r="A306" s="17"/>
      <c r="B306" s="17"/>
      <c r="D306" s="17">
        <f t="shared" si="36"/>
        <v>-607.9</v>
      </c>
      <c r="E306" s="17">
        <f t="shared" si="37"/>
        <v>50.4</v>
      </c>
      <c r="F306" s="17">
        <f t="shared" si="38"/>
        <v>-609.9</v>
      </c>
      <c r="G306" s="17">
        <f t="shared" si="39"/>
        <v>50.4</v>
      </c>
      <c r="J306" s="17">
        <f t="array" ref="J306">IF(ROW(J306)&lt;=COUNTA(D:D)*2,IF(MOD(ROW(J306),2)=1,INDEX(D:D,(ROW(J306)+1)/2),INDEX(F:F,ROW(J306)/2)),"")</f>
        <v>-303.9</v>
      </c>
      <c r="K306" s="17">
        <f t="array" ref="K306">IF(ROW(K306)&lt;=COUNTA(E:E)*2,IF(MOD(ROW(K306),2)=1,INDEX(E:E,(ROW(K306)+1)/2),INDEX(G:G,ROW(K306)/2)),"")</f>
        <v>50.60976</v>
      </c>
    </row>
    <row r="307" spans="1:11" x14ac:dyDescent="0.25">
      <c r="A307" s="17"/>
      <c r="B307" s="17"/>
      <c r="D307" s="17">
        <f t="shared" si="36"/>
        <v>-609.9</v>
      </c>
      <c r="E307" s="17">
        <f t="shared" si="37"/>
        <v>50.4</v>
      </c>
      <c r="F307" s="17">
        <f t="shared" si="38"/>
        <v>-611.9</v>
      </c>
      <c r="G307" s="17">
        <f t="shared" si="39"/>
        <v>50.4</v>
      </c>
      <c r="J307" s="17">
        <f t="array" ref="J307">IF(ROW(J307)&lt;=COUNTA(D:D)*2,IF(MOD(ROW(J307),2)=1,INDEX(D:D,(ROW(J307)+1)/2),INDEX(F:F,ROW(J307)/2)),"")</f>
        <v>-303.9</v>
      </c>
      <c r="K307" s="17">
        <f t="array" ref="K307">IF(ROW(K307)&lt;=COUNTA(E:E)*2,IF(MOD(ROW(K307),2)=1,INDEX(E:E,(ROW(K307)+1)/2),INDEX(G:G,ROW(K307)/2)),"")</f>
        <v>50.61456</v>
      </c>
    </row>
    <row r="308" spans="1:11" x14ac:dyDescent="0.25">
      <c r="A308" s="17"/>
      <c r="B308" s="17"/>
      <c r="D308" s="17">
        <f t="shared" si="36"/>
        <v>-611.9</v>
      </c>
      <c r="E308" s="17">
        <f t="shared" si="37"/>
        <v>50.4</v>
      </c>
      <c r="F308" s="17">
        <f t="shared" si="38"/>
        <v>-613.9</v>
      </c>
      <c r="G308" s="17">
        <f t="shared" si="39"/>
        <v>50.4</v>
      </c>
      <c r="J308" s="17">
        <f t="array" ref="J308">IF(ROW(J308)&lt;=COUNTA(D:D)*2,IF(MOD(ROW(J308),2)=1,INDEX(D:D,(ROW(J308)+1)/2),INDEX(F:F,ROW(J308)/2)),"")</f>
        <v>-305.9</v>
      </c>
      <c r="K308" s="17">
        <f t="array" ref="K308">IF(ROW(K308)&lt;=COUNTA(E:E)*2,IF(MOD(ROW(K308),2)=1,INDEX(E:E,(ROW(K308)+1)/2),INDEX(G:G,ROW(K308)/2)),"")</f>
        <v>50.61456</v>
      </c>
    </row>
    <row r="309" spans="1:11" x14ac:dyDescent="0.25">
      <c r="A309" s="17"/>
      <c r="B309" s="17"/>
      <c r="D309" s="17">
        <f t="shared" si="36"/>
        <v>-613.9</v>
      </c>
      <c r="E309" s="17">
        <f t="shared" si="37"/>
        <v>50.36</v>
      </c>
      <c r="F309" s="17">
        <f t="shared" si="38"/>
        <v>-615.9</v>
      </c>
      <c r="G309" s="17">
        <f t="shared" si="39"/>
        <v>50.36</v>
      </c>
      <c r="J309" s="17">
        <f t="array" ref="J309">IF(ROW(J309)&lt;=COUNTA(D:D)*2,IF(MOD(ROW(J309),2)=1,INDEX(D:D,(ROW(J309)+1)/2),INDEX(F:F,ROW(J309)/2)),"")</f>
        <v>-305.9</v>
      </c>
      <c r="K309" s="17">
        <f t="array" ref="K309">IF(ROW(K309)&lt;=COUNTA(E:E)*2,IF(MOD(ROW(K309),2)=1,INDEX(E:E,(ROW(K309)+1)/2),INDEX(G:G,ROW(K309)/2)),"")</f>
        <v>50.20796</v>
      </c>
    </row>
    <row r="310" spans="1:11" x14ac:dyDescent="0.25">
      <c r="A310" s="17"/>
      <c r="B310" s="17"/>
      <c r="D310" s="17">
        <f t="shared" si="36"/>
        <v>-615.9</v>
      </c>
      <c r="E310" s="17">
        <f t="shared" si="37"/>
        <v>50.36</v>
      </c>
      <c r="F310" s="17">
        <f t="shared" si="38"/>
        <v>-617.9</v>
      </c>
      <c r="G310" s="17">
        <f t="shared" si="39"/>
        <v>50.36</v>
      </c>
      <c r="J310" s="17">
        <f t="array" ref="J310">IF(ROW(J310)&lt;=COUNTA(D:D)*2,IF(MOD(ROW(J310),2)=1,INDEX(D:D,(ROW(J310)+1)/2),INDEX(F:F,ROW(J310)/2)),"")</f>
        <v>-307.9</v>
      </c>
      <c r="K310" s="17">
        <f t="array" ref="K310">IF(ROW(K310)&lt;=COUNTA(E:E)*2,IF(MOD(ROW(K310),2)=1,INDEX(E:E,(ROW(K310)+1)/2),INDEX(G:G,ROW(K310)/2)),"")</f>
        <v>50.20796</v>
      </c>
    </row>
    <row r="311" spans="1:11" x14ac:dyDescent="0.25">
      <c r="A311" s="17"/>
      <c r="B311" s="17"/>
      <c r="D311" s="17">
        <f t="shared" si="36"/>
        <v>-617.9</v>
      </c>
      <c r="E311" s="17">
        <f t="shared" si="37"/>
        <v>50.4</v>
      </c>
      <c r="F311" s="17">
        <f t="shared" si="38"/>
        <v>-619.9</v>
      </c>
      <c r="G311" s="17">
        <f t="shared" si="39"/>
        <v>50.4</v>
      </c>
      <c r="J311" s="17">
        <f t="array" ref="J311">IF(ROW(J311)&lt;=COUNTA(D:D)*2,IF(MOD(ROW(J311),2)=1,INDEX(D:D,(ROW(J311)+1)/2),INDEX(F:F,ROW(J311)/2)),"")</f>
        <v>-307.9</v>
      </c>
      <c r="K311" s="17">
        <f t="array" ref="K311">IF(ROW(K311)&lt;=COUNTA(E:E)*2,IF(MOD(ROW(K311),2)=1,INDEX(E:E,(ROW(K311)+1)/2),INDEX(G:G,ROW(K311)/2)),"")</f>
        <v>50.78812</v>
      </c>
    </row>
    <row r="312" spans="1:11" x14ac:dyDescent="0.25">
      <c r="A312" s="17"/>
      <c r="B312" s="17"/>
      <c r="D312" s="17">
        <f t="shared" si="36"/>
        <v>-619.9</v>
      </c>
      <c r="E312" s="17">
        <f t="shared" si="37"/>
        <v>50.44</v>
      </c>
      <c r="F312" s="17">
        <f t="shared" si="38"/>
        <v>-621.9</v>
      </c>
      <c r="G312" s="17">
        <f t="shared" si="39"/>
        <v>50.44</v>
      </c>
      <c r="J312" s="17">
        <f t="array" ref="J312">IF(ROW(J312)&lt;=COUNTA(D:D)*2,IF(MOD(ROW(J312),2)=1,INDEX(D:D,(ROW(J312)+1)/2),INDEX(F:F,ROW(J312)/2)),"")</f>
        <v>-309.9</v>
      </c>
      <c r="K312" s="17">
        <f t="array" ref="K312">IF(ROW(K312)&lt;=COUNTA(E:E)*2,IF(MOD(ROW(K312),2)=1,INDEX(E:E,(ROW(K312)+1)/2),INDEX(G:G,ROW(K312)/2)),"")</f>
        <v>50.78812</v>
      </c>
    </row>
    <row r="313" spans="1:11" x14ac:dyDescent="0.25">
      <c r="A313" s="17"/>
      <c r="B313" s="17"/>
      <c r="D313" s="17">
        <f t="shared" si="36"/>
        <v>-621.9</v>
      </c>
      <c r="E313" s="17">
        <f t="shared" si="37"/>
        <v>50.4</v>
      </c>
      <c r="F313" s="17">
        <f t="shared" si="38"/>
        <v>-623.9</v>
      </c>
      <c r="G313" s="17">
        <f t="shared" si="39"/>
        <v>50.4</v>
      </c>
      <c r="J313" s="17">
        <f t="array" ref="J313">IF(ROW(J313)&lt;=COUNTA(D:D)*2,IF(MOD(ROW(J313),2)=1,INDEX(D:D,(ROW(J313)+1)/2),INDEX(F:F,ROW(J313)/2)),"")</f>
        <v>-309.9</v>
      </c>
      <c r="K313" s="17">
        <f t="array" ref="K313">IF(ROW(K313)&lt;=COUNTA(E:E)*2,IF(MOD(ROW(K313),2)=1,INDEX(E:E,(ROW(K313)+1)/2),INDEX(G:G,ROW(K313)/2)),"")</f>
        <v>50.78932</v>
      </c>
    </row>
    <row r="314" spans="1:11" x14ac:dyDescent="0.25">
      <c r="A314" s="17"/>
      <c r="B314" s="17"/>
      <c r="D314" s="17">
        <f t="shared" si="36"/>
        <v>-623.9</v>
      </c>
      <c r="E314" s="17">
        <f t="shared" si="37"/>
        <v>50.44</v>
      </c>
      <c r="F314" s="17">
        <f t="shared" si="38"/>
        <v>-625.9</v>
      </c>
      <c r="G314" s="17">
        <f t="shared" si="39"/>
        <v>50.44</v>
      </c>
      <c r="J314" s="17">
        <f t="array" ref="J314">IF(ROW(J314)&lt;=COUNTA(D:D)*2,IF(MOD(ROW(J314),2)=1,INDEX(D:D,(ROW(J314)+1)/2),INDEX(F:F,ROW(J314)/2)),"")</f>
        <v>-311.9</v>
      </c>
      <c r="K314" s="17">
        <f t="array" ref="K314">IF(ROW(K314)&lt;=COUNTA(E:E)*2,IF(MOD(ROW(K314),2)=1,INDEX(E:E,(ROW(K314)+1)/2),INDEX(G:G,ROW(K314)/2)),"")</f>
        <v>50.78932</v>
      </c>
    </row>
    <row r="315" spans="1:11" x14ac:dyDescent="0.25">
      <c r="A315" s="17"/>
      <c r="B315" s="17"/>
      <c r="D315" s="17">
        <f t="shared" si="36"/>
        <v>-625.9</v>
      </c>
      <c r="E315" s="17">
        <f t="shared" si="37"/>
        <v>50.44</v>
      </c>
      <c r="F315" s="17">
        <f t="shared" si="38"/>
        <v>-627.9</v>
      </c>
      <c r="G315" s="17">
        <f t="shared" si="39"/>
        <v>50.44</v>
      </c>
      <c r="J315" s="17">
        <f t="array" ref="J315">IF(ROW(J315)&lt;=COUNTA(D:D)*2,IF(MOD(ROW(J315),2)=1,INDEX(D:D,(ROW(J315)+1)/2),INDEX(F:F,ROW(J315)/2)),"")</f>
        <v>-311.9</v>
      </c>
      <c r="K315" s="17">
        <f t="array" ref="K315">IF(ROW(K315)&lt;=COUNTA(E:E)*2,IF(MOD(ROW(K315),2)=1,INDEX(E:E,(ROW(K315)+1)/2),INDEX(G:G,ROW(K315)/2)),"")</f>
        <v>50.7978</v>
      </c>
    </row>
    <row r="316" spans="1:11" x14ac:dyDescent="0.25">
      <c r="A316" s="17"/>
      <c r="B316" s="17"/>
      <c r="D316" s="17">
        <f t="shared" si="36"/>
        <v>-627.9</v>
      </c>
      <c r="E316" s="17">
        <f t="shared" si="37"/>
        <v>50.4</v>
      </c>
      <c r="F316" s="17">
        <f t="shared" si="38"/>
        <v>-629.9</v>
      </c>
      <c r="G316" s="17">
        <f t="shared" si="39"/>
        <v>50.4</v>
      </c>
      <c r="J316" s="17">
        <f t="array" ref="J316">IF(ROW(J316)&lt;=COUNTA(D:D)*2,IF(MOD(ROW(J316),2)=1,INDEX(D:D,(ROW(J316)+1)/2),INDEX(F:F,ROW(J316)/2)),"")</f>
        <v>-313.9</v>
      </c>
      <c r="K316" s="17">
        <f t="array" ref="K316">IF(ROW(K316)&lt;=COUNTA(E:E)*2,IF(MOD(ROW(K316),2)=1,INDEX(E:E,(ROW(K316)+1)/2),INDEX(G:G,ROW(K316)/2)),"")</f>
        <v>50.7978</v>
      </c>
    </row>
    <row r="317" spans="1:11" x14ac:dyDescent="0.25">
      <c r="A317" s="17"/>
      <c r="B317" s="17"/>
      <c r="D317" s="17">
        <f t="shared" si="36"/>
        <v>-629.9</v>
      </c>
      <c r="E317" s="17">
        <f t="shared" si="37"/>
        <v>50.4</v>
      </c>
      <c r="F317" s="17">
        <f t="shared" si="38"/>
        <v>-631.9</v>
      </c>
      <c r="G317" s="17">
        <f t="shared" si="39"/>
        <v>50.4</v>
      </c>
      <c r="J317" s="17">
        <f t="array" ref="J317">IF(ROW(J317)&lt;=COUNTA(D:D)*2,IF(MOD(ROW(J317),2)=1,INDEX(D:D,(ROW(J317)+1)/2),INDEX(F:F,ROW(J317)/2)),"")</f>
        <v>-313.9</v>
      </c>
      <c r="K317" s="17">
        <f t="array" ref="K317">IF(ROW(K317)&lt;=COUNTA(E:E)*2,IF(MOD(ROW(K317),2)=1,INDEX(E:E,(ROW(K317)+1)/2),INDEX(G:G,ROW(K317)/2)),"")</f>
        <v>50.80556</v>
      </c>
    </row>
    <row r="318" spans="1:11" x14ac:dyDescent="0.25">
      <c r="A318" s="17"/>
      <c r="B318" s="17"/>
      <c r="D318" s="17">
        <f t="shared" si="36"/>
        <v>-631.9</v>
      </c>
      <c r="E318" s="17">
        <f t="shared" si="37"/>
        <v>50.4</v>
      </c>
      <c r="F318" s="17">
        <f t="shared" si="38"/>
        <v>-633.9</v>
      </c>
      <c r="G318" s="17">
        <f t="shared" si="39"/>
        <v>50.4</v>
      </c>
      <c r="J318" s="17">
        <f t="array" ref="J318">IF(ROW(J318)&lt;=COUNTA(D:D)*2,IF(MOD(ROW(J318),2)=1,INDEX(D:D,(ROW(J318)+1)/2),INDEX(F:F,ROW(J318)/2)),"")</f>
        <v>-315.9</v>
      </c>
      <c r="K318" s="17">
        <f t="array" ref="K318">IF(ROW(K318)&lt;=COUNTA(E:E)*2,IF(MOD(ROW(K318),2)=1,INDEX(E:E,(ROW(K318)+1)/2),INDEX(G:G,ROW(K318)/2)),"")</f>
        <v>50.80556</v>
      </c>
    </row>
    <row r="319" spans="1:11" x14ac:dyDescent="0.25">
      <c r="A319" s="17"/>
      <c r="B319" s="17"/>
      <c r="D319" s="17">
        <f t="shared" si="36"/>
        <v>-633.9</v>
      </c>
      <c r="E319" s="17">
        <f t="shared" si="37"/>
        <v>50.4</v>
      </c>
      <c r="F319" s="17">
        <f t="shared" si="38"/>
        <v>-635.9</v>
      </c>
      <c r="G319" s="17">
        <f t="shared" si="39"/>
        <v>50.4</v>
      </c>
      <c r="J319" s="17">
        <f t="array" ref="J319">IF(ROW(J319)&lt;=COUNTA(D:D)*2,IF(MOD(ROW(J319),2)=1,INDEX(D:D,(ROW(J319)+1)/2),INDEX(F:F,ROW(J319)/2)),"")</f>
        <v>-315.9</v>
      </c>
      <c r="K319" s="17">
        <f t="array" ref="K319">IF(ROW(K319)&lt;=COUNTA(E:E)*2,IF(MOD(ROW(K319),2)=1,INDEX(E:E,(ROW(K319)+1)/2),INDEX(G:G,ROW(K319)/2)),"")</f>
        <v>50.81236</v>
      </c>
    </row>
    <row r="320" spans="1:11" x14ac:dyDescent="0.25">
      <c r="A320" s="17"/>
      <c r="B320" s="17"/>
      <c r="D320" s="17">
        <f t="shared" si="36"/>
        <v>-635.9</v>
      </c>
      <c r="E320" s="17">
        <f t="shared" si="37"/>
        <v>50.44</v>
      </c>
      <c r="F320" s="17">
        <f t="shared" si="38"/>
        <v>-637.9</v>
      </c>
      <c r="G320" s="17">
        <f t="shared" si="39"/>
        <v>50.44</v>
      </c>
      <c r="J320" s="17">
        <f t="array" ref="J320">IF(ROW(J320)&lt;=COUNTA(D:D)*2,IF(MOD(ROW(J320),2)=1,INDEX(D:D,(ROW(J320)+1)/2),INDEX(F:F,ROW(J320)/2)),"")</f>
        <v>-317.9</v>
      </c>
      <c r="K320" s="17">
        <f t="array" ref="K320">IF(ROW(K320)&lt;=COUNTA(E:E)*2,IF(MOD(ROW(K320),2)=1,INDEX(E:E,(ROW(K320)+1)/2),INDEX(G:G,ROW(K320)/2)),"")</f>
        <v>50.81236</v>
      </c>
    </row>
    <row r="321" spans="1:11" x14ac:dyDescent="0.25">
      <c r="A321" s="17"/>
      <c r="B321" s="17"/>
      <c r="D321" s="17">
        <f t="shared" si="36"/>
        <v>-637.9</v>
      </c>
      <c r="E321" s="17">
        <f t="shared" si="37"/>
        <v>50.4</v>
      </c>
      <c r="F321" s="17">
        <f t="shared" si="38"/>
        <v>-639.9</v>
      </c>
      <c r="G321" s="17">
        <f t="shared" si="39"/>
        <v>50.4</v>
      </c>
      <c r="J321" s="17">
        <f t="array" ref="J321">IF(ROW(J321)&lt;=COUNTA(D:D)*2,IF(MOD(ROW(J321),2)=1,INDEX(D:D,(ROW(J321)+1)/2),INDEX(F:F,ROW(J321)/2)),"")</f>
        <v>-317.9</v>
      </c>
      <c r="K321" s="17">
        <f t="array" ref="K321">IF(ROW(K321)&lt;=COUNTA(E:E)*2,IF(MOD(ROW(K321),2)=1,INDEX(E:E,(ROW(K321)+1)/2),INDEX(G:G,ROW(K321)/2)),"")</f>
        <v>50.82132</v>
      </c>
    </row>
    <row r="322" spans="1:11" x14ac:dyDescent="0.25">
      <c r="A322" s="17"/>
      <c r="B322" s="17"/>
      <c r="D322" s="17">
        <f t="shared" ref="D322:D353" si="40">0-A321</f>
        <v>-639.9</v>
      </c>
      <c r="E322" s="17">
        <f t="shared" ref="E322:E353" si="41">49+(B322)*4</f>
        <v>50.44</v>
      </c>
      <c r="F322" s="17">
        <f t="shared" ref="F322:F353" si="42">0-A322</f>
        <v>-641.9</v>
      </c>
      <c r="G322" s="17">
        <f t="shared" ref="G322:G353" si="43">49+(B322)*4</f>
        <v>50.44</v>
      </c>
      <c r="J322" s="17">
        <f t="array" ref="J322">IF(ROW(J322)&lt;=COUNTA(D:D)*2,IF(MOD(ROW(J322),2)=1,INDEX(D:D,(ROW(J322)+1)/2),INDEX(F:F,ROW(J322)/2)),"")</f>
        <v>-319.9</v>
      </c>
      <c r="K322" s="17">
        <f t="array" ref="K322">IF(ROW(K322)&lt;=COUNTA(E:E)*2,IF(MOD(ROW(K322),2)=1,INDEX(E:E,(ROW(K322)+1)/2),INDEX(G:G,ROW(K322)/2)),"")</f>
        <v>50.82132</v>
      </c>
    </row>
    <row r="323" spans="1:11" x14ac:dyDescent="0.25">
      <c r="A323" s="17"/>
      <c r="B323" s="17"/>
      <c r="D323" s="17">
        <f t="shared" si="40"/>
        <v>-641.9</v>
      </c>
      <c r="E323" s="17">
        <f t="shared" si="41"/>
        <v>50.56</v>
      </c>
      <c r="F323" s="17">
        <f t="shared" si="42"/>
        <v>-643.9</v>
      </c>
      <c r="G323" s="17">
        <f t="shared" si="43"/>
        <v>50.56</v>
      </c>
      <c r="J323" s="17">
        <f t="array" ref="J323">IF(ROW(J323)&lt;=COUNTA(D:D)*2,IF(MOD(ROW(J323),2)=1,INDEX(D:D,(ROW(J323)+1)/2),INDEX(F:F,ROW(J323)/2)),"")</f>
        <v>-319.9</v>
      </c>
      <c r="K323" s="17">
        <f t="array" ref="K323">IF(ROW(K323)&lt;=COUNTA(E:E)*2,IF(MOD(ROW(K323),2)=1,INDEX(E:E,(ROW(K323)+1)/2),INDEX(G:G,ROW(K323)/2)),"")</f>
        <v>50.82884</v>
      </c>
    </row>
    <row r="324" spans="1:11" x14ac:dyDescent="0.25">
      <c r="A324" s="17"/>
      <c r="B324" s="17"/>
      <c r="D324" s="17">
        <f t="shared" si="40"/>
        <v>-643.9</v>
      </c>
      <c r="E324" s="17">
        <f t="shared" si="41"/>
        <v>50.44</v>
      </c>
      <c r="F324" s="17">
        <f t="shared" si="42"/>
        <v>-645.9</v>
      </c>
      <c r="G324" s="17">
        <f t="shared" si="43"/>
        <v>50.44</v>
      </c>
      <c r="J324" s="17">
        <f t="array" ref="J324">IF(ROW(J324)&lt;=COUNTA(D:D)*2,IF(MOD(ROW(J324),2)=1,INDEX(D:D,(ROW(J324)+1)/2),INDEX(F:F,ROW(J324)/2)),"")</f>
        <v>-321.9</v>
      </c>
      <c r="K324" s="17">
        <f t="array" ref="K324">IF(ROW(K324)&lt;=COUNTA(E:E)*2,IF(MOD(ROW(K324),2)=1,INDEX(E:E,(ROW(K324)+1)/2),INDEX(G:G,ROW(K324)/2)),"")</f>
        <v>50.82884</v>
      </c>
    </row>
    <row r="325" spans="1:11" x14ac:dyDescent="0.25">
      <c r="A325" s="17"/>
      <c r="B325" s="17"/>
      <c r="D325" s="17">
        <f t="shared" si="40"/>
        <v>-645.9</v>
      </c>
      <c r="E325" s="17">
        <f t="shared" si="41"/>
        <v>50.4</v>
      </c>
      <c r="F325" s="17">
        <f t="shared" si="42"/>
        <v>-647.9</v>
      </c>
      <c r="G325" s="17">
        <f t="shared" si="43"/>
        <v>50.4</v>
      </c>
      <c r="J325" s="17">
        <f t="array" ref="J325">IF(ROW(J325)&lt;=COUNTA(D:D)*2,IF(MOD(ROW(J325),2)=1,INDEX(D:D,(ROW(J325)+1)/2),INDEX(F:F,ROW(J325)/2)),"")</f>
        <v>-321.9</v>
      </c>
      <c r="K325" s="17">
        <f t="array" ref="K325">IF(ROW(K325)&lt;=COUNTA(E:E)*2,IF(MOD(ROW(K325),2)=1,INDEX(E:E,(ROW(K325)+1)/2),INDEX(G:G,ROW(K325)/2)),"")</f>
        <v>50.83468</v>
      </c>
    </row>
    <row r="326" spans="1:11" x14ac:dyDescent="0.25">
      <c r="A326" s="17"/>
      <c r="B326" s="17"/>
      <c r="D326" s="17">
        <f t="shared" si="40"/>
        <v>-647.9</v>
      </c>
      <c r="E326" s="17">
        <f t="shared" si="41"/>
        <v>50.4</v>
      </c>
      <c r="F326" s="17">
        <f t="shared" si="42"/>
        <v>-649.9</v>
      </c>
      <c r="G326" s="17">
        <f t="shared" si="43"/>
        <v>50.4</v>
      </c>
      <c r="J326" s="17">
        <f t="array" ref="J326">IF(ROW(J326)&lt;=COUNTA(D:D)*2,IF(MOD(ROW(J326),2)=1,INDEX(D:D,(ROW(J326)+1)/2),INDEX(F:F,ROW(J326)/2)),"")</f>
        <v>-323.9</v>
      </c>
      <c r="K326" s="17">
        <f t="array" ref="K326">IF(ROW(K326)&lt;=COUNTA(E:E)*2,IF(MOD(ROW(K326),2)=1,INDEX(E:E,(ROW(K326)+1)/2),INDEX(G:G,ROW(K326)/2)),"")</f>
        <v>50.83468</v>
      </c>
    </row>
    <row r="327" spans="1:11" x14ac:dyDescent="0.25">
      <c r="A327" s="17"/>
      <c r="B327" s="17"/>
      <c r="D327" s="17">
        <f t="shared" si="40"/>
        <v>-649.9</v>
      </c>
      <c r="E327" s="17">
        <f t="shared" si="41"/>
        <v>50.44</v>
      </c>
      <c r="F327" s="17">
        <f t="shared" si="42"/>
        <v>-651.9</v>
      </c>
      <c r="G327" s="17">
        <f t="shared" si="43"/>
        <v>50.44</v>
      </c>
      <c r="J327" s="17">
        <f t="array" ref="J327">IF(ROW(J327)&lt;=COUNTA(D:D)*2,IF(MOD(ROW(J327),2)=1,INDEX(D:D,(ROW(J327)+1)/2),INDEX(F:F,ROW(J327)/2)),"")</f>
        <v>-323.9</v>
      </c>
      <c r="K327" s="17">
        <f t="array" ref="K327">IF(ROW(K327)&lt;=COUNTA(E:E)*2,IF(MOD(ROW(K327),2)=1,INDEX(E:E,(ROW(K327)+1)/2),INDEX(G:G,ROW(K327)/2)),"")</f>
        <v>50.84304</v>
      </c>
    </row>
    <row r="328" spans="1:11" x14ac:dyDescent="0.25">
      <c r="A328" s="17"/>
      <c r="B328" s="17"/>
      <c r="D328" s="17">
        <f t="shared" si="40"/>
        <v>-651.9</v>
      </c>
      <c r="E328" s="17">
        <f t="shared" si="41"/>
        <v>50.4</v>
      </c>
      <c r="F328" s="17">
        <f t="shared" si="42"/>
        <v>-653.9</v>
      </c>
      <c r="G328" s="17">
        <f t="shared" si="43"/>
        <v>50.4</v>
      </c>
      <c r="J328" s="17">
        <f t="array" ref="J328">IF(ROW(J328)&lt;=COUNTA(D:D)*2,IF(MOD(ROW(J328),2)=1,INDEX(D:D,(ROW(J328)+1)/2),INDEX(F:F,ROW(J328)/2)),"")</f>
        <v>-325.9</v>
      </c>
      <c r="K328" s="17">
        <f t="array" ref="K328">IF(ROW(K328)&lt;=COUNTA(E:E)*2,IF(MOD(ROW(K328),2)=1,INDEX(E:E,(ROW(K328)+1)/2),INDEX(G:G,ROW(K328)/2)),"")</f>
        <v>50.84304</v>
      </c>
    </row>
    <row r="329" spans="1:11" x14ac:dyDescent="0.25">
      <c r="A329" s="17"/>
      <c r="B329" s="17"/>
      <c r="D329" s="17">
        <f t="shared" si="40"/>
        <v>-653.9</v>
      </c>
      <c r="E329" s="17">
        <f t="shared" si="41"/>
        <v>50.56</v>
      </c>
      <c r="F329" s="17">
        <f t="shared" si="42"/>
        <v>-655.9</v>
      </c>
      <c r="G329" s="17">
        <f t="shared" si="43"/>
        <v>50.56</v>
      </c>
      <c r="J329" s="17">
        <f t="array" ref="J329">IF(ROW(J329)&lt;=COUNTA(D:D)*2,IF(MOD(ROW(J329),2)=1,INDEX(D:D,(ROW(J329)+1)/2),INDEX(F:F,ROW(J329)/2)),"")</f>
        <v>-325.9</v>
      </c>
      <c r="K329" s="17">
        <f t="array" ref="K329">IF(ROW(K329)&lt;=COUNTA(E:E)*2,IF(MOD(ROW(K329),2)=1,INDEX(E:E,(ROW(K329)+1)/2),INDEX(G:G,ROW(K329)/2)),"")</f>
        <v>50.85368</v>
      </c>
    </row>
    <row r="330" spans="1:11" x14ac:dyDescent="0.25">
      <c r="A330" s="17"/>
      <c r="B330" s="17"/>
      <c r="D330" s="17">
        <f t="shared" si="40"/>
        <v>-655.9</v>
      </c>
      <c r="E330" s="17">
        <f t="shared" si="41"/>
        <v>50.56</v>
      </c>
      <c r="F330" s="17">
        <f t="shared" si="42"/>
        <v>-657.9</v>
      </c>
      <c r="G330" s="17">
        <f t="shared" si="43"/>
        <v>50.56</v>
      </c>
      <c r="J330" s="17">
        <f t="array" ref="J330">IF(ROW(J330)&lt;=COUNTA(D:D)*2,IF(MOD(ROW(J330),2)=1,INDEX(D:D,(ROW(J330)+1)/2),INDEX(F:F,ROW(J330)/2)),"")</f>
        <v>-327.9</v>
      </c>
      <c r="K330" s="17">
        <f t="array" ref="K330">IF(ROW(K330)&lt;=COUNTA(E:E)*2,IF(MOD(ROW(K330),2)=1,INDEX(E:E,(ROW(K330)+1)/2),INDEX(G:G,ROW(K330)/2)),"")</f>
        <v>50.85368</v>
      </c>
    </row>
    <row r="331" spans="1:11" x14ac:dyDescent="0.25">
      <c r="A331" s="17"/>
      <c r="B331" s="17"/>
      <c r="D331" s="17">
        <f t="shared" si="40"/>
        <v>-657.9</v>
      </c>
      <c r="E331" s="17">
        <f t="shared" si="41"/>
        <v>50.56</v>
      </c>
      <c r="F331" s="17">
        <f t="shared" si="42"/>
        <v>-659.9</v>
      </c>
      <c r="G331" s="17">
        <f t="shared" si="43"/>
        <v>50.56</v>
      </c>
      <c r="J331" s="17">
        <f t="array" ref="J331">IF(ROW(J331)&lt;=COUNTA(D:D)*2,IF(MOD(ROW(J331),2)=1,INDEX(D:D,(ROW(J331)+1)/2),INDEX(F:F,ROW(J331)/2)),"")</f>
        <v>-327.9</v>
      </c>
      <c r="K331" s="17">
        <f t="array" ref="K331">IF(ROW(K331)&lt;=COUNTA(E:E)*2,IF(MOD(ROW(K331),2)=1,INDEX(E:E,(ROW(K331)+1)/2),INDEX(G:G,ROW(K331)/2)),"")</f>
        <v>50.86208</v>
      </c>
    </row>
    <row r="332" spans="1:11" x14ac:dyDescent="0.25">
      <c r="A332" s="17"/>
      <c r="B332" s="17"/>
      <c r="D332" s="17">
        <f t="shared" si="40"/>
        <v>-659.9</v>
      </c>
      <c r="E332" s="17">
        <f t="shared" si="41"/>
        <v>50.36</v>
      </c>
      <c r="F332" s="17">
        <f t="shared" si="42"/>
        <v>-661.9</v>
      </c>
      <c r="G332" s="17">
        <f t="shared" si="43"/>
        <v>50.36</v>
      </c>
      <c r="J332" s="17">
        <f t="array" ref="J332">IF(ROW(J332)&lt;=COUNTA(D:D)*2,IF(MOD(ROW(J332),2)=1,INDEX(D:D,(ROW(J332)+1)/2),INDEX(F:F,ROW(J332)/2)),"")</f>
        <v>-329.9</v>
      </c>
      <c r="K332" s="17">
        <f t="array" ref="K332">IF(ROW(K332)&lt;=COUNTA(E:E)*2,IF(MOD(ROW(K332),2)=1,INDEX(E:E,(ROW(K332)+1)/2),INDEX(G:G,ROW(K332)/2)),"")</f>
        <v>50.86208</v>
      </c>
    </row>
    <row r="333" spans="1:11" x14ac:dyDescent="0.25">
      <c r="A333" s="17"/>
      <c r="B333" s="17"/>
      <c r="D333" s="17">
        <f t="shared" si="40"/>
        <v>-661.9</v>
      </c>
      <c r="E333" s="17">
        <f t="shared" si="41"/>
        <v>50.36</v>
      </c>
      <c r="F333" s="17">
        <f t="shared" si="42"/>
        <v>-663.9</v>
      </c>
      <c r="G333" s="17">
        <f t="shared" si="43"/>
        <v>50.36</v>
      </c>
      <c r="J333" s="17">
        <f t="array" ref="J333">IF(ROW(J333)&lt;=COUNTA(D:D)*2,IF(MOD(ROW(J333),2)=1,INDEX(D:D,(ROW(J333)+1)/2),INDEX(F:F,ROW(J333)/2)),"")</f>
        <v>-329.9</v>
      </c>
      <c r="K333" s="17">
        <f t="array" ref="K333">IF(ROW(K333)&lt;=COUNTA(E:E)*2,IF(MOD(ROW(K333),2)=1,INDEX(E:E,(ROW(K333)+1)/2),INDEX(G:G,ROW(K333)/2)),"")</f>
        <v>50.87128</v>
      </c>
    </row>
    <row r="334" spans="1:11" x14ac:dyDescent="0.25">
      <c r="A334" s="17"/>
      <c r="B334" s="17"/>
      <c r="D334" s="17">
        <f t="shared" si="40"/>
        <v>-663.9</v>
      </c>
      <c r="E334" s="17">
        <f t="shared" si="41"/>
        <v>50.36</v>
      </c>
      <c r="F334" s="17">
        <f t="shared" si="42"/>
        <v>-665.9</v>
      </c>
      <c r="G334" s="17">
        <f t="shared" si="43"/>
        <v>50.36</v>
      </c>
      <c r="J334" s="17">
        <f t="array" ref="J334">IF(ROW(J334)&lt;=COUNTA(D:D)*2,IF(MOD(ROW(J334),2)=1,INDEX(D:D,(ROW(J334)+1)/2),INDEX(F:F,ROW(J334)/2)),"")</f>
        <v>-331.9</v>
      </c>
      <c r="K334" s="17">
        <f t="array" ref="K334">IF(ROW(K334)&lt;=COUNTA(E:E)*2,IF(MOD(ROW(K334),2)=1,INDEX(E:E,(ROW(K334)+1)/2),INDEX(G:G,ROW(K334)/2)),"")</f>
        <v>50.87128</v>
      </c>
    </row>
    <row r="335" spans="1:11" x14ac:dyDescent="0.25">
      <c r="A335" s="17"/>
      <c r="B335" s="17"/>
      <c r="D335" s="17">
        <f t="shared" si="40"/>
        <v>-665.9</v>
      </c>
      <c r="E335" s="17">
        <f t="shared" si="41"/>
        <v>50.36</v>
      </c>
      <c r="F335" s="17">
        <f t="shared" si="42"/>
        <v>-667.9</v>
      </c>
      <c r="G335" s="17">
        <f t="shared" si="43"/>
        <v>50.36</v>
      </c>
      <c r="J335" s="17">
        <f t="array" ref="J335">IF(ROW(J335)&lt;=COUNTA(D:D)*2,IF(MOD(ROW(J335),2)=1,INDEX(D:D,(ROW(J335)+1)/2),INDEX(F:F,ROW(J335)/2)),"")</f>
        <v>-331.9</v>
      </c>
      <c r="K335" s="17">
        <f t="array" ref="K335">IF(ROW(K335)&lt;=COUNTA(E:E)*2,IF(MOD(ROW(K335),2)=1,INDEX(E:E,(ROW(K335)+1)/2),INDEX(G:G,ROW(K335)/2)),"")</f>
        <v>50.88072</v>
      </c>
    </row>
    <row r="336" spans="1:11" x14ac:dyDescent="0.25">
      <c r="A336" s="17"/>
      <c r="B336" s="17"/>
      <c r="D336" s="17">
        <f t="shared" si="40"/>
        <v>-667.9</v>
      </c>
      <c r="E336" s="17">
        <f t="shared" si="41"/>
        <v>50.36</v>
      </c>
      <c r="F336" s="17">
        <f t="shared" si="42"/>
        <v>-669.9</v>
      </c>
      <c r="G336" s="17">
        <f t="shared" si="43"/>
        <v>50.36</v>
      </c>
      <c r="J336" s="17">
        <f t="array" ref="J336">IF(ROW(J336)&lt;=COUNTA(D:D)*2,IF(MOD(ROW(J336),2)=1,INDEX(D:D,(ROW(J336)+1)/2),INDEX(F:F,ROW(J336)/2)),"")</f>
        <v>-333.9</v>
      </c>
      <c r="K336" s="17">
        <f t="array" ref="K336">IF(ROW(K336)&lt;=COUNTA(E:E)*2,IF(MOD(ROW(K336),2)=1,INDEX(E:E,(ROW(K336)+1)/2),INDEX(G:G,ROW(K336)/2)),"")</f>
        <v>50.88072</v>
      </c>
    </row>
    <row r="337" spans="1:11" x14ac:dyDescent="0.25">
      <c r="A337" s="17"/>
      <c r="B337" s="17"/>
      <c r="D337" s="17">
        <f t="shared" si="40"/>
        <v>-669.9</v>
      </c>
      <c r="E337" s="17">
        <f t="shared" si="41"/>
        <v>50.36</v>
      </c>
      <c r="F337" s="17">
        <f t="shared" si="42"/>
        <v>-671.9</v>
      </c>
      <c r="G337" s="17">
        <f t="shared" si="43"/>
        <v>50.36</v>
      </c>
      <c r="J337" s="17">
        <f t="array" ref="J337">IF(ROW(J337)&lt;=COUNTA(D:D)*2,IF(MOD(ROW(J337),2)=1,INDEX(D:D,(ROW(J337)+1)/2),INDEX(F:F,ROW(J337)/2)),"")</f>
        <v>-333.9</v>
      </c>
      <c r="K337" s="17">
        <f t="array" ref="K337">IF(ROW(K337)&lt;=COUNTA(E:E)*2,IF(MOD(ROW(K337),2)=1,INDEX(E:E,(ROW(K337)+1)/2),INDEX(G:G,ROW(K337)/2)),"")</f>
        <v>50.88992</v>
      </c>
    </row>
    <row r="338" spans="1:11" x14ac:dyDescent="0.25">
      <c r="A338" s="17"/>
      <c r="B338" s="17"/>
      <c r="D338" s="17">
        <f t="shared" si="40"/>
        <v>-671.9</v>
      </c>
      <c r="E338" s="17">
        <f t="shared" si="41"/>
        <v>50.12</v>
      </c>
      <c r="F338" s="17">
        <f t="shared" si="42"/>
        <v>-673.9</v>
      </c>
      <c r="G338" s="17">
        <f t="shared" si="43"/>
        <v>50.12</v>
      </c>
      <c r="J338" s="17">
        <f t="array" ref="J338">IF(ROW(J338)&lt;=COUNTA(D:D)*2,IF(MOD(ROW(J338),2)=1,INDEX(D:D,(ROW(J338)+1)/2),INDEX(F:F,ROW(J338)/2)),"")</f>
        <v>-335.9</v>
      </c>
      <c r="K338" s="17">
        <f t="array" ref="K338">IF(ROW(K338)&lt;=COUNTA(E:E)*2,IF(MOD(ROW(K338),2)=1,INDEX(E:E,(ROW(K338)+1)/2),INDEX(G:G,ROW(K338)/2)),"")</f>
        <v>50.88992</v>
      </c>
    </row>
    <row r="339" spans="1:11" x14ac:dyDescent="0.25">
      <c r="A339" s="17"/>
      <c r="B339" s="17"/>
      <c r="D339" s="17">
        <f t="shared" si="40"/>
        <v>-673.9</v>
      </c>
      <c r="E339" s="17">
        <f t="shared" si="41"/>
        <v>50.4</v>
      </c>
      <c r="F339" s="17">
        <f t="shared" si="42"/>
        <v>-675.9</v>
      </c>
      <c r="G339" s="17">
        <f t="shared" si="43"/>
        <v>50.4</v>
      </c>
      <c r="J339" s="17">
        <f t="array" ref="J339">IF(ROW(J339)&lt;=COUNTA(D:D)*2,IF(MOD(ROW(J339),2)=1,INDEX(D:D,(ROW(J339)+1)/2),INDEX(F:F,ROW(J339)/2)),"")</f>
        <v>-335.9</v>
      </c>
      <c r="K339" s="17">
        <f t="array" ref="K339">IF(ROW(K339)&lt;=COUNTA(E:E)*2,IF(MOD(ROW(K339),2)=1,INDEX(E:E,(ROW(K339)+1)/2),INDEX(G:G,ROW(K339)/2)),"")</f>
        <v>50.89976</v>
      </c>
    </row>
    <row r="340" spans="1:11" x14ac:dyDescent="0.25">
      <c r="A340" s="17"/>
      <c r="B340" s="17"/>
      <c r="D340" s="17">
        <f t="shared" si="40"/>
        <v>-675.9</v>
      </c>
      <c r="E340" s="17">
        <f t="shared" si="41"/>
        <v>50.44</v>
      </c>
      <c r="F340" s="17">
        <f t="shared" si="42"/>
        <v>-677.9</v>
      </c>
      <c r="G340" s="17">
        <f t="shared" si="43"/>
        <v>50.44</v>
      </c>
      <c r="J340" s="17">
        <f t="array" ref="J340">IF(ROW(J340)&lt;=COUNTA(D:D)*2,IF(MOD(ROW(J340),2)=1,INDEX(D:D,(ROW(J340)+1)/2),INDEX(F:F,ROW(J340)/2)),"")</f>
        <v>-337.9</v>
      </c>
      <c r="K340" s="17">
        <f t="array" ref="K340">IF(ROW(K340)&lt;=COUNTA(E:E)*2,IF(MOD(ROW(K340),2)=1,INDEX(E:E,(ROW(K340)+1)/2),INDEX(G:G,ROW(K340)/2)),"")</f>
        <v>50.89976</v>
      </c>
    </row>
    <row r="341" spans="1:11" x14ac:dyDescent="0.25">
      <c r="A341" s="17"/>
      <c r="B341" s="17"/>
      <c r="D341" s="17">
        <f t="shared" si="40"/>
        <v>-677.9</v>
      </c>
      <c r="E341" s="17">
        <f t="shared" si="41"/>
        <v>49</v>
      </c>
      <c r="F341" s="17">
        <f t="shared" si="42"/>
        <v>0</v>
      </c>
      <c r="G341" s="17">
        <f t="shared" si="43"/>
        <v>49</v>
      </c>
      <c r="J341" s="17">
        <f t="array" ref="J341">IF(ROW(J341)&lt;=COUNTA(D:D)*2,IF(MOD(ROW(J341),2)=1,INDEX(D:D,(ROW(J341)+1)/2),INDEX(F:F,ROW(J341)/2)),"")</f>
        <v>-337.9</v>
      </c>
      <c r="K341" s="17">
        <f t="array" ref="K341">IF(ROW(K341)&lt;=COUNTA(E:E)*2,IF(MOD(ROW(K341),2)=1,INDEX(E:E,(ROW(K341)+1)/2),INDEX(G:G,ROW(K341)/2)),"")</f>
        <v>50.06112</v>
      </c>
    </row>
    <row r="342" spans="1:11" x14ac:dyDescent="0.25">
      <c r="A342" s="17"/>
      <c r="B342" s="17"/>
      <c r="D342" s="17">
        <f t="shared" si="40"/>
        <v>0</v>
      </c>
      <c r="E342" s="17">
        <f t="shared" si="41"/>
        <v>49</v>
      </c>
      <c r="F342" s="17">
        <f t="shared" si="42"/>
        <v>0</v>
      </c>
      <c r="G342" s="17">
        <f t="shared" si="43"/>
        <v>49</v>
      </c>
      <c r="J342" s="17">
        <f t="array" ref="J342">IF(ROW(J342)&lt;=COUNTA(D:D)*2,IF(MOD(ROW(J342),2)=1,INDEX(D:D,(ROW(J342)+1)/2),INDEX(F:F,ROW(J342)/2)),"")</f>
        <v>-339.9</v>
      </c>
      <c r="K342" s="17">
        <f t="array" ref="K342">IF(ROW(K342)&lt;=COUNTA(E:E)*2,IF(MOD(ROW(K342),2)=1,INDEX(E:E,(ROW(K342)+1)/2),INDEX(G:G,ROW(K342)/2)),"")</f>
        <v>50.06112</v>
      </c>
    </row>
    <row r="343" spans="1:11" x14ac:dyDescent="0.25">
      <c r="A343" s="17"/>
      <c r="B343" s="17"/>
      <c r="D343" s="17">
        <f t="shared" si="40"/>
        <v>0</v>
      </c>
      <c r="E343" s="17">
        <f t="shared" si="41"/>
        <v>49</v>
      </c>
      <c r="F343" s="17">
        <f t="shared" si="42"/>
        <v>0</v>
      </c>
      <c r="G343" s="17">
        <f t="shared" si="43"/>
        <v>49</v>
      </c>
      <c r="J343" s="17">
        <f t="array" ref="J343">IF(ROW(J343)&lt;=COUNTA(D:D)*2,IF(MOD(ROW(J343),2)=1,INDEX(D:D,(ROW(J343)+1)/2),INDEX(F:F,ROW(J343)/2)),"")</f>
        <v>-339.9</v>
      </c>
      <c r="K343" s="17">
        <f t="array" ref="K343">IF(ROW(K343)&lt;=COUNTA(E:E)*2,IF(MOD(ROW(K343),2)=1,INDEX(E:E,(ROW(K343)+1)/2),INDEX(G:G,ROW(K343)/2)),"")</f>
        <v>49.90132</v>
      </c>
    </row>
    <row r="344" spans="1:11" x14ac:dyDescent="0.25">
      <c r="A344" s="17"/>
      <c r="B344" s="17"/>
      <c r="D344" s="17">
        <f t="shared" si="40"/>
        <v>0</v>
      </c>
      <c r="E344" s="17">
        <f t="shared" si="41"/>
        <v>49</v>
      </c>
      <c r="F344" s="17">
        <f t="shared" si="42"/>
        <v>0</v>
      </c>
      <c r="G344" s="17">
        <f t="shared" si="43"/>
        <v>49</v>
      </c>
      <c r="J344" s="17">
        <f t="array" ref="J344">IF(ROW(J344)&lt;=COUNTA(D:D)*2,IF(MOD(ROW(J344),2)=1,INDEX(D:D,(ROW(J344)+1)/2),INDEX(F:F,ROW(J344)/2)),"")</f>
        <v>-341.9</v>
      </c>
      <c r="K344" s="17">
        <f t="array" ref="K344">IF(ROW(K344)&lt;=COUNTA(E:E)*2,IF(MOD(ROW(K344),2)=1,INDEX(E:E,(ROW(K344)+1)/2),INDEX(G:G,ROW(K344)/2)),"")</f>
        <v>49.90132</v>
      </c>
    </row>
    <row r="345" spans="1:11" x14ac:dyDescent="0.25">
      <c r="A345" s="17"/>
      <c r="B345" s="17"/>
      <c r="D345" s="17">
        <f t="shared" si="40"/>
        <v>0</v>
      </c>
      <c r="E345" s="17">
        <f t="shared" si="41"/>
        <v>49</v>
      </c>
      <c r="F345" s="17">
        <f t="shared" si="42"/>
        <v>0</v>
      </c>
      <c r="G345" s="17">
        <f t="shared" si="43"/>
        <v>49</v>
      </c>
      <c r="J345" s="17">
        <f t="array" ref="J345">IF(ROW(J345)&lt;=COUNTA(D:D)*2,IF(MOD(ROW(J345),2)=1,INDEX(D:D,(ROW(J345)+1)/2),INDEX(F:F,ROW(J345)/2)),"")</f>
        <v>-341.9</v>
      </c>
      <c r="K345" s="17">
        <f t="array" ref="K345">IF(ROW(K345)&lt;=COUNTA(E:E)*2,IF(MOD(ROW(K345),2)=1,INDEX(E:E,(ROW(K345)+1)/2),INDEX(G:G,ROW(K345)/2)),"")</f>
        <v>50.29728</v>
      </c>
    </row>
    <row r="346" spans="1:11" x14ac:dyDescent="0.25">
      <c r="A346" s="17"/>
      <c r="B346" s="17"/>
      <c r="D346" s="17">
        <f t="shared" si="40"/>
        <v>0</v>
      </c>
      <c r="E346" s="17">
        <f t="shared" si="41"/>
        <v>49</v>
      </c>
      <c r="F346" s="17">
        <f t="shared" si="42"/>
        <v>0</v>
      </c>
      <c r="G346" s="17">
        <f t="shared" si="43"/>
        <v>49</v>
      </c>
      <c r="J346" s="17">
        <f t="array" ref="J346">IF(ROW(J346)&lt;=COUNTA(D:D)*2,IF(MOD(ROW(J346),2)=1,INDEX(D:D,(ROW(J346)+1)/2),INDEX(F:F,ROW(J346)/2)),"")</f>
        <v>-343.9</v>
      </c>
      <c r="K346" s="17">
        <f t="array" ref="K346">IF(ROW(K346)&lt;=COUNTA(E:E)*2,IF(MOD(ROW(K346),2)=1,INDEX(E:E,(ROW(K346)+1)/2),INDEX(G:G,ROW(K346)/2)),"")</f>
        <v>50.29728</v>
      </c>
    </row>
    <row r="347" spans="1:11" x14ac:dyDescent="0.25">
      <c r="A347" s="17"/>
      <c r="B347" s="17"/>
      <c r="D347" s="17">
        <f t="shared" si="40"/>
        <v>0</v>
      </c>
      <c r="E347" s="17">
        <f t="shared" si="41"/>
        <v>49</v>
      </c>
      <c r="F347" s="17">
        <f t="shared" si="42"/>
        <v>0</v>
      </c>
      <c r="G347" s="17">
        <f t="shared" si="43"/>
        <v>49</v>
      </c>
      <c r="J347" s="17">
        <f t="array" ref="J347">IF(ROW(J347)&lt;=COUNTA(D:D)*2,IF(MOD(ROW(J347),2)=1,INDEX(D:D,(ROW(J347)+1)/2),INDEX(F:F,ROW(J347)/2)),"")</f>
        <v>-343.9</v>
      </c>
      <c r="K347" s="17">
        <f t="array" ref="K347">IF(ROW(K347)&lt;=COUNTA(E:E)*2,IF(MOD(ROW(K347),2)=1,INDEX(E:E,(ROW(K347)+1)/2),INDEX(G:G,ROW(K347)/2)),"")</f>
        <v>50.91976</v>
      </c>
    </row>
    <row r="348" spans="1:11" x14ac:dyDescent="0.25">
      <c r="A348" s="17"/>
      <c r="B348" s="17"/>
      <c r="D348" s="17">
        <f t="shared" si="40"/>
        <v>0</v>
      </c>
      <c r="E348" s="17">
        <f t="shared" si="41"/>
        <v>49</v>
      </c>
      <c r="F348" s="17">
        <f t="shared" si="42"/>
        <v>0</v>
      </c>
      <c r="G348" s="17">
        <f t="shared" si="43"/>
        <v>49</v>
      </c>
      <c r="J348" s="17">
        <f t="array" ref="J348">IF(ROW(J348)&lt;=COUNTA(D:D)*2,IF(MOD(ROW(J348),2)=1,INDEX(D:D,(ROW(J348)+1)/2),INDEX(F:F,ROW(J348)/2)),"")</f>
        <v>-345.9</v>
      </c>
      <c r="K348" s="17">
        <f t="array" ref="K348">IF(ROW(K348)&lt;=COUNTA(E:E)*2,IF(MOD(ROW(K348),2)=1,INDEX(E:E,(ROW(K348)+1)/2),INDEX(G:G,ROW(K348)/2)),"")</f>
        <v>50.91976</v>
      </c>
    </row>
    <row r="349" spans="1:11" x14ac:dyDescent="0.25">
      <c r="A349" s="17"/>
      <c r="B349" s="17"/>
      <c r="D349" s="17">
        <f t="shared" si="40"/>
        <v>0</v>
      </c>
      <c r="E349" s="17">
        <f t="shared" si="41"/>
        <v>49</v>
      </c>
      <c r="F349" s="17">
        <f t="shared" si="42"/>
        <v>0</v>
      </c>
      <c r="G349" s="17">
        <f t="shared" si="43"/>
        <v>49</v>
      </c>
      <c r="J349" s="17">
        <f t="array" ref="J349">IF(ROW(J349)&lt;=COUNTA(D:D)*2,IF(MOD(ROW(J349),2)=1,INDEX(D:D,(ROW(J349)+1)/2),INDEX(F:F,ROW(J349)/2)),"")</f>
        <v>-345.9</v>
      </c>
      <c r="K349" s="17">
        <f t="array" ref="K349">IF(ROW(K349)&lt;=COUNTA(E:E)*2,IF(MOD(ROW(K349),2)=1,INDEX(E:E,(ROW(K349)+1)/2),INDEX(G:G,ROW(K349)/2)),"")</f>
        <v>50.93044</v>
      </c>
    </row>
    <row r="350" spans="1:11" x14ac:dyDescent="0.25">
      <c r="A350" s="17"/>
      <c r="B350" s="17"/>
      <c r="D350" s="17">
        <f t="shared" si="40"/>
        <v>0</v>
      </c>
      <c r="E350" s="17">
        <f t="shared" si="41"/>
        <v>49</v>
      </c>
      <c r="F350" s="17">
        <f t="shared" si="42"/>
        <v>0</v>
      </c>
      <c r="G350" s="17">
        <f t="shared" si="43"/>
        <v>49</v>
      </c>
      <c r="J350" s="17">
        <f t="array" ref="J350">IF(ROW(J350)&lt;=COUNTA(D:D)*2,IF(MOD(ROW(J350),2)=1,INDEX(D:D,(ROW(J350)+1)/2),INDEX(F:F,ROW(J350)/2)),"")</f>
        <v>-347.9</v>
      </c>
      <c r="K350" s="17">
        <f t="array" ref="K350">IF(ROW(K350)&lt;=COUNTA(E:E)*2,IF(MOD(ROW(K350),2)=1,INDEX(E:E,(ROW(K350)+1)/2),INDEX(G:G,ROW(K350)/2)),"")</f>
        <v>50.93044</v>
      </c>
    </row>
    <row r="351" spans="1:11" x14ac:dyDescent="0.25">
      <c r="A351" s="17"/>
      <c r="B351" s="17"/>
      <c r="D351" s="17">
        <f t="shared" si="40"/>
        <v>0</v>
      </c>
      <c r="E351" s="17">
        <f t="shared" si="41"/>
        <v>49</v>
      </c>
      <c r="F351" s="17">
        <f t="shared" si="42"/>
        <v>0</v>
      </c>
      <c r="G351" s="17">
        <f t="shared" si="43"/>
        <v>49</v>
      </c>
      <c r="J351" s="17">
        <f t="array" ref="J351">IF(ROW(J351)&lt;=COUNTA(D:D)*2,IF(MOD(ROW(J351),2)=1,INDEX(D:D,(ROW(J351)+1)/2),INDEX(F:F,ROW(J351)/2)),"")</f>
        <v>-347.9</v>
      </c>
      <c r="K351" s="17">
        <f t="array" ref="K351">IF(ROW(K351)&lt;=COUNTA(E:E)*2,IF(MOD(ROW(K351),2)=1,INDEX(E:E,(ROW(K351)+1)/2),INDEX(G:G,ROW(K351)/2)),"")</f>
        <v>50.9434</v>
      </c>
    </row>
    <row r="352" spans="1:11" x14ac:dyDescent="0.25">
      <c r="A352" s="17"/>
      <c r="B352" s="17"/>
      <c r="D352" s="17">
        <f t="shared" si="40"/>
        <v>0</v>
      </c>
      <c r="E352" s="17">
        <f t="shared" si="41"/>
        <v>49</v>
      </c>
      <c r="F352" s="17">
        <f t="shared" si="42"/>
        <v>0</v>
      </c>
      <c r="G352" s="17">
        <f t="shared" si="43"/>
        <v>49</v>
      </c>
      <c r="J352" s="17">
        <f t="array" ref="J352">IF(ROW(J352)&lt;=COUNTA(D:D)*2,IF(MOD(ROW(J352),2)=1,INDEX(D:D,(ROW(J352)+1)/2),INDEX(F:F,ROW(J352)/2)),"")</f>
        <v>-349.9</v>
      </c>
      <c r="K352" s="17">
        <f t="array" ref="K352">IF(ROW(K352)&lt;=COUNTA(E:E)*2,IF(MOD(ROW(K352),2)=1,INDEX(E:E,(ROW(K352)+1)/2),INDEX(G:G,ROW(K352)/2)),"")</f>
        <v>50.9434</v>
      </c>
    </row>
    <row r="353" spans="1:11" x14ac:dyDescent="0.25">
      <c r="A353" s="17"/>
      <c r="B353" s="17"/>
      <c r="D353" s="17">
        <f t="shared" si="40"/>
        <v>0</v>
      </c>
      <c r="E353" s="17">
        <f t="shared" si="41"/>
        <v>49</v>
      </c>
      <c r="F353" s="17">
        <f t="shared" si="42"/>
        <v>0</v>
      </c>
      <c r="G353" s="17">
        <f t="shared" si="43"/>
        <v>49</v>
      </c>
      <c r="J353" s="17">
        <f t="array" ref="J353">IF(ROW(J353)&lt;=COUNTA(D:D)*2,IF(MOD(ROW(J353),2)=1,INDEX(D:D,(ROW(J353)+1)/2),INDEX(F:F,ROW(J353)/2)),"")</f>
        <v>-349.9</v>
      </c>
      <c r="K353" s="17">
        <f t="array" ref="K353">IF(ROW(K353)&lt;=COUNTA(E:E)*2,IF(MOD(ROW(K353),2)=1,INDEX(E:E,(ROW(K353)+1)/2),INDEX(G:G,ROW(K353)/2)),"")</f>
        <v>50.95492</v>
      </c>
    </row>
    <row r="354" spans="1:11" x14ac:dyDescent="0.25">
      <c r="A354" s="17"/>
      <c r="B354" s="17"/>
      <c r="D354" s="17">
        <f t="shared" ref="D354:D387" si="44">0-A353</f>
        <v>0</v>
      </c>
      <c r="E354" s="17">
        <f t="shared" ref="E354:E387" si="45">49+(B354)*4</f>
        <v>49</v>
      </c>
      <c r="F354" s="17">
        <f t="shared" ref="F354:F387" si="46">0-A354</f>
        <v>0</v>
      </c>
      <c r="G354" s="17">
        <f t="shared" ref="G354:G387" si="47">49+(B354)*4</f>
        <v>49</v>
      </c>
      <c r="J354" s="17">
        <f t="array" ref="J354">IF(ROW(J354)&lt;=COUNTA(D:D)*2,IF(MOD(ROW(J354),2)=1,INDEX(D:D,(ROW(J354)+1)/2),INDEX(F:F,ROW(J354)/2)),"")</f>
        <v>-351.9</v>
      </c>
      <c r="K354" s="17">
        <f t="array" ref="K354">IF(ROW(K354)&lt;=COUNTA(E:E)*2,IF(MOD(ROW(K354),2)=1,INDEX(E:E,(ROW(K354)+1)/2),INDEX(G:G,ROW(K354)/2)),"")</f>
        <v>50.95492</v>
      </c>
    </row>
    <row r="355" spans="1:11" x14ac:dyDescent="0.25">
      <c r="A355" s="17"/>
      <c r="B355" s="17"/>
      <c r="D355" s="17">
        <f t="shared" si="44"/>
        <v>0</v>
      </c>
      <c r="E355" s="17">
        <f t="shared" si="45"/>
        <v>49</v>
      </c>
      <c r="F355" s="17">
        <f t="shared" si="46"/>
        <v>0</v>
      </c>
      <c r="G355" s="17">
        <f t="shared" si="47"/>
        <v>49</v>
      </c>
      <c r="J355" s="17">
        <f t="array" ref="J355">IF(ROW(J355)&lt;=COUNTA(D:D)*2,IF(MOD(ROW(J355),2)=1,INDEX(D:D,(ROW(J355)+1)/2),INDEX(F:F,ROW(J355)/2)),"")</f>
        <v>-351.9</v>
      </c>
      <c r="K355" s="17">
        <f t="array" ref="K355">IF(ROW(K355)&lt;=COUNTA(E:E)*2,IF(MOD(ROW(K355),2)=1,INDEX(E:E,(ROW(K355)+1)/2),INDEX(G:G,ROW(K355)/2)),"")</f>
        <v>50.96556</v>
      </c>
    </row>
    <row r="356" spans="1:11" x14ac:dyDescent="0.25">
      <c r="A356" s="17"/>
      <c r="B356" s="17"/>
      <c r="D356" s="17">
        <f t="shared" si="44"/>
        <v>0</v>
      </c>
      <c r="E356" s="17">
        <f t="shared" si="45"/>
        <v>49</v>
      </c>
      <c r="F356" s="17">
        <f t="shared" si="46"/>
        <v>0</v>
      </c>
      <c r="G356" s="17">
        <f t="shared" si="47"/>
        <v>49</v>
      </c>
      <c r="J356" s="17">
        <f t="array" ref="J356">IF(ROW(J356)&lt;=COUNTA(D:D)*2,IF(MOD(ROW(J356),2)=1,INDEX(D:D,(ROW(J356)+1)/2),INDEX(F:F,ROW(J356)/2)),"")</f>
        <v>-353.9</v>
      </c>
      <c r="K356" s="17">
        <f t="array" ref="K356">IF(ROW(K356)&lt;=COUNTA(E:E)*2,IF(MOD(ROW(K356),2)=1,INDEX(E:E,(ROW(K356)+1)/2),INDEX(G:G,ROW(K356)/2)),"")</f>
        <v>50.96556</v>
      </c>
    </row>
    <row r="357" spans="1:11" x14ac:dyDescent="0.25">
      <c r="A357" s="17"/>
      <c r="B357" s="17"/>
      <c r="D357" s="17">
        <f t="shared" si="44"/>
        <v>0</v>
      </c>
      <c r="E357" s="17">
        <f t="shared" si="45"/>
        <v>49</v>
      </c>
      <c r="F357" s="17">
        <f t="shared" si="46"/>
        <v>0</v>
      </c>
      <c r="G357" s="17">
        <f t="shared" si="47"/>
        <v>49</v>
      </c>
      <c r="J357" s="17">
        <f t="array" ref="J357">IF(ROW(J357)&lt;=COUNTA(D:D)*2,IF(MOD(ROW(J357),2)=1,INDEX(D:D,(ROW(J357)+1)/2),INDEX(F:F,ROW(J357)/2)),"")</f>
        <v>-353.9</v>
      </c>
      <c r="K357" s="17">
        <f t="array" ref="K357">IF(ROW(K357)&lt;=COUNTA(E:E)*2,IF(MOD(ROW(K357),2)=1,INDEX(E:E,(ROW(K357)+1)/2),INDEX(G:G,ROW(K357)/2)),"")</f>
        <v>50.97392</v>
      </c>
    </row>
    <row r="358" spans="1:11" x14ac:dyDescent="0.25">
      <c r="A358" s="17"/>
      <c r="B358" s="17"/>
      <c r="D358" s="17">
        <f t="shared" si="44"/>
        <v>0</v>
      </c>
      <c r="E358" s="17">
        <f t="shared" si="45"/>
        <v>49</v>
      </c>
      <c r="F358" s="17">
        <f t="shared" si="46"/>
        <v>0</v>
      </c>
      <c r="G358" s="17">
        <f t="shared" si="47"/>
        <v>49</v>
      </c>
      <c r="J358" s="17">
        <f t="array" ref="J358">IF(ROW(J358)&lt;=COUNTA(D:D)*2,IF(MOD(ROW(J358),2)=1,INDEX(D:D,(ROW(J358)+1)/2),INDEX(F:F,ROW(J358)/2)),"")</f>
        <v>-355.9</v>
      </c>
      <c r="K358" s="17">
        <f t="array" ref="K358">IF(ROW(K358)&lt;=COUNTA(E:E)*2,IF(MOD(ROW(K358),2)=1,INDEX(E:E,(ROW(K358)+1)/2),INDEX(G:G,ROW(K358)/2)),"")</f>
        <v>50.97392</v>
      </c>
    </row>
    <row r="359" spans="1:11" x14ac:dyDescent="0.25">
      <c r="A359" s="17"/>
      <c r="B359" s="17"/>
      <c r="D359" s="17">
        <f t="shared" si="44"/>
        <v>0</v>
      </c>
      <c r="E359" s="17">
        <f t="shared" si="45"/>
        <v>49</v>
      </c>
      <c r="F359" s="17">
        <f t="shared" si="46"/>
        <v>0</v>
      </c>
      <c r="G359" s="17">
        <f t="shared" si="47"/>
        <v>49</v>
      </c>
      <c r="J359" s="17">
        <f t="array" ref="J359">IF(ROW(J359)&lt;=COUNTA(D:D)*2,IF(MOD(ROW(J359),2)=1,INDEX(D:D,(ROW(J359)+1)/2),INDEX(F:F,ROW(J359)/2)),"")</f>
        <v>-355.9</v>
      </c>
      <c r="K359" s="17">
        <f t="array" ref="K359">IF(ROW(K359)&lt;=COUNTA(E:E)*2,IF(MOD(ROW(K359),2)=1,INDEX(E:E,(ROW(K359)+1)/2),INDEX(G:G,ROW(K359)/2)),"")</f>
        <v>50.04152</v>
      </c>
    </row>
    <row r="360" spans="1:11" x14ac:dyDescent="0.25">
      <c r="A360" s="17"/>
      <c r="B360" s="17"/>
      <c r="D360" s="17">
        <f t="shared" si="44"/>
        <v>0</v>
      </c>
      <c r="E360" s="17">
        <f t="shared" si="45"/>
        <v>49</v>
      </c>
      <c r="F360" s="17">
        <f t="shared" si="46"/>
        <v>0</v>
      </c>
      <c r="G360" s="17">
        <f t="shared" si="47"/>
        <v>49</v>
      </c>
      <c r="J360" s="17">
        <f t="array" ref="J360">IF(ROW(J360)&lt;=COUNTA(D:D)*2,IF(MOD(ROW(J360),2)=1,INDEX(D:D,(ROW(J360)+1)/2),INDEX(F:F,ROW(J360)/2)),"")</f>
        <v>-357.9</v>
      </c>
      <c r="K360" s="17">
        <f t="array" ref="K360">IF(ROW(K360)&lt;=COUNTA(E:E)*2,IF(MOD(ROW(K360),2)=1,INDEX(E:E,(ROW(K360)+1)/2),INDEX(G:G,ROW(K360)/2)),"")</f>
        <v>50.04152</v>
      </c>
    </row>
    <row r="361" spans="1:11" x14ac:dyDescent="0.25">
      <c r="A361" s="17"/>
      <c r="B361" s="17"/>
      <c r="D361" s="17">
        <f t="shared" si="44"/>
        <v>0</v>
      </c>
      <c r="E361" s="17">
        <f t="shared" si="45"/>
        <v>49</v>
      </c>
      <c r="F361" s="17">
        <f t="shared" si="46"/>
        <v>0</v>
      </c>
      <c r="G361" s="17">
        <f t="shared" si="47"/>
        <v>49</v>
      </c>
      <c r="J361" s="17">
        <f t="array" ref="J361">IF(ROW(J361)&lt;=COUNTA(D:D)*2,IF(MOD(ROW(J361),2)=1,INDEX(D:D,(ROW(J361)+1)/2),INDEX(F:F,ROW(J361)/2)),"")</f>
        <v>-357.9</v>
      </c>
      <c r="K361" s="17">
        <f t="array" ref="K361">IF(ROW(K361)&lt;=COUNTA(E:E)*2,IF(MOD(ROW(K361),2)=1,INDEX(E:E,(ROW(K361)+1)/2),INDEX(G:G,ROW(K361)/2)),"")</f>
        <v>50.0726</v>
      </c>
    </row>
    <row r="362" spans="1:11" x14ac:dyDescent="0.25">
      <c r="A362" s="17"/>
      <c r="B362" s="17"/>
      <c r="D362" s="17">
        <f t="shared" si="44"/>
        <v>0</v>
      </c>
      <c r="E362" s="17">
        <f t="shared" si="45"/>
        <v>49</v>
      </c>
      <c r="F362" s="17">
        <f t="shared" si="46"/>
        <v>0</v>
      </c>
      <c r="G362" s="17">
        <f t="shared" si="47"/>
        <v>49</v>
      </c>
      <c r="J362" s="17">
        <f t="array" ref="J362">IF(ROW(J362)&lt;=COUNTA(D:D)*2,IF(MOD(ROW(J362),2)=1,INDEX(D:D,(ROW(J362)+1)/2),INDEX(F:F,ROW(J362)/2)),"")</f>
        <v>-359.9</v>
      </c>
      <c r="K362" s="17">
        <f t="array" ref="K362">IF(ROW(K362)&lt;=COUNTA(E:E)*2,IF(MOD(ROW(K362),2)=1,INDEX(E:E,(ROW(K362)+1)/2),INDEX(G:G,ROW(K362)/2)),"")</f>
        <v>50.0726</v>
      </c>
    </row>
    <row r="363" spans="1:11" x14ac:dyDescent="0.25">
      <c r="A363" s="17"/>
      <c r="B363" s="17"/>
      <c r="D363" s="17">
        <f t="shared" si="44"/>
        <v>0</v>
      </c>
      <c r="E363" s="17">
        <f t="shared" si="45"/>
        <v>49</v>
      </c>
      <c r="F363" s="17">
        <f t="shared" si="46"/>
        <v>0</v>
      </c>
      <c r="G363" s="17">
        <f t="shared" si="47"/>
        <v>49</v>
      </c>
      <c r="J363" s="17">
        <f t="array" ref="J363">IF(ROW(J363)&lt;=COUNTA(D:D)*2,IF(MOD(ROW(J363),2)=1,INDEX(D:D,(ROW(J363)+1)/2),INDEX(F:F,ROW(J363)/2)),"")</f>
        <v>-359.9</v>
      </c>
      <c r="K363" s="17">
        <f t="array" ref="K363">IF(ROW(K363)&lt;=COUNTA(E:E)*2,IF(MOD(ROW(K363),2)=1,INDEX(E:E,(ROW(K363)+1)/2),INDEX(G:G,ROW(K363)/2)),"")</f>
        <v>50.2</v>
      </c>
    </row>
    <row r="364" spans="1:11" x14ac:dyDescent="0.25">
      <c r="A364" s="17"/>
      <c r="B364" s="17"/>
      <c r="D364" s="17">
        <f t="shared" si="44"/>
        <v>0</v>
      </c>
      <c r="E364" s="17">
        <f t="shared" si="45"/>
        <v>49</v>
      </c>
      <c r="F364" s="17">
        <f t="shared" si="46"/>
        <v>0</v>
      </c>
      <c r="G364" s="17">
        <f t="shared" si="47"/>
        <v>49</v>
      </c>
      <c r="J364" s="17">
        <f t="array" ref="J364">IF(ROW(J364)&lt;=COUNTA(D:D)*2,IF(MOD(ROW(J364),2)=1,INDEX(D:D,(ROW(J364)+1)/2),INDEX(F:F,ROW(J364)/2)),"")</f>
        <v>-361.9</v>
      </c>
      <c r="K364" s="17">
        <f t="array" ref="K364">IF(ROW(K364)&lt;=COUNTA(E:E)*2,IF(MOD(ROW(K364),2)=1,INDEX(E:E,(ROW(K364)+1)/2),INDEX(G:G,ROW(K364)/2)),"")</f>
        <v>50.2</v>
      </c>
    </row>
    <row r="365" spans="1:11" x14ac:dyDescent="0.25">
      <c r="A365" s="17"/>
      <c r="B365" s="17"/>
      <c r="D365" s="17">
        <f t="shared" si="44"/>
        <v>0</v>
      </c>
      <c r="E365" s="17">
        <f t="shared" si="45"/>
        <v>49</v>
      </c>
      <c r="F365" s="17">
        <f t="shared" si="46"/>
        <v>0</v>
      </c>
      <c r="G365" s="17">
        <f t="shared" si="47"/>
        <v>49</v>
      </c>
      <c r="J365" s="17">
        <f t="array" ref="J365">IF(ROW(J365)&lt;=COUNTA(D:D)*2,IF(MOD(ROW(J365),2)=1,INDEX(D:D,(ROW(J365)+1)/2),INDEX(F:F,ROW(J365)/2)),"")</f>
        <v>-361.9</v>
      </c>
      <c r="K365" s="17">
        <f t="array" ref="K365">IF(ROW(K365)&lt;=COUNTA(E:E)*2,IF(MOD(ROW(K365),2)=1,INDEX(E:E,(ROW(K365)+1)/2),INDEX(G:G,ROW(K365)/2)),"")</f>
        <v>50.32</v>
      </c>
    </row>
    <row r="366" spans="1:11" x14ac:dyDescent="0.25">
      <c r="A366" s="17"/>
      <c r="B366" s="17"/>
      <c r="D366" s="17">
        <f t="shared" si="44"/>
        <v>0</v>
      </c>
      <c r="E366" s="17">
        <f t="shared" si="45"/>
        <v>49</v>
      </c>
      <c r="F366" s="17">
        <f t="shared" si="46"/>
        <v>0</v>
      </c>
      <c r="G366" s="17">
        <f t="shared" si="47"/>
        <v>49</v>
      </c>
      <c r="J366" s="17">
        <f t="array" ref="J366">IF(ROW(J366)&lt;=COUNTA(D:D)*2,IF(MOD(ROW(J366),2)=1,INDEX(D:D,(ROW(J366)+1)/2),INDEX(F:F,ROW(J366)/2)),"")</f>
        <v>-363.9</v>
      </c>
      <c r="K366" s="17">
        <f t="array" ref="K366">IF(ROW(K366)&lt;=COUNTA(E:E)*2,IF(MOD(ROW(K366),2)=1,INDEX(E:E,(ROW(K366)+1)/2),INDEX(G:G,ROW(K366)/2)),"")</f>
        <v>50.32</v>
      </c>
    </row>
    <row r="367" spans="1:11" x14ac:dyDescent="0.25">
      <c r="A367" s="17"/>
      <c r="B367" s="17"/>
      <c r="D367" s="17">
        <f t="shared" si="44"/>
        <v>0</v>
      </c>
      <c r="E367" s="17">
        <f t="shared" si="45"/>
        <v>49</v>
      </c>
      <c r="F367" s="17">
        <f t="shared" si="46"/>
        <v>0</v>
      </c>
      <c r="G367" s="17">
        <f t="shared" si="47"/>
        <v>49</v>
      </c>
      <c r="J367" s="17">
        <f t="array" ref="J367">IF(ROW(J367)&lt;=COUNTA(D:D)*2,IF(MOD(ROW(J367),2)=1,INDEX(D:D,(ROW(J367)+1)/2),INDEX(F:F,ROW(J367)/2)),"")</f>
        <v>-363.9</v>
      </c>
      <c r="K367" s="17">
        <f t="array" ref="K367">IF(ROW(K367)&lt;=COUNTA(E:E)*2,IF(MOD(ROW(K367),2)=1,INDEX(E:E,(ROW(K367)+1)/2),INDEX(G:G,ROW(K367)/2)),"")</f>
        <v>49.88</v>
      </c>
    </row>
    <row r="368" spans="1:11" x14ac:dyDescent="0.25">
      <c r="A368" s="17"/>
      <c r="B368" s="17"/>
      <c r="D368" s="17">
        <f t="shared" si="44"/>
        <v>0</v>
      </c>
      <c r="E368" s="17">
        <f t="shared" si="45"/>
        <v>49</v>
      </c>
      <c r="F368" s="17">
        <f t="shared" si="46"/>
        <v>0</v>
      </c>
      <c r="G368" s="17">
        <f t="shared" si="47"/>
        <v>49</v>
      </c>
      <c r="J368" s="17">
        <f t="array" ref="J368">IF(ROW(J368)&lt;=COUNTA(D:D)*2,IF(MOD(ROW(J368),2)=1,INDEX(D:D,(ROW(J368)+1)/2),INDEX(F:F,ROW(J368)/2)),"")</f>
        <v>-365.9</v>
      </c>
      <c r="K368" s="17">
        <f t="array" ref="K368">IF(ROW(K368)&lt;=COUNTA(E:E)*2,IF(MOD(ROW(K368),2)=1,INDEX(E:E,(ROW(K368)+1)/2),INDEX(G:G,ROW(K368)/2)),"")</f>
        <v>49.88</v>
      </c>
    </row>
    <row r="369" spans="1:11" x14ac:dyDescent="0.25">
      <c r="A369" s="17"/>
      <c r="B369" s="17"/>
      <c r="D369" s="17">
        <f t="shared" si="44"/>
        <v>0</v>
      </c>
      <c r="E369" s="17">
        <f t="shared" si="45"/>
        <v>49</v>
      </c>
      <c r="F369" s="17">
        <f t="shared" si="46"/>
        <v>0</v>
      </c>
      <c r="G369" s="17">
        <f t="shared" si="47"/>
        <v>49</v>
      </c>
      <c r="J369" s="17">
        <f t="array" ref="J369">IF(ROW(J369)&lt;=COUNTA(D:D)*2,IF(MOD(ROW(J369),2)=1,INDEX(D:D,(ROW(J369)+1)/2),INDEX(F:F,ROW(J369)/2)),"")</f>
        <v>-365.9</v>
      </c>
      <c r="K369" s="17">
        <f t="array" ref="K369">IF(ROW(K369)&lt;=COUNTA(E:E)*2,IF(MOD(ROW(K369),2)=1,INDEX(E:E,(ROW(K369)+1)/2),INDEX(G:G,ROW(K369)/2)),"")</f>
        <v>50.04</v>
      </c>
    </row>
    <row r="370" spans="1:11" x14ac:dyDescent="0.25">
      <c r="A370" s="17"/>
      <c r="B370" s="17"/>
      <c r="D370" s="17">
        <f t="shared" si="44"/>
        <v>0</v>
      </c>
      <c r="E370" s="17">
        <f t="shared" si="45"/>
        <v>49</v>
      </c>
      <c r="F370" s="17">
        <f t="shared" si="46"/>
        <v>0</v>
      </c>
      <c r="G370" s="17">
        <f t="shared" si="47"/>
        <v>49</v>
      </c>
      <c r="J370" s="17">
        <f t="array" ref="J370">IF(ROW(J370)&lt;=COUNTA(D:D)*2,IF(MOD(ROW(J370),2)=1,INDEX(D:D,(ROW(J370)+1)/2),INDEX(F:F,ROW(J370)/2)),"")</f>
        <v>-367.9</v>
      </c>
      <c r="K370" s="17">
        <f t="array" ref="K370">IF(ROW(K370)&lt;=COUNTA(E:E)*2,IF(MOD(ROW(K370),2)=1,INDEX(E:E,(ROW(K370)+1)/2),INDEX(G:G,ROW(K370)/2)),"")</f>
        <v>50.04</v>
      </c>
    </row>
    <row r="371" spans="1:11" x14ac:dyDescent="0.25">
      <c r="A371" s="17"/>
      <c r="B371" s="17"/>
      <c r="D371" s="17">
        <f t="shared" si="44"/>
        <v>0</v>
      </c>
      <c r="E371" s="17">
        <f t="shared" si="45"/>
        <v>49</v>
      </c>
      <c r="F371" s="17">
        <f t="shared" si="46"/>
        <v>0</v>
      </c>
      <c r="G371" s="17">
        <f t="shared" si="47"/>
        <v>49</v>
      </c>
      <c r="J371" s="17">
        <f t="array" ref="J371">IF(ROW(J371)&lt;=COUNTA(D:D)*2,IF(MOD(ROW(J371),2)=1,INDEX(D:D,(ROW(J371)+1)/2),INDEX(F:F,ROW(J371)/2)),"")</f>
        <v>-367.9</v>
      </c>
      <c r="K371" s="17">
        <f t="array" ref="K371">IF(ROW(K371)&lt;=COUNTA(E:E)*2,IF(MOD(ROW(K371),2)=1,INDEX(E:E,(ROW(K371)+1)/2),INDEX(G:G,ROW(K371)/2)),"")</f>
        <v>50.04</v>
      </c>
    </row>
    <row r="372" spans="1:11" x14ac:dyDescent="0.25">
      <c r="A372" s="17"/>
      <c r="B372" s="17"/>
      <c r="D372" s="17">
        <f t="shared" si="44"/>
        <v>0</v>
      </c>
      <c r="E372" s="17">
        <f t="shared" si="45"/>
        <v>49</v>
      </c>
      <c r="F372" s="17">
        <f t="shared" si="46"/>
        <v>0</v>
      </c>
      <c r="G372" s="17">
        <f t="shared" si="47"/>
        <v>49</v>
      </c>
      <c r="J372" s="17">
        <f t="array" ref="J372">IF(ROW(J372)&lt;=COUNTA(D:D)*2,IF(MOD(ROW(J372),2)=1,INDEX(D:D,(ROW(J372)+1)/2),INDEX(F:F,ROW(J372)/2)),"")</f>
        <v>-369.9</v>
      </c>
      <c r="K372" s="17">
        <f t="array" ref="K372">IF(ROW(K372)&lt;=COUNTA(E:E)*2,IF(MOD(ROW(K372),2)=1,INDEX(E:E,(ROW(K372)+1)/2),INDEX(G:G,ROW(K372)/2)),"")</f>
        <v>50.04</v>
      </c>
    </row>
    <row r="373" spans="1:11" x14ac:dyDescent="0.25">
      <c r="A373" s="17"/>
      <c r="B373" s="17"/>
      <c r="D373" s="17">
        <f t="shared" si="44"/>
        <v>0</v>
      </c>
      <c r="E373" s="17">
        <f t="shared" si="45"/>
        <v>49</v>
      </c>
      <c r="F373" s="17">
        <f t="shared" si="46"/>
        <v>0</v>
      </c>
      <c r="G373" s="17">
        <f t="shared" si="47"/>
        <v>49</v>
      </c>
      <c r="J373" s="17">
        <f t="array" ref="J373">IF(ROW(J373)&lt;=COUNTA(D:D)*2,IF(MOD(ROW(J373),2)=1,INDEX(D:D,(ROW(J373)+1)/2),INDEX(F:F,ROW(J373)/2)),"")</f>
        <v>-369.9</v>
      </c>
      <c r="K373" s="17">
        <f t="array" ref="K373">IF(ROW(K373)&lt;=COUNTA(E:E)*2,IF(MOD(ROW(K373),2)=1,INDEX(E:E,(ROW(K373)+1)/2),INDEX(G:G,ROW(K373)/2)),"")</f>
        <v>49.84</v>
      </c>
    </row>
    <row r="374" spans="1:11" x14ac:dyDescent="0.25">
      <c r="A374" s="17"/>
      <c r="B374" s="17"/>
      <c r="D374" s="17">
        <f t="shared" si="44"/>
        <v>0</v>
      </c>
      <c r="E374" s="17">
        <f t="shared" si="45"/>
        <v>49</v>
      </c>
      <c r="F374" s="17">
        <f t="shared" si="46"/>
        <v>0</v>
      </c>
      <c r="G374" s="17">
        <f t="shared" si="47"/>
        <v>49</v>
      </c>
      <c r="J374" s="17">
        <f t="array" ref="J374">IF(ROW(J374)&lt;=COUNTA(D:D)*2,IF(MOD(ROW(J374),2)=1,INDEX(D:D,(ROW(J374)+1)/2),INDEX(F:F,ROW(J374)/2)),"")</f>
        <v>-371.9</v>
      </c>
      <c r="K374" s="17">
        <f t="array" ref="K374">IF(ROW(K374)&lt;=COUNTA(E:E)*2,IF(MOD(ROW(K374),2)=1,INDEX(E:E,(ROW(K374)+1)/2),INDEX(G:G,ROW(K374)/2)),"")</f>
        <v>49.84</v>
      </c>
    </row>
    <row r="375" spans="1:11" x14ac:dyDescent="0.25">
      <c r="A375" s="17"/>
      <c r="B375" s="17"/>
      <c r="D375" s="17">
        <f t="shared" si="44"/>
        <v>0</v>
      </c>
      <c r="E375" s="17">
        <f t="shared" si="45"/>
        <v>49</v>
      </c>
      <c r="F375" s="17">
        <f t="shared" si="46"/>
        <v>0</v>
      </c>
      <c r="G375" s="17">
        <f t="shared" si="47"/>
        <v>49</v>
      </c>
      <c r="J375" s="17">
        <f t="array" ref="J375">IF(ROW(J375)&lt;=COUNTA(D:D)*2,IF(MOD(ROW(J375),2)=1,INDEX(D:D,(ROW(J375)+1)/2),INDEX(F:F,ROW(J375)/2)),"")</f>
        <v>-371.9</v>
      </c>
      <c r="K375" s="17">
        <f t="array" ref="K375">IF(ROW(K375)&lt;=COUNTA(E:E)*2,IF(MOD(ROW(K375),2)=1,INDEX(E:E,(ROW(K375)+1)/2),INDEX(G:G,ROW(K375)/2)),"")</f>
        <v>51</v>
      </c>
    </row>
    <row r="376" spans="1:11" x14ac:dyDescent="0.25">
      <c r="A376" s="17"/>
      <c r="B376" s="17"/>
      <c r="D376" s="17">
        <f t="shared" si="44"/>
        <v>0</v>
      </c>
      <c r="E376" s="17">
        <f t="shared" si="45"/>
        <v>49</v>
      </c>
      <c r="F376" s="17">
        <f t="shared" si="46"/>
        <v>0</v>
      </c>
      <c r="G376" s="17">
        <f t="shared" si="47"/>
        <v>49</v>
      </c>
      <c r="J376" s="17">
        <f t="array" ref="J376">IF(ROW(J376)&lt;=COUNTA(D:D)*2,IF(MOD(ROW(J376),2)=1,INDEX(D:D,(ROW(J376)+1)/2),INDEX(F:F,ROW(J376)/2)),"")</f>
        <v>-373.9</v>
      </c>
      <c r="K376" s="17">
        <f t="array" ref="K376">IF(ROW(K376)&lt;=COUNTA(E:E)*2,IF(MOD(ROW(K376),2)=1,INDEX(E:E,(ROW(K376)+1)/2),INDEX(G:G,ROW(K376)/2)),"")</f>
        <v>51</v>
      </c>
    </row>
    <row r="377" spans="1:11" x14ac:dyDescent="0.25">
      <c r="A377" s="17"/>
      <c r="B377" s="17"/>
      <c r="D377" s="17">
        <f t="shared" si="44"/>
        <v>0</v>
      </c>
      <c r="E377" s="17">
        <f t="shared" si="45"/>
        <v>49</v>
      </c>
      <c r="F377" s="17">
        <f t="shared" si="46"/>
        <v>0</v>
      </c>
      <c r="G377" s="17">
        <f t="shared" si="47"/>
        <v>49</v>
      </c>
      <c r="J377" s="17">
        <f t="array" ref="J377">IF(ROW(J377)&lt;=COUNTA(D:D)*2,IF(MOD(ROW(J377),2)=1,INDEX(D:D,(ROW(J377)+1)/2),INDEX(F:F,ROW(J377)/2)),"")</f>
        <v>-373.9</v>
      </c>
      <c r="K377" s="17">
        <f t="array" ref="K377">IF(ROW(K377)&lt;=COUNTA(E:E)*2,IF(MOD(ROW(K377),2)=1,INDEX(E:E,(ROW(K377)+1)/2),INDEX(G:G,ROW(K377)/2)),"")</f>
        <v>51</v>
      </c>
    </row>
    <row r="378" spans="1:11" x14ac:dyDescent="0.25">
      <c r="A378" s="17"/>
      <c r="B378" s="17"/>
      <c r="D378" s="17">
        <f t="shared" si="44"/>
        <v>0</v>
      </c>
      <c r="E378" s="17">
        <f t="shared" si="45"/>
        <v>49</v>
      </c>
      <c r="F378" s="17">
        <f t="shared" si="46"/>
        <v>0</v>
      </c>
      <c r="G378" s="17">
        <f t="shared" si="47"/>
        <v>49</v>
      </c>
      <c r="J378" s="17">
        <f t="array" ref="J378">IF(ROW(J378)&lt;=COUNTA(D:D)*2,IF(MOD(ROW(J378),2)=1,INDEX(D:D,(ROW(J378)+1)/2),INDEX(F:F,ROW(J378)/2)),"")</f>
        <v>-375.9</v>
      </c>
      <c r="K378" s="17">
        <f t="array" ref="K378">IF(ROW(K378)&lt;=COUNTA(E:E)*2,IF(MOD(ROW(K378),2)=1,INDEX(E:E,(ROW(K378)+1)/2),INDEX(G:G,ROW(K378)/2)),"")</f>
        <v>51</v>
      </c>
    </row>
    <row r="379" spans="1:11" x14ac:dyDescent="0.25">
      <c r="A379" s="17"/>
      <c r="B379" s="17"/>
      <c r="D379" s="17">
        <f t="shared" si="44"/>
        <v>0</v>
      </c>
      <c r="E379" s="17">
        <f t="shared" si="45"/>
        <v>49</v>
      </c>
      <c r="F379" s="17">
        <f t="shared" si="46"/>
        <v>0</v>
      </c>
      <c r="G379" s="17">
        <f t="shared" si="47"/>
        <v>49</v>
      </c>
      <c r="J379" s="17">
        <f t="array" ref="J379">IF(ROW(J379)&lt;=COUNTA(D:D)*2,IF(MOD(ROW(J379),2)=1,INDEX(D:D,(ROW(J379)+1)/2),INDEX(F:F,ROW(J379)/2)),"")</f>
        <v>-375.9</v>
      </c>
      <c r="K379" s="17">
        <f t="array" ref="K379">IF(ROW(K379)&lt;=COUNTA(E:E)*2,IF(MOD(ROW(K379),2)=1,INDEX(E:E,(ROW(K379)+1)/2),INDEX(G:G,ROW(K379)/2)),"")</f>
        <v>51</v>
      </c>
    </row>
    <row r="380" spans="1:11" x14ac:dyDescent="0.25">
      <c r="A380" s="17"/>
      <c r="B380" s="17"/>
      <c r="D380" s="17">
        <f t="shared" si="44"/>
        <v>0</v>
      </c>
      <c r="E380" s="17">
        <f t="shared" si="45"/>
        <v>49</v>
      </c>
      <c r="F380" s="17">
        <f t="shared" si="46"/>
        <v>0</v>
      </c>
      <c r="G380" s="17">
        <f t="shared" si="47"/>
        <v>49</v>
      </c>
      <c r="J380" s="17">
        <f t="array" ref="J380">IF(ROW(J380)&lt;=COUNTA(D:D)*2,IF(MOD(ROW(J380),2)=1,INDEX(D:D,(ROW(J380)+1)/2),INDEX(F:F,ROW(J380)/2)),"")</f>
        <v>-377.9</v>
      </c>
      <c r="K380" s="17">
        <f t="array" ref="K380">IF(ROW(K380)&lt;=COUNTA(E:E)*2,IF(MOD(ROW(K380),2)=1,INDEX(E:E,(ROW(K380)+1)/2),INDEX(G:G,ROW(K380)/2)),"")</f>
        <v>51</v>
      </c>
    </row>
    <row r="381" spans="1:11" x14ac:dyDescent="0.25">
      <c r="A381" s="17"/>
      <c r="B381" s="17"/>
      <c r="D381" s="17">
        <f t="shared" si="44"/>
        <v>0</v>
      </c>
      <c r="E381" s="17">
        <f t="shared" si="45"/>
        <v>49</v>
      </c>
      <c r="F381" s="17">
        <f t="shared" si="46"/>
        <v>0</v>
      </c>
      <c r="G381" s="17">
        <f t="shared" si="47"/>
        <v>49</v>
      </c>
      <c r="J381" s="17">
        <f t="array" ref="J381">IF(ROW(J381)&lt;=COUNTA(D:D)*2,IF(MOD(ROW(J381),2)=1,INDEX(D:D,(ROW(J381)+1)/2),INDEX(F:F,ROW(J381)/2)),"")</f>
        <v>-377.9</v>
      </c>
      <c r="K381" s="17">
        <f t="array" ref="K381">IF(ROW(K381)&lt;=COUNTA(E:E)*2,IF(MOD(ROW(K381),2)=1,INDEX(E:E,(ROW(K381)+1)/2),INDEX(G:G,ROW(K381)/2)),"")</f>
        <v>51</v>
      </c>
    </row>
    <row r="382" spans="1:11" x14ac:dyDescent="0.25">
      <c r="A382" s="17"/>
      <c r="B382" s="17"/>
      <c r="D382" s="17">
        <f t="shared" si="44"/>
        <v>0</v>
      </c>
      <c r="E382" s="17">
        <f t="shared" si="45"/>
        <v>49</v>
      </c>
      <c r="F382" s="17">
        <f t="shared" si="46"/>
        <v>0</v>
      </c>
      <c r="G382" s="17">
        <f t="shared" si="47"/>
        <v>49</v>
      </c>
      <c r="J382" s="17">
        <f t="array" ref="J382">IF(ROW(J382)&lt;=COUNTA(D:D)*2,IF(MOD(ROW(J382),2)=1,INDEX(D:D,(ROW(J382)+1)/2),INDEX(F:F,ROW(J382)/2)),"")</f>
        <v>-379.9</v>
      </c>
      <c r="K382" s="17">
        <f t="array" ref="K382">IF(ROW(K382)&lt;=COUNTA(E:E)*2,IF(MOD(ROW(K382),2)=1,INDEX(E:E,(ROW(K382)+1)/2),INDEX(G:G,ROW(K382)/2)),"")</f>
        <v>51</v>
      </c>
    </row>
    <row r="383" spans="1:11" x14ac:dyDescent="0.25">
      <c r="A383" s="17"/>
      <c r="B383" s="17"/>
      <c r="D383" s="17">
        <f t="shared" si="44"/>
        <v>0</v>
      </c>
      <c r="E383" s="17">
        <f t="shared" si="45"/>
        <v>49</v>
      </c>
      <c r="F383" s="17">
        <f t="shared" si="46"/>
        <v>0</v>
      </c>
      <c r="G383" s="17">
        <f t="shared" si="47"/>
        <v>49</v>
      </c>
      <c r="J383" s="17">
        <f t="array" ref="J383">IF(ROW(J383)&lt;=COUNTA(D:D)*2,IF(MOD(ROW(J383),2)=1,INDEX(D:D,(ROW(J383)+1)/2),INDEX(F:F,ROW(J383)/2)),"")</f>
        <v>-379.9</v>
      </c>
      <c r="K383" s="17">
        <f t="array" ref="K383">IF(ROW(K383)&lt;=COUNTA(E:E)*2,IF(MOD(ROW(K383),2)=1,INDEX(E:E,(ROW(K383)+1)/2),INDEX(G:G,ROW(K383)/2)),"")</f>
        <v>51</v>
      </c>
    </row>
    <row r="384" spans="1:11" x14ac:dyDescent="0.25">
      <c r="A384" s="17"/>
      <c r="B384" s="17"/>
      <c r="D384" s="17">
        <f t="shared" si="44"/>
        <v>0</v>
      </c>
      <c r="E384" s="17">
        <f t="shared" si="45"/>
        <v>49</v>
      </c>
      <c r="F384" s="17">
        <f t="shared" si="46"/>
        <v>0</v>
      </c>
      <c r="G384" s="17">
        <f t="shared" si="47"/>
        <v>49</v>
      </c>
      <c r="J384" s="17">
        <f t="array" ref="J384">IF(ROW(J384)&lt;=COUNTA(D:D)*2,IF(MOD(ROW(J384),2)=1,INDEX(D:D,(ROW(J384)+1)/2),INDEX(F:F,ROW(J384)/2)),"")</f>
        <v>-381.9</v>
      </c>
      <c r="K384" s="17">
        <f t="array" ref="K384">IF(ROW(K384)&lt;=COUNTA(E:E)*2,IF(MOD(ROW(K384),2)=1,INDEX(E:E,(ROW(K384)+1)/2),INDEX(G:G,ROW(K384)/2)),"")</f>
        <v>51</v>
      </c>
    </row>
    <row r="385" spans="1:11" x14ac:dyDescent="0.25">
      <c r="A385" s="17"/>
      <c r="B385" s="17"/>
      <c r="D385" s="17">
        <f t="shared" si="44"/>
        <v>0</v>
      </c>
      <c r="E385" s="17">
        <f t="shared" si="45"/>
        <v>49</v>
      </c>
      <c r="F385" s="17">
        <f t="shared" si="46"/>
        <v>0</v>
      </c>
      <c r="G385" s="17">
        <f t="shared" si="47"/>
        <v>49</v>
      </c>
      <c r="J385" s="17">
        <f t="array" ref="J385">IF(ROW(J385)&lt;=COUNTA(D:D)*2,IF(MOD(ROW(J385),2)=1,INDEX(D:D,(ROW(J385)+1)/2),INDEX(F:F,ROW(J385)/2)),"")</f>
        <v>-381.9</v>
      </c>
      <c r="K385" s="17">
        <f t="array" ref="K385">IF(ROW(K385)&lt;=COUNTA(E:E)*2,IF(MOD(ROW(K385),2)=1,INDEX(E:E,(ROW(K385)+1)/2),INDEX(G:G,ROW(K385)/2)),"")</f>
        <v>51</v>
      </c>
    </row>
    <row r="386" spans="1:11" x14ac:dyDescent="0.25">
      <c r="A386" s="17"/>
      <c r="B386" s="17"/>
      <c r="D386" s="17">
        <f t="shared" si="44"/>
        <v>0</v>
      </c>
      <c r="E386" s="17">
        <f t="shared" si="45"/>
        <v>49</v>
      </c>
      <c r="F386" s="17">
        <f t="shared" si="46"/>
        <v>0</v>
      </c>
      <c r="G386" s="17">
        <f t="shared" si="47"/>
        <v>49</v>
      </c>
      <c r="J386" s="17">
        <f t="array" ref="J386">IF(ROW(J386)&lt;=COUNTA(D:D)*2,IF(MOD(ROW(J386),2)=1,INDEX(D:D,(ROW(J386)+1)/2),INDEX(F:F,ROW(J386)/2)),"")</f>
        <v>-383.9</v>
      </c>
      <c r="K386" s="17">
        <f t="array" ref="K386">IF(ROW(K386)&lt;=COUNTA(E:E)*2,IF(MOD(ROW(K386),2)=1,INDEX(E:E,(ROW(K386)+1)/2),INDEX(G:G,ROW(K386)/2)),"")</f>
        <v>51</v>
      </c>
    </row>
    <row r="387" spans="1:11" x14ac:dyDescent="0.25">
      <c r="A387" s="17"/>
      <c r="B387" s="17"/>
      <c r="D387" s="17">
        <f t="shared" si="44"/>
        <v>0</v>
      </c>
      <c r="E387" s="17">
        <f t="shared" si="45"/>
        <v>49</v>
      </c>
      <c r="F387" s="17">
        <f t="shared" si="46"/>
        <v>0</v>
      </c>
      <c r="G387" s="17">
        <f t="shared" si="47"/>
        <v>49</v>
      </c>
      <c r="J387" s="17">
        <f t="array" ref="J387">IF(ROW(J387)&lt;=COUNTA(D:D)*2,IF(MOD(ROW(J387),2)=1,INDEX(D:D,(ROW(J387)+1)/2),INDEX(F:F,ROW(J387)/2)),"")</f>
        <v>-383.9</v>
      </c>
      <c r="K387" s="17">
        <f t="array" ref="K387">IF(ROW(K387)&lt;=COUNTA(E:E)*2,IF(MOD(ROW(K387),2)=1,INDEX(E:E,(ROW(K387)+1)/2),INDEX(G:G,ROW(K387)/2)),"")</f>
        <v>51</v>
      </c>
    </row>
    <row r="388" spans="1:11" x14ac:dyDescent="0.25">
      <c r="A388" s="17"/>
      <c r="B388" s="17"/>
      <c r="J388" s="17">
        <f t="array" ref="J388">IF(ROW(J388)&lt;=COUNTA(D:D)*2,IF(MOD(ROW(J388),2)=1,INDEX(D:D,(ROW(J388)+1)/2),INDEX(F:F,ROW(J388)/2)),"")</f>
        <v>-385.9</v>
      </c>
      <c r="K388" s="17">
        <f t="array" ref="K388">IF(ROW(K388)&lt;=COUNTA(E:E)*2,IF(MOD(ROW(K388),2)=1,INDEX(E:E,(ROW(K388)+1)/2),INDEX(G:G,ROW(K388)/2)),"")</f>
        <v>51</v>
      </c>
    </row>
    <row r="389" spans="1:11" x14ac:dyDescent="0.25">
      <c r="A389" s="17"/>
      <c r="B389" s="17"/>
      <c r="J389" s="17">
        <f t="array" ref="J389">IF(ROW(J389)&lt;=COUNTA(D:D)*2,IF(MOD(ROW(J389),2)=1,INDEX(D:D,(ROW(J389)+1)/2),INDEX(F:F,ROW(J389)/2)),"")</f>
        <v>-385.9</v>
      </c>
      <c r="K389" s="17">
        <f t="array" ref="K389">IF(ROW(K389)&lt;=COUNTA(E:E)*2,IF(MOD(ROW(K389),2)=1,INDEX(E:E,(ROW(K389)+1)/2),INDEX(G:G,ROW(K389)/2)),"")</f>
        <v>50.32</v>
      </c>
    </row>
    <row r="390" spans="1:11" x14ac:dyDescent="0.25">
      <c r="A390" s="17"/>
      <c r="B390" s="17"/>
      <c r="J390" s="17">
        <f t="array" ref="J390">IF(ROW(J390)&lt;=COUNTA(D:D)*2,IF(MOD(ROW(J390),2)=1,INDEX(D:D,(ROW(J390)+1)/2),INDEX(F:F,ROW(J390)/2)),"")</f>
        <v>-387.9</v>
      </c>
      <c r="K390" s="17">
        <f t="array" ref="K390">IF(ROW(K390)&lt;=COUNTA(E:E)*2,IF(MOD(ROW(K390),2)=1,INDEX(E:E,(ROW(K390)+1)/2),INDEX(G:G,ROW(K390)/2)),"")</f>
        <v>50.32</v>
      </c>
    </row>
    <row r="391" spans="1:11" x14ac:dyDescent="0.25">
      <c r="A391" s="17"/>
      <c r="B391" s="17"/>
      <c r="J391" s="17">
        <f t="array" ref="J391">IF(ROW(J391)&lt;=COUNTA(D:D)*2,IF(MOD(ROW(J391),2)=1,INDEX(D:D,(ROW(J391)+1)/2),INDEX(F:F,ROW(J391)/2)),"")</f>
        <v>-387.9</v>
      </c>
      <c r="K391" s="17">
        <f t="array" ref="K391">IF(ROW(K391)&lt;=COUNTA(E:E)*2,IF(MOD(ROW(K391),2)=1,INDEX(E:E,(ROW(K391)+1)/2),INDEX(G:G,ROW(K391)/2)),"")</f>
        <v>51.04</v>
      </c>
    </row>
    <row r="392" spans="1:11" x14ac:dyDescent="0.25">
      <c r="A392" s="17"/>
      <c r="B392" s="17"/>
      <c r="J392" s="17">
        <f t="array" ref="J392">IF(ROW(J392)&lt;=COUNTA(D:D)*2,IF(MOD(ROW(J392),2)=1,INDEX(D:D,(ROW(J392)+1)/2),INDEX(F:F,ROW(J392)/2)),"")</f>
        <v>-389.9</v>
      </c>
      <c r="K392" s="17">
        <f t="array" ref="K392">IF(ROW(K392)&lt;=COUNTA(E:E)*2,IF(MOD(ROW(K392),2)=1,INDEX(E:E,(ROW(K392)+1)/2),INDEX(G:G,ROW(K392)/2)),"")</f>
        <v>51.04</v>
      </c>
    </row>
    <row r="393" spans="1:11" x14ac:dyDescent="0.25">
      <c r="A393" s="17"/>
      <c r="B393" s="17"/>
      <c r="J393" s="17">
        <f t="array" ref="J393">IF(ROW(J393)&lt;=COUNTA(D:D)*2,IF(MOD(ROW(J393),2)=1,INDEX(D:D,(ROW(J393)+1)/2),INDEX(F:F,ROW(J393)/2)),"")</f>
        <v>-389.9</v>
      </c>
      <c r="K393" s="17">
        <f t="array" ref="K393">IF(ROW(K393)&lt;=COUNTA(E:E)*2,IF(MOD(ROW(K393),2)=1,INDEX(E:E,(ROW(K393)+1)/2),INDEX(G:G,ROW(K393)/2)),"")</f>
        <v>51.04</v>
      </c>
    </row>
    <row r="394" spans="1:11" x14ac:dyDescent="0.25">
      <c r="A394" s="17"/>
      <c r="B394" s="17"/>
      <c r="J394" s="17">
        <f t="array" ref="J394">IF(ROW(J394)&lt;=COUNTA(D:D)*2,IF(MOD(ROW(J394),2)=1,INDEX(D:D,(ROW(J394)+1)/2),INDEX(F:F,ROW(J394)/2)),"")</f>
        <v>-391.9</v>
      </c>
      <c r="K394" s="17">
        <f t="array" ref="K394">IF(ROW(K394)&lt;=COUNTA(E:E)*2,IF(MOD(ROW(K394),2)=1,INDEX(E:E,(ROW(K394)+1)/2),INDEX(G:G,ROW(K394)/2)),"")</f>
        <v>51.04</v>
      </c>
    </row>
    <row r="395" spans="1:11" x14ac:dyDescent="0.25">
      <c r="A395" s="17"/>
      <c r="B395" s="17"/>
      <c r="J395" s="17">
        <f t="array" ref="J395">IF(ROW(J395)&lt;=COUNTA(D:D)*2,IF(MOD(ROW(J395),2)=1,INDEX(D:D,(ROW(J395)+1)/2),INDEX(F:F,ROW(J395)/2)),"")</f>
        <v>-391.9</v>
      </c>
      <c r="K395" s="17">
        <f t="array" ref="K395">IF(ROW(K395)&lt;=COUNTA(E:E)*2,IF(MOD(ROW(K395),2)=1,INDEX(E:E,(ROW(K395)+1)/2),INDEX(G:G,ROW(K395)/2)),"")</f>
        <v>51.08</v>
      </c>
    </row>
    <row r="396" spans="1:11" x14ac:dyDescent="0.25">
      <c r="A396" s="17"/>
      <c r="B396" s="17"/>
      <c r="J396" s="17">
        <f t="array" ref="J396">IF(ROW(J396)&lt;=COUNTA(D:D)*2,IF(MOD(ROW(J396),2)=1,INDEX(D:D,(ROW(J396)+1)/2),INDEX(F:F,ROW(J396)/2)),"")</f>
        <v>-393.9</v>
      </c>
      <c r="K396" s="17">
        <f t="array" ref="K396">IF(ROW(K396)&lt;=COUNTA(E:E)*2,IF(MOD(ROW(K396),2)=1,INDEX(E:E,(ROW(K396)+1)/2),INDEX(G:G,ROW(K396)/2)),"")</f>
        <v>51.08</v>
      </c>
    </row>
    <row r="397" spans="1:11" x14ac:dyDescent="0.25">
      <c r="A397" s="17"/>
      <c r="B397" s="17"/>
      <c r="J397" s="17">
        <f t="array" ref="J397">IF(ROW(J397)&lt;=COUNTA(D:D)*2,IF(MOD(ROW(J397),2)=1,INDEX(D:D,(ROW(J397)+1)/2),INDEX(F:F,ROW(J397)/2)),"")</f>
        <v>-393.9</v>
      </c>
      <c r="K397" s="17">
        <f t="array" ref="K397">IF(ROW(K397)&lt;=COUNTA(E:E)*2,IF(MOD(ROW(K397),2)=1,INDEX(E:E,(ROW(K397)+1)/2),INDEX(G:G,ROW(K397)/2)),"")</f>
        <v>51.08</v>
      </c>
    </row>
    <row r="398" spans="1:11" x14ac:dyDescent="0.25">
      <c r="A398" s="17"/>
      <c r="B398" s="17"/>
      <c r="J398" s="17">
        <f t="array" ref="J398">IF(ROW(J398)&lt;=COUNTA(D:D)*2,IF(MOD(ROW(J398),2)=1,INDEX(D:D,(ROW(J398)+1)/2),INDEX(F:F,ROW(J398)/2)),"")</f>
        <v>-395.9</v>
      </c>
      <c r="K398" s="17">
        <f t="array" ref="K398">IF(ROW(K398)&lt;=COUNTA(E:E)*2,IF(MOD(ROW(K398),2)=1,INDEX(E:E,(ROW(K398)+1)/2),INDEX(G:G,ROW(K398)/2)),"")</f>
        <v>51.08</v>
      </c>
    </row>
    <row r="399" spans="1:11" x14ac:dyDescent="0.25">
      <c r="A399" s="17"/>
      <c r="B399" s="17"/>
      <c r="J399" s="17">
        <f t="array" ref="J399">IF(ROW(J399)&lt;=COUNTA(D:D)*2,IF(MOD(ROW(J399),2)=1,INDEX(D:D,(ROW(J399)+1)/2),INDEX(F:F,ROW(J399)/2)),"")</f>
        <v>-395.9</v>
      </c>
      <c r="K399" s="17">
        <f t="array" ref="K399">IF(ROW(K399)&lt;=COUNTA(E:E)*2,IF(MOD(ROW(K399),2)=1,INDEX(E:E,(ROW(K399)+1)/2),INDEX(G:G,ROW(K399)/2)),"")</f>
        <v>51.08</v>
      </c>
    </row>
    <row r="400" spans="1:11" x14ac:dyDescent="0.25">
      <c r="A400" s="17"/>
      <c r="B400" s="17"/>
      <c r="J400" s="17">
        <f t="array" ref="J400">IF(ROW(J400)&lt;=COUNTA(D:D)*2,IF(MOD(ROW(J400),2)=1,INDEX(D:D,(ROW(J400)+1)/2),INDEX(F:F,ROW(J400)/2)),"")</f>
        <v>-397.9</v>
      </c>
      <c r="K400" s="17">
        <f t="array" ref="K400">IF(ROW(K400)&lt;=COUNTA(E:E)*2,IF(MOD(ROW(K400),2)=1,INDEX(E:E,(ROW(K400)+1)/2),INDEX(G:G,ROW(K400)/2)),"")</f>
        <v>51.08</v>
      </c>
    </row>
    <row r="401" spans="1:11" x14ac:dyDescent="0.25">
      <c r="A401" s="17"/>
      <c r="B401" s="17"/>
      <c r="J401" s="17">
        <f t="array" ref="J401">IF(ROW(J401)&lt;=COUNTA(D:D)*2,IF(MOD(ROW(J401),2)=1,INDEX(D:D,(ROW(J401)+1)/2),INDEX(F:F,ROW(J401)/2)),"")</f>
        <v>-397.9</v>
      </c>
      <c r="K401" s="17">
        <f t="array" ref="K401">IF(ROW(K401)&lt;=COUNTA(E:E)*2,IF(MOD(ROW(K401),2)=1,INDEX(E:E,(ROW(K401)+1)/2),INDEX(G:G,ROW(K401)/2)),"")</f>
        <v>51.08</v>
      </c>
    </row>
    <row r="402" spans="1:11" x14ac:dyDescent="0.25">
      <c r="A402" s="17"/>
      <c r="B402" s="17"/>
      <c r="J402" s="17">
        <f t="array" ref="J402">IF(ROW(J402)&lt;=COUNTA(D:D)*2,IF(MOD(ROW(J402),2)=1,INDEX(D:D,(ROW(J402)+1)/2),INDEX(F:F,ROW(J402)/2)),"")</f>
        <v>-399.9</v>
      </c>
      <c r="K402" s="17">
        <f t="array" ref="K402">IF(ROW(K402)&lt;=COUNTA(E:E)*2,IF(MOD(ROW(K402),2)=1,INDEX(E:E,(ROW(K402)+1)/2),INDEX(G:G,ROW(K402)/2)),"")</f>
        <v>51.08</v>
      </c>
    </row>
    <row r="403" spans="1:11" x14ac:dyDescent="0.25">
      <c r="A403" s="17"/>
      <c r="B403" s="17"/>
      <c r="J403" s="17">
        <f t="array" ref="J403">IF(ROW(J403)&lt;=COUNTA(D:D)*2,IF(MOD(ROW(J403),2)=1,INDEX(D:D,(ROW(J403)+1)/2),INDEX(F:F,ROW(J403)/2)),"")</f>
        <v>-399.9</v>
      </c>
      <c r="K403" s="17">
        <f t="array" ref="K403">IF(ROW(K403)&lt;=COUNTA(E:E)*2,IF(MOD(ROW(K403),2)=1,INDEX(E:E,(ROW(K403)+1)/2),INDEX(G:G,ROW(K403)/2)),"")</f>
        <v>52.48</v>
      </c>
    </row>
    <row r="404" spans="1:11" x14ac:dyDescent="0.25">
      <c r="A404" s="17"/>
      <c r="B404" s="17"/>
      <c r="J404" s="17">
        <f t="array" ref="J404">IF(ROW(J404)&lt;=COUNTA(D:D)*2,IF(MOD(ROW(J404),2)=1,INDEX(D:D,(ROW(J404)+1)/2),INDEX(F:F,ROW(J404)/2)),"")</f>
        <v>-401.9</v>
      </c>
      <c r="K404" s="17">
        <f t="array" ref="K404">IF(ROW(K404)&lt;=COUNTA(E:E)*2,IF(MOD(ROW(K404),2)=1,INDEX(E:E,(ROW(K404)+1)/2),INDEX(G:G,ROW(K404)/2)),"")</f>
        <v>52.48</v>
      </c>
    </row>
    <row r="405" spans="1:11" x14ac:dyDescent="0.25">
      <c r="A405" s="17"/>
      <c r="B405" s="17"/>
      <c r="J405" s="17">
        <f t="array" ref="J405">IF(ROW(J405)&lt;=COUNTA(D:D)*2,IF(MOD(ROW(J405),2)=1,INDEX(D:D,(ROW(J405)+1)/2),INDEX(F:F,ROW(J405)/2)),"")</f>
        <v>-401.9</v>
      </c>
      <c r="K405" s="17">
        <f t="array" ref="K405">IF(ROW(K405)&lt;=COUNTA(E:E)*2,IF(MOD(ROW(K405),2)=1,INDEX(E:E,(ROW(K405)+1)/2),INDEX(G:G,ROW(K405)/2)),"")</f>
        <v>51.08</v>
      </c>
    </row>
    <row r="406" spans="1:11" x14ac:dyDescent="0.25">
      <c r="A406" s="17"/>
      <c r="B406" s="17"/>
      <c r="J406" s="17">
        <f t="array" ref="J406">IF(ROW(J406)&lt;=COUNTA(D:D)*2,IF(MOD(ROW(J406),2)=1,INDEX(D:D,(ROW(J406)+1)/2),INDEX(F:F,ROW(J406)/2)),"")</f>
        <v>-403.9</v>
      </c>
      <c r="K406" s="17">
        <f t="array" ref="K406">IF(ROW(K406)&lt;=COUNTA(E:E)*2,IF(MOD(ROW(K406),2)=1,INDEX(E:E,(ROW(K406)+1)/2),INDEX(G:G,ROW(K406)/2)),"")</f>
        <v>51.08</v>
      </c>
    </row>
    <row r="407" spans="1:11" x14ac:dyDescent="0.25">
      <c r="A407" s="17"/>
      <c r="B407" s="17"/>
      <c r="J407" s="17">
        <f t="array" ref="J407">IF(ROW(J407)&lt;=COUNTA(D:D)*2,IF(MOD(ROW(J407),2)=1,INDEX(D:D,(ROW(J407)+1)/2),INDEX(F:F,ROW(J407)/2)),"")</f>
        <v>-403.9</v>
      </c>
      <c r="K407" s="17">
        <f t="array" ref="K407">IF(ROW(K407)&lt;=COUNTA(E:E)*2,IF(MOD(ROW(K407),2)=1,INDEX(E:E,(ROW(K407)+1)/2),INDEX(G:G,ROW(K407)/2)),"")</f>
        <v>51.12</v>
      </c>
    </row>
    <row r="408" spans="1:11" x14ac:dyDescent="0.25">
      <c r="A408" s="17"/>
      <c r="B408" s="17"/>
      <c r="J408" s="17">
        <f t="array" ref="J408">IF(ROW(J408)&lt;=COUNTA(D:D)*2,IF(MOD(ROW(J408),2)=1,INDEX(D:D,(ROW(J408)+1)/2),INDEX(F:F,ROW(J408)/2)),"")</f>
        <v>-405.9</v>
      </c>
      <c r="K408" s="17">
        <f t="array" ref="K408">IF(ROW(K408)&lt;=COUNTA(E:E)*2,IF(MOD(ROW(K408),2)=1,INDEX(E:E,(ROW(K408)+1)/2),INDEX(G:G,ROW(K408)/2)),"")</f>
        <v>51.12</v>
      </c>
    </row>
    <row r="409" spans="1:11" x14ac:dyDescent="0.25">
      <c r="A409" s="17"/>
      <c r="B409" s="17"/>
      <c r="J409" s="17">
        <f t="array" ref="J409">IF(ROW(J409)&lt;=COUNTA(D:D)*2,IF(MOD(ROW(J409),2)=1,INDEX(D:D,(ROW(J409)+1)/2),INDEX(F:F,ROW(J409)/2)),"")</f>
        <v>-405.9</v>
      </c>
      <c r="K409" s="17">
        <f t="array" ref="K409">IF(ROW(K409)&lt;=COUNTA(E:E)*2,IF(MOD(ROW(K409),2)=1,INDEX(E:E,(ROW(K409)+1)/2),INDEX(G:G,ROW(K409)/2)),"")</f>
        <v>50.68</v>
      </c>
    </row>
    <row r="410" spans="1:11" x14ac:dyDescent="0.25">
      <c r="A410" s="17"/>
      <c r="B410" s="17"/>
      <c r="J410" s="17">
        <f t="array" ref="J410">IF(ROW(J410)&lt;=COUNTA(D:D)*2,IF(MOD(ROW(J410),2)=1,INDEX(D:D,(ROW(J410)+1)/2),INDEX(F:F,ROW(J410)/2)),"")</f>
        <v>-407.9</v>
      </c>
      <c r="K410" s="17">
        <f t="array" ref="K410">IF(ROW(K410)&lt;=COUNTA(E:E)*2,IF(MOD(ROW(K410),2)=1,INDEX(E:E,(ROW(K410)+1)/2),INDEX(G:G,ROW(K410)/2)),"")</f>
        <v>50.68</v>
      </c>
    </row>
    <row r="411" spans="1:11" x14ac:dyDescent="0.25">
      <c r="A411" s="17"/>
      <c r="B411" s="17"/>
      <c r="J411" s="17">
        <f t="array" ref="J411">IF(ROW(J411)&lt;=COUNTA(D:D)*2,IF(MOD(ROW(J411),2)=1,INDEX(D:D,(ROW(J411)+1)/2),INDEX(F:F,ROW(J411)/2)),"")</f>
        <v>-407.9</v>
      </c>
      <c r="K411" s="17">
        <f t="array" ref="K411">IF(ROW(K411)&lt;=COUNTA(E:E)*2,IF(MOD(ROW(K411),2)=1,INDEX(E:E,(ROW(K411)+1)/2),INDEX(G:G,ROW(K411)/2)),"")</f>
        <v>50.68</v>
      </c>
    </row>
    <row r="412" spans="1:11" x14ac:dyDescent="0.25">
      <c r="A412" s="17"/>
      <c r="B412" s="17"/>
      <c r="J412" s="17">
        <f t="array" ref="J412">IF(ROW(J412)&lt;=COUNTA(D:D)*2,IF(MOD(ROW(J412),2)=1,INDEX(D:D,(ROW(J412)+1)/2),INDEX(F:F,ROW(J412)/2)),"")</f>
        <v>-409.9</v>
      </c>
      <c r="K412" s="17">
        <f t="array" ref="K412">IF(ROW(K412)&lt;=COUNTA(E:E)*2,IF(MOD(ROW(K412),2)=1,INDEX(E:E,(ROW(K412)+1)/2),INDEX(G:G,ROW(K412)/2)),"")</f>
        <v>50.68</v>
      </c>
    </row>
    <row r="413" spans="1:11" x14ac:dyDescent="0.25">
      <c r="A413" s="17"/>
      <c r="B413" s="17"/>
      <c r="J413" s="17">
        <f t="array" ref="J413">IF(ROW(J413)&lt;=COUNTA(D:D)*2,IF(MOD(ROW(J413),2)=1,INDEX(D:D,(ROW(J413)+1)/2),INDEX(F:F,ROW(J413)/2)),"")</f>
        <v>-409.9</v>
      </c>
      <c r="K413" s="17">
        <f t="array" ref="K413">IF(ROW(K413)&lt;=COUNTA(E:E)*2,IF(MOD(ROW(K413),2)=1,INDEX(E:E,(ROW(K413)+1)/2),INDEX(G:G,ROW(K413)/2)),"")</f>
        <v>49.92</v>
      </c>
    </row>
    <row r="414" spans="1:11" x14ac:dyDescent="0.25">
      <c r="A414" s="17"/>
      <c r="B414" s="17"/>
      <c r="J414" s="17">
        <f t="array" ref="J414">IF(ROW(J414)&lt;=COUNTA(D:D)*2,IF(MOD(ROW(J414),2)=1,INDEX(D:D,(ROW(J414)+1)/2),INDEX(F:F,ROW(J414)/2)),"")</f>
        <v>-411.9</v>
      </c>
      <c r="K414" s="17">
        <f t="array" ref="K414">IF(ROW(K414)&lt;=COUNTA(E:E)*2,IF(MOD(ROW(K414),2)=1,INDEX(E:E,(ROW(K414)+1)/2),INDEX(G:G,ROW(K414)/2)),"")</f>
        <v>49.92</v>
      </c>
    </row>
    <row r="415" spans="1:11" x14ac:dyDescent="0.25">
      <c r="A415" s="17"/>
      <c r="B415" s="17"/>
      <c r="J415" s="17">
        <f t="array" ref="J415">IF(ROW(J415)&lt;=COUNTA(D:D)*2,IF(MOD(ROW(J415),2)=1,INDEX(D:D,(ROW(J415)+1)/2),INDEX(F:F,ROW(J415)/2)),"")</f>
        <v>-411.9</v>
      </c>
      <c r="K415" s="17">
        <f t="array" ref="K415">IF(ROW(K415)&lt;=COUNTA(E:E)*2,IF(MOD(ROW(K415),2)=1,INDEX(E:E,(ROW(K415)+1)/2),INDEX(G:G,ROW(K415)/2)),"")</f>
        <v>50.04</v>
      </c>
    </row>
    <row r="416" spans="1:11" x14ac:dyDescent="0.25">
      <c r="A416" s="17"/>
      <c r="B416" s="17"/>
      <c r="J416" s="17">
        <f t="array" ref="J416">IF(ROW(J416)&lt;=COUNTA(D:D)*2,IF(MOD(ROW(J416),2)=1,INDEX(D:D,(ROW(J416)+1)/2),INDEX(F:F,ROW(J416)/2)),"")</f>
        <v>-413.9</v>
      </c>
      <c r="K416" s="17">
        <f t="array" ref="K416">IF(ROW(K416)&lt;=COUNTA(E:E)*2,IF(MOD(ROW(K416),2)=1,INDEX(E:E,(ROW(K416)+1)/2),INDEX(G:G,ROW(K416)/2)),"")</f>
        <v>50.04</v>
      </c>
    </row>
    <row r="417" spans="1:11" x14ac:dyDescent="0.25">
      <c r="A417" s="17"/>
      <c r="B417" s="17"/>
      <c r="J417" s="17">
        <f t="array" ref="J417">IF(ROW(J417)&lt;=COUNTA(D:D)*2,IF(MOD(ROW(J417),2)=1,INDEX(D:D,(ROW(J417)+1)/2),INDEX(F:F,ROW(J417)/2)),"")</f>
        <v>-413.9</v>
      </c>
      <c r="K417" s="17">
        <f t="array" ref="K417">IF(ROW(K417)&lt;=COUNTA(E:E)*2,IF(MOD(ROW(K417),2)=1,INDEX(E:E,(ROW(K417)+1)/2),INDEX(G:G,ROW(K417)/2)),"")</f>
        <v>49.84</v>
      </c>
    </row>
    <row r="418" spans="1:11" x14ac:dyDescent="0.25">
      <c r="A418" s="17"/>
      <c r="B418" s="17"/>
      <c r="J418" s="17">
        <f t="array" ref="J418">IF(ROW(J418)&lt;=COUNTA(D:D)*2,IF(MOD(ROW(J418),2)=1,INDEX(D:D,(ROW(J418)+1)/2),INDEX(F:F,ROW(J418)/2)),"")</f>
        <v>-415.9</v>
      </c>
      <c r="K418" s="17">
        <f t="array" ref="K418">IF(ROW(K418)&lt;=COUNTA(E:E)*2,IF(MOD(ROW(K418),2)=1,INDEX(E:E,(ROW(K418)+1)/2),INDEX(G:G,ROW(K418)/2)),"")</f>
        <v>49.84</v>
      </c>
    </row>
    <row r="419" spans="1:11" x14ac:dyDescent="0.25">
      <c r="A419" s="17"/>
      <c r="B419" s="17"/>
      <c r="J419" s="17">
        <f t="array" ref="J419">IF(ROW(J419)&lt;=COUNTA(D:D)*2,IF(MOD(ROW(J419),2)=1,INDEX(D:D,(ROW(J419)+1)/2),INDEX(F:F,ROW(J419)/2)),"")</f>
        <v>-415.9</v>
      </c>
      <c r="K419" s="17">
        <f t="array" ref="K419">IF(ROW(K419)&lt;=COUNTA(E:E)*2,IF(MOD(ROW(K419),2)=1,INDEX(E:E,(ROW(K419)+1)/2),INDEX(G:G,ROW(K419)/2)),"")</f>
        <v>49.84</v>
      </c>
    </row>
    <row r="420" spans="1:11" x14ac:dyDescent="0.25">
      <c r="A420" s="17"/>
      <c r="B420" s="17"/>
      <c r="J420" s="17">
        <f t="array" ref="J420">IF(ROW(J420)&lt;=COUNTA(D:D)*2,IF(MOD(ROW(J420),2)=1,INDEX(D:D,(ROW(J420)+1)/2),INDEX(F:F,ROW(J420)/2)),"")</f>
        <v>-417.9</v>
      </c>
      <c r="K420" s="17">
        <f t="array" ref="K420">IF(ROW(K420)&lt;=COUNTA(E:E)*2,IF(MOD(ROW(K420),2)=1,INDEX(E:E,(ROW(K420)+1)/2),INDEX(G:G,ROW(K420)/2)),"")</f>
        <v>49.84</v>
      </c>
    </row>
    <row r="421" spans="1:11" x14ac:dyDescent="0.25">
      <c r="A421" s="17"/>
      <c r="B421" s="17"/>
      <c r="J421" s="17">
        <f t="array" ref="J421">IF(ROW(J421)&lt;=COUNTA(D:D)*2,IF(MOD(ROW(J421),2)=1,INDEX(D:D,(ROW(J421)+1)/2),INDEX(F:F,ROW(J421)/2)),"")</f>
        <v>-417.9</v>
      </c>
      <c r="K421" s="17">
        <f t="array" ref="K421">IF(ROW(K421)&lt;=COUNTA(E:E)*2,IF(MOD(ROW(K421),2)=1,INDEX(E:E,(ROW(K421)+1)/2),INDEX(G:G,ROW(K421)/2)),"")</f>
        <v>49.88</v>
      </c>
    </row>
    <row r="422" spans="1:11" x14ac:dyDescent="0.25">
      <c r="A422" s="17"/>
      <c r="B422" s="17"/>
      <c r="J422" s="17">
        <f t="array" ref="J422">IF(ROW(J422)&lt;=COUNTA(D:D)*2,IF(MOD(ROW(J422),2)=1,INDEX(D:D,(ROW(J422)+1)/2),INDEX(F:F,ROW(J422)/2)),"")</f>
        <v>-419.9</v>
      </c>
      <c r="K422" s="17">
        <f t="array" ref="K422">IF(ROW(K422)&lt;=COUNTA(E:E)*2,IF(MOD(ROW(K422),2)=1,INDEX(E:E,(ROW(K422)+1)/2),INDEX(G:G,ROW(K422)/2)),"")</f>
        <v>49.88</v>
      </c>
    </row>
    <row r="423" spans="1:11" x14ac:dyDescent="0.25">
      <c r="A423" s="17"/>
      <c r="B423" s="17"/>
      <c r="J423" s="17">
        <f t="array" ref="J423">IF(ROW(J423)&lt;=COUNTA(D:D)*2,IF(MOD(ROW(J423),2)=1,INDEX(D:D,(ROW(J423)+1)/2),INDEX(F:F,ROW(J423)/2)),"")</f>
        <v>-419.9</v>
      </c>
      <c r="K423" s="17">
        <f t="array" ref="K423">IF(ROW(K423)&lt;=COUNTA(E:E)*2,IF(MOD(ROW(K423),2)=1,INDEX(E:E,(ROW(K423)+1)/2),INDEX(G:G,ROW(K423)/2)),"")</f>
        <v>49.88</v>
      </c>
    </row>
    <row r="424" spans="1:11" x14ac:dyDescent="0.25">
      <c r="A424" s="17"/>
      <c r="B424" s="17"/>
      <c r="J424" s="17">
        <f t="array" ref="J424">IF(ROW(J424)&lt;=COUNTA(D:D)*2,IF(MOD(ROW(J424),2)=1,INDEX(D:D,(ROW(J424)+1)/2),INDEX(F:F,ROW(J424)/2)),"")</f>
        <v>-421.9</v>
      </c>
      <c r="K424" s="17">
        <f t="array" ref="K424">IF(ROW(K424)&lt;=COUNTA(E:E)*2,IF(MOD(ROW(K424),2)=1,INDEX(E:E,(ROW(K424)+1)/2),INDEX(G:G,ROW(K424)/2)),"")</f>
        <v>49.88</v>
      </c>
    </row>
    <row r="425" spans="1:11" x14ac:dyDescent="0.25">
      <c r="A425" s="17"/>
      <c r="B425" s="17"/>
      <c r="J425" s="17">
        <f t="array" ref="J425">IF(ROW(J425)&lt;=COUNTA(D:D)*2,IF(MOD(ROW(J425),2)=1,INDEX(D:D,(ROW(J425)+1)/2),INDEX(F:F,ROW(J425)/2)),"")</f>
        <v>-421.9</v>
      </c>
      <c r="K425" s="17">
        <f t="array" ref="K425">IF(ROW(K425)&lt;=COUNTA(E:E)*2,IF(MOD(ROW(K425),2)=1,INDEX(E:E,(ROW(K425)+1)/2),INDEX(G:G,ROW(K425)/2)),"")</f>
        <v>50.12</v>
      </c>
    </row>
    <row r="426" spans="1:11" x14ac:dyDescent="0.25">
      <c r="A426" s="17"/>
      <c r="B426" s="17"/>
      <c r="J426" s="17">
        <f t="array" ref="J426">IF(ROW(J426)&lt;=COUNTA(D:D)*2,IF(MOD(ROW(J426),2)=1,INDEX(D:D,(ROW(J426)+1)/2),INDEX(F:F,ROW(J426)/2)),"")</f>
        <v>-423.9</v>
      </c>
      <c r="K426" s="17">
        <f t="array" ref="K426">IF(ROW(K426)&lt;=COUNTA(E:E)*2,IF(MOD(ROW(K426),2)=1,INDEX(E:E,(ROW(K426)+1)/2),INDEX(G:G,ROW(K426)/2)),"")</f>
        <v>50.12</v>
      </c>
    </row>
    <row r="427" spans="1:11" x14ac:dyDescent="0.25">
      <c r="A427" s="17"/>
      <c r="B427" s="17"/>
      <c r="J427" s="17">
        <f t="array" ref="J427">IF(ROW(J427)&lt;=COUNTA(D:D)*2,IF(MOD(ROW(J427),2)=1,INDEX(D:D,(ROW(J427)+1)/2),INDEX(F:F,ROW(J427)/2)),"")</f>
        <v>-423.9</v>
      </c>
      <c r="K427" s="17">
        <f t="array" ref="K427">IF(ROW(K427)&lt;=COUNTA(E:E)*2,IF(MOD(ROW(K427),2)=1,INDEX(E:E,(ROW(K427)+1)/2),INDEX(G:G,ROW(K427)/2)),"")</f>
        <v>50.16</v>
      </c>
    </row>
    <row r="428" spans="1:11" x14ac:dyDescent="0.25">
      <c r="A428" s="17"/>
      <c r="B428" s="17"/>
      <c r="J428" s="17">
        <f t="array" ref="J428">IF(ROW(J428)&lt;=COUNTA(D:D)*2,IF(MOD(ROW(J428),2)=1,INDEX(D:D,(ROW(J428)+1)/2),INDEX(F:F,ROW(J428)/2)),"")</f>
        <v>-425.9</v>
      </c>
      <c r="K428" s="17">
        <f t="array" ref="K428">IF(ROW(K428)&lt;=COUNTA(E:E)*2,IF(MOD(ROW(K428),2)=1,INDEX(E:E,(ROW(K428)+1)/2),INDEX(G:G,ROW(K428)/2)),"")</f>
        <v>50.16</v>
      </c>
    </row>
    <row r="429" spans="1:11" x14ac:dyDescent="0.25">
      <c r="A429" s="17"/>
      <c r="B429" s="17"/>
      <c r="J429" s="17">
        <f t="array" ref="J429">IF(ROW(J429)&lt;=COUNTA(D:D)*2,IF(MOD(ROW(J429),2)=1,INDEX(D:D,(ROW(J429)+1)/2),INDEX(F:F,ROW(J429)/2)),"")</f>
        <v>-425.9</v>
      </c>
      <c r="K429" s="17">
        <f t="array" ref="K429">IF(ROW(K429)&lt;=COUNTA(E:E)*2,IF(MOD(ROW(K429),2)=1,INDEX(E:E,(ROW(K429)+1)/2),INDEX(G:G,ROW(K429)/2)),"")</f>
        <v>50.04</v>
      </c>
    </row>
    <row r="430" spans="1:11" x14ac:dyDescent="0.25">
      <c r="A430" s="17"/>
      <c r="B430" s="17"/>
      <c r="J430" s="17">
        <f t="array" ref="J430">IF(ROW(J430)&lt;=COUNTA(D:D)*2,IF(MOD(ROW(J430),2)=1,INDEX(D:D,(ROW(J430)+1)/2),INDEX(F:F,ROW(J430)/2)),"")</f>
        <v>-427.9</v>
      </c>
      <c r="K430" s="17">
        <f t="array" ref="K430">IF(ROW(K430)&lt;=COUNTA(E:E)*2,IF(MOD(ROW(K430),2)=1,INDEX(E:E,(ROW(K430)+1)/2),INDEX(G:G,ROW(K430)/2)),"")</f>
        <v>50.04</v>
      </c>
    </row>
    <row r="431" spans="1:11" x14ac:dyDescent="0.25">
      <c r="A431" s="17"/>
      <c r="B431" s="17"/>
      <c r="J431" s="17">
        <f t="array" ref="J431">IF(ROW(J431)&lt;=COUNTA(D:D)*2,IF(MOD(ROW(J431),2)=1,INDEX(D:D,(ROW(J431)+1)/2),INDEX(F:F,ROW(J431)/2)),"")</f>
        <v>-427.9</v>
      </c>
      <c r="K431" s="17">
        <f t="array" ref="K431">IF(ROW(K431)&lt;=COUNTA(E:E)*2,IF(MOD(ROW(K431),2)=1,INDEX(E:E,(ROW(K431)+1)/2),INDEX(G:G,ROW(K431)/2)),"")</f>
        <v>50.04</v>
      </c>
    </row>
    <row r="432" spans="1:11" x14ac:dyDescent="0.25">
      <c r="A432" s="17"/>
      <c r="B432" s="17"/>
      <c r="J432" s="17">
        <f t="array" ref="J432">IF(ROW(J432)&lt;=COUNTA(D:D)*2,IF(MOD(ROW(J432),2)=1,INDEX(D:D,(ROW(J432)+1)/2),INDEX(F:F,ROW(J432)/2)),"")</f>
        <v>-429.9</v>
      </c>
      <c r="K432" s="17">
        <f t="array" ref="K432">IF(ROW(K432)&lt;=COUNTA(E:E)*2,IF(MOD(ROW(K432),2)=1,INDEX(E:E,(ROW(K432)+1)/2),INDEX(G:G,ROW(K432)/2)),"")</f>
        <v>50.04</v>
      </c>
    </row>
    <row r="433" spans="1:11" x14ac:dyDescent="0.25">
      <c r="A433" s="17"/>
      <c r="B433" s="17"/>
      <c r="J433" s="17">
        <f t="array" ref="J433">IF(ROW(J433)&lt;=COUNTA(D:D)*2,IF(MOD(ROW(J433),2)=1,INDEX(D:D,(ROW(J433)+1)/2),INDEX(F:F,ROW(J433)/2)),"")</f>
        <v>-429.9</v>
      </c>
      <c r="K433" s="17">
        <f t="array" ref="K433">IF(ROW(K433)&lt;=COUNTA(E:E)*2,IF(MOD(ROW(K433),2)=1,INDEX(E:E,(ROW(K433)+1)/2),INDEX(G:G,ROW(K433)/2)),"")</f>
        <v>49.88</v>
      </c>
    </row>
    <row r="434" spans="1:11" x14ac:dyDescent="0.25">
      <c r="A434" s="17"/>
      <c r="B434" s="17"/>
      <c r="J434" s="17">
        <f t="array" ref="J434">IF(ROW(J434)&lt;=COUNTA(D:D)*2,IF(MOD(ROW(J434),2)=1,INDEX(D:D,(ROW(J434)+1)/2),INDEX(F:F,ROW(J434)/2)),"")</f>
        <v>-431.9</v>
      </c>
      <c r="K434" s="17">
        <f t="array" ref="K434">IF(ROW(K434)&lt;=COUNTA(E:E)*2,IF(MOD(ROW(K434),2)=1,INDEX(E:E,(ROW(K434)+1)/2),INDEX(G:G,ROW(K434)/2)),"")</f>
        <v>49.88</v>
      </c>
    </row>
    <row r="435" spans="1:11" x14ac:dyDescent="0.25">
      <c r="A435" s="17"/>
      <c r="B435" s="17"/>
      <c r="J435" s="17">
        <f t="array" ref="J435">IF(ROW(J435)&lt;=COUNTA(D:D)*2,IF(MOD(ROW(J435),2)=1,INDEX(D:D,(ROW(J435)+1)/2),INDEX(F:F,ROW(J435)/2)),"")</f>
        <v>-431.9</v>
      </c>
      <c r="K435" s="17">
        <f t="array" ref="K435">IF(ROW(K435)&lt;=COUNTA(E:E)*2,IF(MOD(ROW(K435),2)=1,INDEX(E:E,(ROW(K435)+1)/2),INDEX(G:G,ROW(K435)/2)),"")</f>
        <v>49.8</v>
      </c>
    </row>
    <row r="436" spans="1:11" x14ac:dyDescent="0.25">
      <c r="A436" s="17"/>
      <c r="B436" s="17"/>
      <c r="J436" s="17">
        <f t="array" ref="J436">IF(ROW(J436)&lt;=COUNTA(D:D)*2,IF(MOD(ROW(J436),2)=1,INDEX(D:D,(ROW(J436)+1)/2),INDEX(F:F,ROW(J436)/2)),"")</f>
        <v>-433.9</v>
      </c>
      <c r="K436" s="17">
        <f t="array" ref="K436">IF(ROW(K436)&lt;=COUNTA(E:E)*2,IF(MOD(ROW(K436),2)=1,INDEX(E:E,(ROW(K436)+1)/2),INDEX(G:G,ROW(K436)/2)),"")</f>
        <v>49.8</v>
      </c>
    </row>
    <row r="437" spans="1:11" x14ac:dyDescent="0.25">
      <c r="A437" s="17"/>
      <c r="B437" s="17"/>
      <c r="J437" s="17">
        <f t="array" ref="J437">IF(ROW(J437)&lt;=COUNTA(D:D)*2,IF(MOD(ROW(J437),2)=1,INDEX(D:D,(ROW(J437)+1)/2),INDEX(F:F,ROW(J437)/2)),"")</f>
        <v>-433.9</v>
      </c>
      <c r="K437" s="17">
        <f t="array" ref="K437">IF(ROW(K437)&lt;=COUNTA(E:E)*2,IF(MOD(ROW(K437),2)=1,INDEX(E:E,(ROW(K437)+1)/2),INDEX(G:G,ROW(K437)/2)),"")</f>
        <v>50.24</v>
      </c>
    </row>
    <row r="438" spans="1:11" x14ac:dyDescent="0.25">
      <c r="A438" s="17"/>
      <c r="B438" s="17"/>
      <c r="J438" s="17">
        <f t="array" ref="J438">IF(ROW(J438)&lt;=COUNTA(D:D)*2,IF(MOD(ROW(J438),2)=1,INDEX(D:D,(ROW(J438)+1)/2),INDEX(F:F,ROW(J438)/2)),"")</f>
        <v>-435.9</v>
      </c>
      <c r="K438" s="17">
        <f t="array" ref="K438">IF(ROW(K438)&lt;=COUNTA(E:E)*2,IF(MOD(ROW(K438),2)=1,INDEX(E:E,(ROW(K438)+1)/2),INDEX(G:G,ROW(K438)/2)),"")</f>
        <v>50.24</v>
      </c>
    </row>
    <row r="439" spans="1:11" x14ac:dyDescent="0.25">
      <c r="A439" s="17"/>
      <c r="B439" s="17"/>
      <c r="J439" s="17">
        <f t="array" ref="J439">IF(ROW(J439)&lt;=COUNTA(D:D)*2,IF(MOD(ROW(J439),2)=1,INDEX(D:D,(ROW(J439)+1)/2),INDEX(F:F,ROW(J439)/2)),"")</f>
        <v>-435.9</v>
      </c>
      <c r="K439" s="17">
        <f t="array" ref="K439">IF(ROW(K439)&lt;=COUNTA(E:E)*2,IF(MOD(ROW(K439),2)=1,INDEX(E:E,(ROW(K439)+1)/2),INDEX(G:G,ROW(K439)/2)),"")</f>
        <v>50.24</v>
      </c>
    </row>
    <row r="440" spans="1:11" x14ac:dyDescent="0.25">
      <c r="A440" s="17"/>
      <c r="B440" s="17"/>
      <c r="J440" s="17">
        <f t="array" ref="J440">IF(ROW(J440)&lt;=COUNTA(D:D)*2,IF(MOD(ROW(J440),2)=1,INDEX(D:D,(ROW(J440)+1)/2),INDEX(F:F,ROW(J440)/2)),"")</f>
        <v>-437.9</v>
      </c>
      <c r="K440" s="17">
        <f t="array" ref="K440">IF(ROW(K440)&lt;=COUNTA(E:E)*2,IF(MOD(ROW(K440),2)=1,INDEX(E:E,(ROW(K440)+1)/2),INDEX(G:G,ROW(K440)/2)),"")</f>
        <v>50.24</v>
      </c>
    </row>
    <row r="441" spans="1:11" x14ac:dyDescent="0.25">
      <c r="A441" s="17"/>
      <c r="B441" s="17"/>
      <c r="J441" s="17">
        <f t="array" ref="J441">IF(ROW(J441)&lt;=COUNTA(D:D)*2,IF(MOD(ROW(J441),2)=1,INDEX(D:D,(ROW(J441)+1)/2),INDEX(F:F,ROW(J441)/2)),"")</f>
        <v>-437.9</v>
      </c>
      <c r="K441" s="17">
        <f t="array" ref="K441">IF(ROW(K441)&lt;=COUNTA(E:E)*2,IF(MOD(ROW(K441),2)=1,INDEX(E:E,(ROW(K441)+1)/2),INDEX(G:G,ROW(K441)/2)),"")</f>
        <v>50.52</v>
      </c>
    </row>
    <row r="442" spans="1:11" x14ac:dyDescent="0.25">
      <c r="A442" s="17"/>
      <c r="B442" s="17"/>
      <c r="J442" s="17">
        <f t="array" ref="J442">IF(ROW(J442)&lt;=COUNTA(D:D)*2,IF(MOD(ROW(J442),2)=1,INDEX(D:D,(ROW(J442)+1)/2),INDEX(F:F,ROW(J442)/2)),"")</f>
        <v>-439.9</v>
      </c>
      <c r="K442" s="17">
        <f t="array" ref="K442">IF(ROW(K442)&lt;=COUNTA(E:E)*2,IF(MOD(ROW(K442),2)=1,INDEX(E:E,(ROW(K442)+1)/2),INDEX(G:G,ROW(K442)/2)),"")</f>
        <v>50.52</v>
      </c>
    </row>
    <row r="443" spans="1:11" x14ac:dyDescent="0.25">
      <c r="A443" s="17"/>
      <c r="B443" s="17"/>
      <c r="J443" s="17">
        <f t="array" ref="J443">IF(ROW(J443)&lt;=COUNTA(D:D)*2,IF(MOD(ROW(J443),2)=1,INDEX(D:D,(ROW(J443)+1)/2),INDEX(F:F,ROW(J443)/2)),"")</f>
        <v>-439.9</v>
      </c>
      <c r="K443" s="17">
        <f t="array" ref="K443">IF(ROW(K443)&lt;=COUNTA(E:E)*2,IF(MOD(ROW(K443),2)=1,INDEX(E:E,(ROW(K443)+1)/2),INDEX(G:G,ROW(K443)/2)),"")</f>
        <v>50.52</v>
      </c>
    </row>
    <row r="444" spans="1:11" x14ac:dyDescent="0.25">
      <c r="A444" s="17"/>
      <c r="B444" s="17"/>
      <c r="J444" s="17">
        <f t="array" ref="J444">IF(ROW(J444)&lt;=COUNTA(D:D)*2,IF(MOD(ROW(J444),2)=1,INDEX(D:D,(ROW(J444)+1)/2),INDEX(F:F,ROW(J444)/2)),"")</f>
        <v>-441.9</v>
      </c>
      <c r="K444" s="17">
        <f t="array" ref="K444">IF(ROW(K444)&lt;=COUNTA(E:E)*2,IF(MOD(ROW(K444),2)=1,INDEX(E:E,(ROW(K444)+1)/2),INDEX(G:G,ROW(K444)/2)),"")</f>
        <v>50.52</v>
      </c>
    </row>
    <row r="445" spans="1:11" x14ac:dyDescent="0.25">
      <c r="A445" s="17"/>
      <c r="B445" s="17"/>
      <c r="J445" s="17">
        <f t="array" ref="J445">IF(ROW(J445)&lt;=COUNTA(D:D)*2,IF(MOD(ROW(J445),2)=1,INDEX(D:D,(ROW(J445)+1)/2),INDEX(F:F,ROW(J445)/2)),"")</f>
        <v>-441.9</v>
      </c>
      <c r="K445" s="17">
        <f t="array" ref="K445">IF(ROW(K445)&lt;=COUNTA(E:E)*2,IF(MOD(ROW(K445),2)=1,INDEX(E:E,(ROW(K445)+1)/2),INDEX(G:G,ROW(K445)/2)),"")</f>
        <v>50.28</v>
      </c>
    </row>
    <row r="446" spans="1:11" x14ac:dyDescent="0.25">
      <c r="A446" s="17"/>
      <c r="B446" s="17"/>
      <c r="J446" s="17">
        <f t="array" ref="J446">IF(ROW(J446)&lt;=COUNTA(D:D)*2,IF(MOD(ROW(J446),2)=1,INDEX(D:D,(ROW(J446)+1)/2),INDEX(F:F,ROW(J446)/2)),"")</f>
        <v>-443.9</v>
      </c>
      <c r="K446" s="17">
        <f t="array" ref="K446">IF(ROW(K446)&lt;=COUNTA(E:E)*2,IF(MOD(ROW(K446),2)=1,INDEX(E:E,(ROW(K446)+1)/2),INDEX(G:G,ROW(K446)/2)),"")</f>
        <v>50.28</v>
      </c>
    </row>
    <row r="447" spans="1:11" x14ac:dyDescent="0.25">
      <c r="A447" s="17"/>
      <c r="B447" s="17"/>
      <c r="J447" s="17">
        <f t="array" ref="J447">IF(ROW(J447)&lt;=COUNTA(D:D)*2,IF(MOD(ROW(J447),2)=1,INDEX(D:D,(ROW(J447)+1)/2),INDEX(F:F,ROW(J447)/2)),"")</f>
        <v>-443.9</v>
      </c>
      <c r="K447" s="17">
        <f t="array" ref="K447">IF(ROW(K447)&lt;=COUNTA(E:E)*2,IF(MOD(ROW(K447),2)=1,INDEX(E:E,(ROW(K447)+1)/2),INDEX(G:G,ROW(K447)/2)),"")</f>
        <v>50.28</v>
      </c>
    </row>
    <row r="448" spans="1:11" x14ac:dyDescent="0.25">
      <c r="A448" s="17"/>
      <c r="B448" s="17"/>
      <c r="J448" s="17">
        <f t="array" ref="J448">IF(ROW(J448)&lt;=COUNTA(D:D)*2,IF(MOD(ROW(J448),2)=1,INDEX(D:D,(ROW(J448)+1)/2),INDEX(F:F,ROW(J448)/2)),"")</f>
        <v>-445.9</v>
      </c>
      <c r="K448" s="17">
        <f t="array" ref="K448">IF(ROW(K448)&lt;=COUNTA(E:E)*2,IF(MOD(ROW(K448),2)=1,INDEX(E:E,(ROW(K448)+1)/2),INDEX(G:G,ROW(K448)/2)),"")</f>
        <v>50.28</v>
      </c>
    </row>
    <row r="449" spans="1:11" x14ac:dyDescent="0.25">
      <c r="A449" s="17"/>
      <c r="B449" s="17"/>
      <c r="J449" s="17">
        <f t="array" ref="J449">IF(ROW(J449)&lt;=COUNTA(D:D)*2,IF(MOD(ROW(J449),2)=1,INDEX(D:D,(ROW(J449)+1)/2),INDEX(F:F,ROW(J449)/2)),"")</f>
        <v>-445.9</v>
      </c>
      <c r="K449" s="17">
        <f t="array" ref="K449">IF(ROW(K449)&lt;=COUNTA(E:E)*2,IF(MOD(ROW(K449),2)=1,INDEX(E:E,(ROW(K449)+1)/2),INDEX(G:G,ROW(K449)/2)),"")</f>
        <v>50.52</v>
      </c>
    </row>
    <row r="450" spans="1:11" x14ac:dyDescent="0.25">
      <c r="A450" s="17"/>
      <c r="B450" s="17"/>
      <c r="J450" s="17">
        <f t="array" ref="J450">IF(ROW(J450)&lt;=COUNTA(D:D)*2,IF(MOD(ROW(J450),2)=1,INDEX(D:D,(ROW(J450)+1)/2),INDEX(F:F,ROW(J450)/2)),"")</f>
        <v>-447.9</v>
      </c>
      <c r="K450" s="17">
        <f t="array" ref="K450">IF(ROW(K450)&lt;=COUNTA(E:E)*2,IF(MOD(ROW(K450),2)=1,INDEX(E:E,(ROW(K450)+1)/2),INDEX(G:G,ROW(K450)/2)),"")</f>
        <v>50.52</v>
      </c>
    </row>
    <row r="451" spans="1:11" x14ac:dyDescent="0.25">
      <c r="A451" s="17"/>
      <c r="B451" s="17"/>
      <c r="J451" s="17">
        <f t="array" ref="J451">IF(ROW(J451)&lt;=COUNTA(D:D)*2,IF(MOD(ROW(J451),2)=1,INDEX(D:D,(ROW(J451)+1)/2),INDEX(F:F,ROW(J451)/2)),"")</f>
        <v>-447.9</v>
      </c>
      <c r="K451" s="17">
        <f t="array" ref="K451">IF(ROW(K451)&lt;=COUNTA(E:E)*2,IF(MOD(ROW(K451),2)=1,INDEX(E:E,(ROW(K451)+1)/2),INDEX(G:G,ROW(K451)/2)),"")</f>
        <v>50.56</v>
      </c>
    </row>
    <row r="452" spans="1:11" x14ac:dyDescent="0.25">
      <c r="A452" s="17"/>
      <c r="B452" s="17"/>
      <c r="J452" s="17">
        <f t="array" ref="J452">IF(ROW(J452)&lt;=COUNTA(D:D)*2,IF(MOD(ROW(J452),2)=1,INDEX(D:D,(ROW(J452)+1)/2),INDEX(F:F,ROW(J452)/2)),"")</f>
        <v>-449.9</v>
      </c>
      <c r="K452" s="17">
        <f t="array" ref="K452">IF(ROW(K452)&lt;=COUNTA(E:E)*2,IF(MOD(ROW(K452),2)=1,INDEX(E:E,(ROW(K452)+1)/2),INDEX(G:G,ROW(K452)/2)),"")</f>
        <v>50.56</v>
      </c>
    </row>
    <row r="453" spans="1:11" x14ac:dyDescent="0.25">
      <c r="A453" s="17"/>
      <c r="B453" s="17"/>
      <c r="J453" s="17">
        <f t="array" ref="J453">IF(ROW(J453)&lt;=COUNTA(D:D)*2,IF(MOD(ROW(J453),2)=1,INDEX(D:D,(ROW(J453)+1)/2),INDEX(F:F,ROW(J453)/2)),"")</f>
        <v>-449.9</v>
      </c>
      <c r="K453" s="17">
        <f t="array" ref="K453">IF(ROW(K453)&lt;=COUNTA(E:E)*2,IF(MOD(ROW(K453),2)=1,INDEX(E:E,(ROW(K453)+1)/2),INDEX(G:G,ROW(K453)/2)),"")</f>
        <v>50.28</v>
      </c>
    </row>
    <row r="454" spans="1:11" x14ac:dyDescent="0.25">
      <c r="A454" s="17"/>
      <c r="B454" s="17"/>
      <c r="J454" s="17">
        <f t="array" ref="J454">IF(ROW(J454)&lt;=COUNTA(D:D)*2,IF(MOD(ROW(J454),2)=1,INDEX(D:D,(ROW(J454)+1)/2),INDEX(F:F,ROW(J454)/2)),"")</f>
        <v>-451.9</v>
      </c>
      <c r="K454" s="17">
        <f t="array" ref="K454">IF(ROW(K454)&lt;=COUNTA(E:E)*2,IF(MOD(ROW(K454),2)=1,INDEX(E:E,(ROW(K454)+1)/2),INDEX(G:G,ROW(K454)/2)),"")</f>
        <v>50.28</v>
      </c>
    </row>
    <row r="455" spans="1:11" x14ac:dyDescent="0.25">
      <c r="A455" s="17"/>
      <c r="B455" s="17"/>
      <c r="J455" s="17">
        <f t="array" ref="J455">IF(ROW(J455)&lt;=COUNTA(D:D)*2,IF(MOD(ROW(J455),2)=1,INDEX(D:D,(ROW(J455)+1)/2),INDEX(F:F,ROW(J455)/2)),"")</f>
        <v>-451.9</v>
      </c>
      <c r="K455" s="17">
        <f t="array" ref="K455">IF(ROW(K455)&lt;=COUNTA(E:E)*2,IF(MOD(ROW(K455),2)=1,INDEX(E:E,(ROW(K455)+1)/2),INDEX(G:G,ROW(K455)/2)),"")</f>
        <v>53</v>
      </c>
    </row>
    <row r="456" spans="1:11" x14ac:dyDescent="0.25">
      <c r="A456" s="17"/>
      <c r="B456" s="17"/>
      <c r="J456" s="17">
        <f t="array" ref="J456">IF(ROW(J456)&lt;=COUNTA(D:D)*2,IF(MOD(ROW(J456),2)=1,INDEX(D:D,(ROW(J456)+1)/2),INDEX(F:F,ROW(J456)/2)),"")</f>
        <v>-453.9</v>
      </c>
      <c r="K456" s="17">
        <f t="array" ref="K456">IF(ROW(K456)&lt;=COUNTA(E:E)*2,IF(MOD(ROW(K456),2)=1,INDEX(E:E,(ROW(K456)+1)/2),INDEX(G:G,ROW(K456)/2)),"")</f>
        <v>53</v>
      </c>
    </row>
    <row r="457" spans="1:11" x14ac:dyDescent="0.25">
      <c r="A457" s="17"/>
      <c r="B457" s="17"/>
      <c r="J457" s="17">
        <f t="array" ref="J457">IF(ROW(J457)&lt;=COUNTA(D:D)*2,IF(MOD(ROW(J457),2)=1,INDEX(D:D,(ROW(J457)+1)/2),INDEX(F:F,ROW(J457)/2)),"")</f>
        <v>-453.9</v>
      </c>
      <c r="K457" s="17">
        <f t="array" ref="K457">IF(ROW(K457)&lt;=COUNTA(E:E)*2,IF(MOD(ROW(K457),2)=1,INDEX(E:E,(ROW(K457)+1)/2),INDEX(G:G,ROW(K457)/2)),"")</f>
        <v>50.56</v>
      </c>
    </row>
    <row r="458" spans="1:11" x14ac:dyDescent="0.25">
      <c r="A458" s="17"/>
      <c r="B458" s="17"/>
      <c r="J458" s="17">
        <f t="array" ref="J458">IF(ROW(J458)&lt;=COUNTA(D:D)*2,IF(MOD(ROW(J458),2)=1,INDEX(D:D,(ROW(J458)+1)/2),INDEX(F:F,ROW(J458)/2)),"")</f>
        <v>-455.9</v>
      </c>
      <c r="K458" s="17">
        <f t="array" ref="K458">IF(ROW(K458)&lt;=COUNTA(E:E)*2,IF(MOD(ROW(K458),2)=1,INDEX(E:E,(ROW(K458)+1)/2),INDEX(G:G,ROW(K458)/2)),"")</f>
        <v>50.56</v>
      </c>
    </row>
    <row r="459" spans="1:11" x14ac:dyDescent="0.25">
      <c r="A459" s="17"/>
      <c r="B459" s="17"/>
      <c r="J459" s="17">
        <f t="array" ref="J459">IF(ROW(J459)&lt;=COUNTA(D:D)*2,IF(MOD(ROW(J459),2)=1,INDEX(D:D,(ROW(J459)+1)/2),INDEX(F:F,ROW(J459)/2)),"")</f>
        <v>-455.9</v>
      </c>
      <c r="K459" s="17">
        <f t="array" ref="K459">IF(ROW(K459)&lt;=COUNTA(E:E)*2,IF(MOD(ROW(K459),2)=1,INDEX(E:E,(ROW(K459)+1)/2),INDEX(G:G,ROW(K459)/2)),"")</f>
        <v>50.56</v>
      </c>
    </row>
    <row r="460" spans="1:11" x14ac:dyDescent="0.25">
      <c r="A460" s="17"/>
      <c r="B460" s="17"/>
      <c r="J460" s="17">
        <f t="array" ref="J460">IF(ROW(J460)&lt;=COUNTA(D:D)*2,IF(MOD(ROW(J460),2)=1,INDEX(D:D,(ROW(J460)+1)/2),INDEX(F:F,ROW(J460)/2)),"")</f>
        <v>-457.9</v>
      </c>
      <c r="K460" s="17">
        <f t="array" ref="K460">IF(ROW(K460)&lt;=COUNTA(E:E)*2,IF(MOD(ROW(K460),2)=1,INDEX(E:E,(ROW(K460)+1)/2),INDEX(G:G,ROW(K460)/2)),"")</f>
        <v>50.56</v>
      </c>
    </row>
    <row r="461" spans="1:11" x14ac:dyDescent="0.25">
      <c r="A461" s="17"/>
      <c r="B461" s="17"/>
      <c r="J461" s="17">
        <f t="array" ref="J461">IF(ROW(J461)&lt;=COUNTA(D:D)*2,IF(MOD(ROW(J461),2)=1,INDEX(D:D,(ROW(J461)+1)/2),INDEX(F:F,ROW(J461)/2)),"")</f>
        <v>-457.9</v>
      </c>
      <c r="K461" s="17">
        <f t="array" ref="K461">IF(ROW(K461)&lt;=COUNTA(E:E)*2,IF(MOD(ROW(K461),2)=1,INDEX(E:E,(ROW(K461)+1)/2),INDEX(G:G,ROW(K461)/2)),"")</f>
        <v>50.6</v>
      </c>
    </row>
    <row r="462" spans="1:11" x14ac:dyDescent="0.25">
      <c r="A462" s="17"/>
      <c r="B462" s="17"/>
      <c r="J462" s="17">
        <f t="array" ref="J462">IF(ROW(J462)&lt;=COUNTA(D:D)*2,IF(MOD(ROW(J462),2)=1,INDEX(D:D,(ROW(J462)+1)/2),INDEX(F:F,ROW(J462)/2)),"")</f>
        <v>-459.9</v>
      </c>
      <c r="K462" s="17">
        <f t="array" ref="K462">IF(ROW(K462)&lt;=COUNTA(E:E)*2,IF(MOD(ROW(K462),2)=1,INDEX(E:E,(ROW(K462)+1)/2),INDEX(G:G,ROW(K462)/2)),"")</f>
        <v>50.6</v>
      </c>
    </row>
    <row r="463" spans="1:11" x14ac:dyDescent="0.25">
      <c r="A463" s="17"/>
      <c r="B463" s="17"/>
      <c r="J463" s="17">
        <f t="array" ref="J463">IF(ROW(J463)&lt;=COUNTA(D:D)*2,IF(MOD(ROW(J463),2)=1,INDEX(D:D,(ROW(J463)+1)/2),INDEX(F:F,ROW(J463)/2)),"")</f>
        <v>-459.9</v>
      </c>
      <c r="K463" s="17">
        <f t="array" ref="K463">IF(ROW(K463)&lt;=COUNTA(E:E)*2,IF(MOD(ROW(K463),2)=1,INDEX(E:E,(ROW(K463)+1)/2),INDEX(G:G,ROW(K463)/2)),"")</f>
        <v>50.56</v>
      </c>
    </row>
    <row r="464" spans="1:11" x14ac:dyDescent="0.25">
      <c r="A464" s="17"/>
      <c r="B464" s="17"/>
      <c r="J464" s="17">
        <f t="array" ref="J464">IF(ROW(J464)&lt;=COUNTA(D:D)*2,IF(MOD(ROW(J464),2)=1,INDEX(D:D,(ROW(J464)+1)/2),INDEX(F:F,ROW(J464)/2)),"")</f>
        <v>-461.9</v>
      </c>
      <c r="K464" s="17">
        <f t="array" ref="K464">IF(ROW(K464)&lt;=COUNTA(E:E)*2,IF(MOD(ROW(K464),2)=1,INDEX(E:E,(ROW(K464)+1)/2),INDEX(G:G,ROW(K464)/2)),"")</f>
        <v>50.56</v>
      </c>
    </row>
    <row r="465" spans="1:11" x14ac:dyDescent="0.25">
      <c r="A465" s="17"/>
      <c r="B465" s="17"/>
      <c r="J465" s="17">
        <f t="array" ref="J465">IF(ROW(J465)&lt;=COUNTA(D:D)*2,IF(MOD(ROW(J465),2)=1,INDEX(D:D,(ROW(J465)+1)/2),INDEX(F:F,ROW(J465)/2)),"")</f>
        <v>-461.9</v>
      </c>
      <c r="K465" s="17">
        <f t="array" ref="K465">IF(ROW(K465)&lt;=COUNTA(E:E)*2,IF(MOD(ROW(K465),2)=1,INDEX(E:E,(ROW(K465)+1)/2),INDEX(G:G,ROW(K465)/2)),"")</f>
        <v>50.56</v>
      </c>
    </row>
    <row r="466" spans="1:11" x14ac:dyDescent="0.25">
      <c r="A466" s="17"/>
      <c r="B466" s="17"/>
      <c r="J466" s="17">
        <f t="array" ref="J466">IF(ROW(J466)&lt;=COUNTA(D:D)*2,IF(MOD(ROW(J466),2)=1,INDEX(D:D,(ROW(J466)+1)/2),INDEX(F:F,ROW(J466)/2)),"")</f>
        <v>-463.9</v>
      </c>
      <c r="K466" s="17">
        <f t="array" ref="K466">IF(ROW(K466)&lt;=COUNTA(E:E)*2,IF(MOD(ROW(K466),2)=1,INDEX(E:E,(ROW(K466)+1)/2),INDEX(G:G,ROW(K466)/2)),"")</f>
        <v>50.56</v>
      </c>
    </row>
    <row r="467" spans="1:11" x14ac:dyDescent="0.25">
      <c r="A467" s="17"/>
      <c r="B467" s="17"/>
      <c r="J467" s="17">
        <f t="array" ref="J467">IF(ROW(J467)&lt;=COUNTA(D:D)*2,IF(MOD(ROW(J467),2)=1,INDEX(D:D,(ROW(J467)+1)/2),INDEX(F:F,ROW(J467)/2)),"")</f>
        <v>-463.9</v>
      </c>
      <c r="K467" s="17">
        <f t="array" ref="K467">IF(ROW(K467)&lt;=COUNTA(E:E)*2,IF(MOD(ROW(K467),2)=1,INDEX(E:E,(ROW(K467)+1)/2),INDEX(G:G,ROW(K467)/2)),"")</f>
        <v>50.56</v>
      </c>
    </row>
    <row r="468" spans="1:11" x14ac:dyDescent="0.25">
      <c r="A468" s="17"/>
      <c r="B468" s="17"/>
      <c r="J468" s="17">
        <f t="array" ref="J468">IF(ROW(J468)&lt;=COUNTA(D:D)*2,IF(MOD(ROW(J468),2)=1,INDEX(D:D,(ROW(J468)+1)/2),INDEX(F:F,ROW(J468)/2)),"")</f>
        <v>-465.9</v>
      </c>
      <c r="K468" s="17">
        <f t="array" ref="K468">IF(ROW(K468)&lt;=COUNTA(E:E)*2,IF(MOD(ROW(K468),2)=1,INDEX(E:E,(ROW(K468)+1)/2),INDEX(G:G,ROW(K468)/2)),"")</f>
        <v>50.56</v>
      </c>
    </row>
    <row r="469" spans="1:11" x14ac:dyDescent="0.25">
      <c r="A469" s="17"/>
      <c r="B469" s="17"/>
      <c r="J469" s="17">
        <f t="array" ref="J469">IF(ROW(J469)&lt;=COUNTA(D:D)*2,IF(MOD(ROW(J469),2)=1,INDEX(D:D,(ROW(J469)+1)/2),INDEX(F:F,ROW(J469)/2)),"")</f>
        <v>-465.9</v>
      </c>
      <c r="K469" s="17">
        <f t="array" ref="K469">IF(ROW(K469)&lt;=COUNTA(E:E)*2,IF(MOD(ROW(K469),2)=1,INDEX(E:E,(ROW(K469)+1)/2),INDEX(G:G,ROW(K469)/2)),"")</f>
        <v>50.96</v>
      </c>
    </row>
    <row r="470" spans="1:11" x14ac:dyDescent="0.25">
      <c r="A470" s="17"/>
      <c r="B470" s="17"/>
      <c r="J470" s="17">
        <f t="array" ref="J470">IF(ROW(J470)&lt;=COUNTA(D:D)*2,IF(MOD(ROW(J470),2)=1,INDEX(D:D,(ROW(J470)+1)/2),INDEX(F:F,ROW(J470)/2)),"")</f>
        <v>-467.9</v>
      </c>
      <c r="K470" s="17">
        <f t="array" ref="K470">IF(ROW(K470)&lt;=COUNTA(E:E)*2,IF(MOD(ROW(K470),2)=1,INDEX(E:E,(ROW(K470)+1)/2),INDEX(G:G,ROW(K470)/2)),"")</f>
        <v>50.96</v>
      </c>
    </row>
    <row r="471" spans="1:11" x14ac:dyDescent="0.25">
      <c r="A471" s="17"/>
      <c r="B471" s="17"/>
      <c r="J471" s="17">
        <f t="array" ref="J471">IF(ROW(J471)&lt;=COUNTA(D:D)*2,IF(MOD(ROW(J471),2)=1,INDEX(D:D,(ROW(J471)+1)/2),INDEX(F:F,ROW(J471)/2)),"")</f>
        <v>-467.9</v>
      </c>
      <c r="K471" s="17">
        <f t="array" ref="K471">IF(ROW(K471)&lt;=COUNTA(E:E)*2,IF(MOD(ROW(K471),2)=1,INDEX(E:E,(ROW(K471)+1)/2),INDEX(G:G,ROW(K471)/2)),"")</f>
        <v>50.8</v>
      </c>
    </row>
    <row r="472" spans="1:11" x14ac:dyDescent="0.25">
      <c r="A472" s="17"/>
      <c r="B472" s="17"/>
      <c r="J472" s="17">
        <f t="array" ref="J472">IF(ROW(J472)&lt;=COUNTA(D:D)*2,IF(MOD(ROW(J472),2)=1,INDEX(D:D,(ROW(J472)+1)/2),INDEX(F:F,ROW(J472)/2)),"")</f>
        <v>-469.9</v>
      </c>
      <c r="K472" s="17">
        <f t="array" ref="K472">IF(ROW(K472)&lt;=COUNTA(E:E)*2,IF(MOD(ROW(K472),2)=1,INDEX(E:E,(ROW(K472)+1)/2),INDEX(G:G,ROW(K472)/2)),"")</f>
        <v>50.8</v>
      </c>
    </row>
    <row r="473" spans="1:11" x14ac:dyDescent="0.25">
      <c r="A473" s="17"/>
      <c r="B473" s="17"/>
      <c r="J473" s="17">
        <f t="array" ref="J473">IF(ROW(J473)&lt;=COUNTA(D:D)*2,IF(MOD(ROW(J473),2)=1,INDEX(D:D,(ROW(J473)+1)/2),INDEX(F:F,ROW(J473)/2)),"")</f>
        <v>-469.9</v>
      </c>
      <c r="K473" s="17">
        <f t="array" ref="K473">IF(ROW(K473)&lt;=COUNTA(E:E)*2,IF(MOD(ROW(K473),2)=1,INDEX(E:E,(ROW(K473)+1)/2),INDEX(G:G,ROW(K473)/2)),"")</f>
        <v>50.6</v>
      </c>
    </row>
    <row r="474" spans="1:11" x14ac:dyDescent="0.25">
      <c r="A474" s="17"/>
      <c r="B474" s="17"/>
      <c r="J474" s="17">
        <f t="array" ref="J474">IF(ROW(J474)&lt;=COUNTA(D:D)*2,IF(MOD(ROW(J474),2)=1,INDEX(D:D,(ROW(J474)+1)/2),INDEX(F:F,ROW(J474)/2)),"")</f>
        <v>-471.9</v>
      </c>
      <c r="K474" s="17">
        <f t="array" ref="K474">IF(ROW(K474)&lt;=COUNTA(E:E)*2,IF(MOD(ROW(K474),2)=1,INDEX(E:E,(ROW(K474)+1)/2),INDEX(G:G,ROW(K474)/2)),"")</f>
        <v>50.6</v>
      </c>
    </row>
    <row r="475" spans="1:11" x14ac:dyDescent="0.25">
      <c r="A475" s="17"/>
      <c r="B475" s="17"/>
      <c r="J475" s="17">
        <f t="array" ref="J475">IF(ROW(J475)&lt;=COUNTA(D:D)*2,IF(MOD(ROW(J475),2)=1,INDEX(D:D,(ROW(J475)+1)/2),INDEX(F:F,ROW(J475)/2)),"")</f>
        <v>-471.9</v>
      </c>
      <c r="K475" s="17">
        <f t="array" ref="K475">IF(ROW(K475)&lt;=COUNTA(E:E)*2,IF(MOD(ROW(K475),2)=1,INDEX(E:E,(ROW(K475)+1)/2),INDEX(G:G,ROW(K475)/2)),"")</f>
        <v>50.24</v>
      </c>
    </row>
    <row r="476" spans="1:11" x14ac:dyDescent="0.25">
      <c r="A476" s="17"/>
      <c r="B476" s="17"/>
      <c r="J476" s="17">
        <f t="array" ref="J476">IF(ROW(J476)&lt;=COUNTA(D:D)*2,IF(MOD(ROW(J476),2)=1,INDEX(D:D,(ROW(J476)+1)/2),INDEX(F:F,ROW(J476)/2)),"")</f>
        <v>-473.9</v>
      </c>
      <c r="K476" s="17">
        <f t="array" ref="K476">IF(ROW(K476)&lt;=COUNTA(E:E)*2,IF(MOD(ROW(K476),2)=1,INDEX(E:E,(ROW(K476)+1)/2),INDEX(G:G,ROW(K476)/2)),"")</f>
        <v>50.24</v>
      </c>
    </row>
    <row r="477" spans="1:11" x14ac:dyDescent="0.25">
      <c r="A477" s="17"/>
      <c r="B477" s="17"/>
      <c r="J477" s="17">
        <f t="array" ref="J477">IF(ROW(J477)&lt;=COUNTA(D:D)*2,IF(MOD(ROW(J477),2)=1,INDEX(D:D,(ROW(J477)+1)/2),INDEX(F:F,ROW(J477)/2)),"")</f>
        <v>-473.9</v>
      </c>
      <c r="K477" s="17">
        <f t="array" ref="K477">IF(ROW(K477)&lt;=COUNTA(E:E)*2,IF(MOD(ROW(K477),2)=1,INDEX(E:E,(ROW(K477)+1)/2),INDEX(G:G,ROW(K477)/2)),"")</f>
        <v>50.04</v>
      </c>
    </row>
    <row r="478" spans="1:11" x14ac:dyDescent="0.25">
      <c r="A478" s="17"/>
      <c r="B478" s="17"/>
      <c r="J478" s="17">
        <f t="array" ref="J478">IF(ROW(J478)&lt;=COUNTA(D:D)*2,IF(MOD(ROW(J478),2)=1,INDEX(D:D,(ROW(J478)+1)/2),INDEX(F:F,ROW(J478)/2)),"")</f>
        <v>-475.9</v>
      </c>
      <c r="K478" s="17">
        <f t="array" ref="K478">IF(ROW(K478)&lt;=COUNTA(E:E)*2,IF(MOD(ROW(K478),2)=1,INDEX(E:E,(ROW(K478)+1)/2),INDEX(G:G,ROW(K478)/2)),"")</f>
        <v>50.04</v>
      </c>
    </row>
    <row r="479" spans="1:11" x14ac:dyDescent="0.25">
      <c r="A479" s="17"/>
      <c r="B479" s="17"/>
      <c r="J479" s="17">
        <f t="array" ref="J479">IF(ROW(J479)&lt;=COUNTA(D:D)*2,IF(MOD(ROW(J479),2)=1,INDEX(D:D,(ROW(J479)+1)/2),INDEX(F:F,ROW(J479)/2)),"")</f>
        <v>-475.9</v>
      </c>
      <c r="K479" s="17">
        <f t="array" ref="K479">IF(ROW(K479)&lt;=COUNTA(E:E)*2,IF(MOD(ROW(K479),2)=1,INDEX(E:E,(ROW(K479)+1)/2),INDEX(G:G,ROW(K479)/2)),"")</f>
        <v>50.04</v>
      </c>
    </row>
    <row r="480" spans="1:11" x14ac:dyDescent="0.25">
      <c r="A480" s="17"/>
      <c r="B480" s="17"/>
      <c r="J480" s="17">
        <f t="array" ref="J480">IF(ROW(J480)&lt;=COUNTA(D:D)*2,IF(MOD(ROW(J480),2)=1,INDEX(D:D,(ROW(J480)+1)/2),INDEX(F:F,ROW(J480)/2)),"")</f>
        <v>-477.9</v>
      </c>
      <c r="K480" s="17">
        <f t="array" ref="K480">IF(ROW(K480)&lt;=COUNTA(E:E)*2,IF(MOD(ROW(K480),2)=1,INDEX(E:E,(ROW(K480)+1)/2),INDEX(G:G,ROW(K480)/2)),"")</f>
        <v>50.04</v>
      </c>
    </row>
    <row r="481" spans="1:11" x14ac:dyDescent="0.25">
      <c r="A481" s="17"/>
      <c r="B481" s="17"/>
      <c r="J481" s="17">
        <f t="array" ref="J481">IF(ROW(J481)&lt;=COUNTA(D:D)*2,IF(MOD(ROW(J481),2)=1,INDEX(D:D,(ROW(J481)+1)/2),INDEX(F:F,ROW(J481)/2)),"")</f>
        <v>-477.9</v>
      </c>
      <c r="K481" s="17">
        <f t="array" ref="K481">IF(ROW(K481)&lt;=COUNTA(E:E)*2,IF(MOD(ROW(K481),2)=1,INDEX(E:E,(ROW(K481)+1)/2),INDEX(G:G,ROW(K481)/2)),"")</f>
        <v>50.56</v>
      </c>
    </row>
    <row r="482" spans="1:11" x14ac:dyDescent="0.25">
      <c r="A482" s="17"/>
      <c r="B482" s="17"/>
      <c r="J482" s="17">
        <f t="array" ref="J482">IF(ROW(J482)&lt;=COUNTA(D:D)*2,IF(MOD(ROW(J482),2)=1,INDEX(D:D,(ROW(J482)+1)/2),INDEX(F:F,ROW(J482)/2)),"")</f>
        <v>-479.9</v>
      </c>
      <c r="K482" s="17">
        <f t="array" ref="K482">IF(ROW(K482)&lt;=COUNTA(E:E)*2,IF(MOD(ROW(K482),2)=1,INDEX(E:E,(ROW(K482)+1)/2),INDEX(G:G,ROW(K482)/2)),"")</f>
        <v>50.56</v>
      </c>
    </row>
    <row r="483" spans="1:11" x14ac:dyDescent="0.25">
      <c r="A483" s="17"/>
      <c r="B483" s="17"/>
      <c r="J483" s="17">
        <f t="array" ref="J483">IF(ROW(J483)&lt;=COUNTA(D:D)*2,IF(MOD(ROW(J483),2)=1,INDEX(D:D,(ROW(J483)+1)/2),INDEX(F:F,ROW(J483)/2)),"")</f>
        <v>-479.9</v>
      </c>
      <c r="K483" s="17">
        <f t="array" ref="K483">IF(ROW(K483)&lt;=COUNTA(E:E)*2,IF(MOD(ROW(K483),2)=1,INDEX(E:E,(ROW(K483)+1)/2),INDEX(G:G,ROW(K483)/2)),"")</f>
        <v>50.56</v>
      </c>
    </row>
    <row r="484" spans="1:11" x14ac:dyDescent="0.25">
      <c r="A484" s="17"/>
      <c r="B484" s="17"/>
      <c r="J484" s="17">
        <f t="array" ref="J484">IF(ROW(J484)&lt;=COUNTA(D:D)*2,IF(MOD(ROW(J484),2)=1,INDEX(D:D,(ROW(J484)+1)/2),INDEX(F:F,ROW(J484)/2)),"")</f>
        <v>-481.9</v>
      </c>
      <c r="K484" s="17">
        <f t="array" ref="K484">IF(ROW(K484)&lt;=COUNTA(E:E)*2,IF(MOD(ROW(K484),2)=1,INDEX(E:E,(ROW(K484)+1)/2),INDEX(G:G,ROW(K484)/2)),"")</f>
        <v>50.56</v>
      </c>
    </row>
    <row r="485" spans="1:11" x14ac:dyDescent="0.25">
      <c r="A485" s="17"/>
      <c r="B485" s="17"/>
      <c r="J485" s="17">
        <f t="array" ref="J485">IF(ROW(J485)&lt;=COUNTA(D:D)*2,IF(MOD(ROW(J485),2)=1,INDEX(D:D,(ROW(J485)+1)/2),INDEX(F:F,ROW(J485)/2)),"")</f>
        <v>-481.9</v>
      </c>
      <c r="K485" s="17">
        <f t="array" ref="K485">IF(ROW(K485)&lt;=COUNTA(E:E)*2,IF(MOD(ROW(K485),2)=1,INDEX(E:E,(ROW(K485)+1)/2),INDEX(G:G,ROW(K485)/2)),"")</f>
        <v>50.68</v>
      </c>
    </row>
    <row r="486" spans="1:11" x14ac:dyDescent="0.25">
      <c r="A486" s="17"/>
      <c r="B486" s="17"/>
      <c r="J486" s="17">
        <f t="array" ref="J486">IF(ROW(J486)&lt;=COUNTA(D:D)*2,IF(MOD(ROW(J486),2)=1,INDEX(D:D,(ROW(J486)+1)/2),INDEX(F:F,ROW(J486)/2)),"")</f>
        <v>-483.9</v>
      </c>
      <c r="K486" s="17">
        <f t="array" ref="K486">IF(ROW(K486)&lt;=COUNTA(E:E)*2,IF(MOD(ROW(K486),2)=1,INDEX(E:E,(ROW(K486)+1)/2),INDEX(G:G,ROW(K486)/2)),"")</f>
        <v>50.68</v>
      </c>
    </row>
    <row r="487" spans="1:11" x14ac:dyDescent="0.25">
      <c r="A487" s="17"/>
      <c r="B487" s="17"/>
      <c r="J487" s="17">
        <f t="array" ref="J487">IF(ROW(J487)&lt;=COUNTA(D:D)*2,IF(MOD(ROW(J487),2)=1,INDEX(D:D,(ROW(J487)+1)/2),INDEX(F:F,ROW(J487)/2)),"")</f>
        <v>-483.9</v>
      </c>
      <c r="K487" s="17">
        <f t="array" ref="K487">IF(ROW(K487)&lt;=COUNTA(E:E)*2,IF(MOD(ROW(K487),2)=1,INDEX(E:E,(ROW(K487)+1)/2),INDEX(G:G,ROW(K487)/2)),"")</f>
        <v>50.56</v>
      </c>
    </row>
    <row r="488" spans="1:11" x14ac:dyDescent="0.25">
      <c r="A488" s="17"/>
      <c r="B488" s="17"/>
      <c r="J488" s="17">
        <f t="array" ref="J488">IF(ROW(J488)&lt;=COUNTA(D:D)*2,IF(MOD(ROW(J488),2)=1,INDEX(D:D,(ROW(J488)+1)/2),INDEX(F:F,ROW(J488)/2)),"")</f>
        <v>-485.9</v>
      </c>
      <c r="K488" s="17">
        <f t="array" ref="K488">IF(ROW(K488)&lt;=COUNTA(E:E)*2,IF(MOD(ROW(K488),2)=1,INDEX(E:E,(ROW(K488)+1)/2),INDEX(G:G,ROW(K488)/2)),"")</f>
        <v>50.56</v>
      </c>
    </row>
    <row r="489" spans="1:11" x14ac:dyDescent="0.25">
      <c r="A489" s="17"/>
      <c r="B489" s="17"/>
      <c r="J489" s="17">
        <f t="array" ref="J489">IF(ROW(J489)&lt;=COUNTA(D:D)*2,IF(MOD(ROW(J489),2)=1,INDEX(D:D,(ROW(J489)+1)/2),INDEX(F:F,ROW(J489)/2)),"")</f>
        <v>-485.9</v>
      </c>
      <c r="K489" s="17">
        <f t="array" ref="K489">IF(ROW(K489)&lt;=COUNTA(E:E)*2,IF(MOD(ROW(K489),2)=1,INDEX(E:E,(ROW(K489)+1)/2),INDEX(G:G,ROW(K489)/2)),"")</f>
        <v>50.72</v>
      </c>
    </row>
    <row r="490" spans="1:11" x14ac:dyDescent="0.25">
      <c r="A490" s="17"/>
      <c r="B490" s="17"/>
      <c r="J490" s="17">
        <f t="array" ref="J490">IF(ROW(J490)&lt;=COUNTA(D:D)*2,IF(MOD(ROW(J490),2)=1,INDEX(D:D,(ROW(J490)+1)/2),INDEX(F:F,ROW(J490)/2)),"")</f>
        <v>-487.9</v>
      </c>
      <c r="K490" s="17">
        <f t="array" ref="K490">IF(ROW(K490)&lt;=COUNTA(E:E)*2,IF(MOD(ROW(K490),2)=1,INDEX(E:E,(ROW(K490)+1)/2),INDEX(G:G,ROW(K490)/2)),"")</f>
        <v>50.72</v>
      </c>
    </row>
    <row r="491" spans="1:11" x14ac:dyDescent="0.25">
      <c r="A491" s="17"/>
      <c r="B491" s="17"/>
      <c r="J491" s="17">
        <f t="array" ref="J491">IF(ROW(J491)&lt;=COUNTA(D:D)*2,IF(MOD(ROW(J491),2)=1,INDEX(D:D,(ROW(J491)+1)/2),INDEX(F:F,ROW(J491)/2)),"")</f>
        <v>-487.9</v>
      </c>
      <c r="K491" s="17">
        <f t="array" ref="K491">IF(ROW(K491)&lt;=COUNTA(E:E)*2,IF(MOD(ROW(K491),2)=1,INDEX(E:E,(ROW(K491)+1)/2),INDEX(G:G,ROW(K491)/2)),"")</f>
        <v>50.56</v>
      </c>
    </row>
    <row r="492" spans="1:11" x14ac:dyDescent="0.25">
      <c r="A492" s="17"/>
      <c r="B492" s="17"/>
      <c r="J492" s="17">
        <f t="array" ref="J492">IF(ROW(J492)&lt;=COUNTA(D:D)*2,IF(MOD(ROW(J492),2)=1,INDEX(D:D,(ROW(J492)+1)/2),INDEX(F:F,ROW(J492)/2)),"")</f>
        <v>-489.9</v>
      </c>
      <c r="K492" s="17">
        <f t="array" ref="K492">IF(ROW(K492)&lt;=COUNTA(E:E)*2,IF(MOD(ROW(K492),2)=1,INDEX(E:E,(ROW(K492)+1)/2),INDEX(G:G,ROW(K492)/2)),"")</f>
        <v>50.56</v>
      </c>
    </row>
    <row r="493" spans="1:11" x14ac:dyDescent="0.25">
      <c r="A493" s="17"/>
      <c r="B493" s="17"/>
      <c r="J493" s="17">
        <f t="array" ref="J493">IF(ROW(J493)&lt;=COUNTA(D:D)*2,IF(MOD(ROW(J493),2)=1,INDEX(D:D,(ROW(J493)+1)/2),INDEX(F:F,ROW(J493)/2)),"")</f>
        <v>-489.9</v>
      </c>
      <c r="K493" s="17">
        <f t="array" ref="K493">IF(ROW(K493)&lt;=COUNTA(E:E)*2,IF(MOD(ROW(K493),2)=1,INDEX(E:E,(ROW(K493)+1)/2),INDEX(G:G,ROW(K493)/2)),"")</f>
        <v>50.6</v>
      </c>
    </row>
    <row r="494" spans="1:11" x14ac:dyDescent="0.25">
      <c r="A494" s="17"/>
      <c r="B494" s="17"/>
      <c r="J494" s="17">
        <f t="array" ref="J494">IF(ROW(J494)&lt;=COUNTA(D:D)*2,IF(MOD(ROW(J494),2)=1,INDEX(D:D,(ROW(J494)+1)/2),INDEX(F:F,ROW(J494)/2)),"")</f>
        <v>-491.9</v>
      </c>
      <c r="K494" s="17">
        <f t="array" ref="K494">IF(ROW(K494)&lt;=COUNTA(E:E)*2,IF(MOD(ROW(K494),2)=1,INDEX(E:E,(ROW(K494)+1)/2),INDEX(G:G,ROW(K494)/2)),"")</f>
        <v>50.6</v>
      </c>
    </row>
    <row r="495" spans="1:11" x14ac:dyDescent="0.25">
      <c r="A495" s="17"/>
      <c r="B495" s="17"/>
      <c r="J495" s="17">
        <f t="array" ref="J495">IF(ROW(J495)&lt;=COUNTA(D:D)*2,IF(MOD(ROW(J495),2)=1,INDEX(D:D,(ROW(J495)+1)/2),INDEX(F:F,ROW(J495)/2)),"")</f>
        <v>-491.9</v>
      </c>
      <c r="K495" s="17">
        <f t="array" ref="K495">IF(ROW(K495)&lt;=COUNTA(E:E)*2,IF(MOD(ROW(K495),2)=1,INDEX(E:E,(ROW(K495)+1)/2),INDEX(G:G,ROW(K495)/2)),"")</f>
        <v>50.72</v>
      </c>
    </row>
    <row r="496" spans="1:11" x14ac:dyDescent="0.25">
      <c r="A496" s="17"/>
      <c r="B496" s="17"/>
      <c r="J496" s="17">
        <f t="array" ref="J496">IF(ROW(J496)&lt;=COUNTA(D:D)*2,IF(MOD(ROW(J496),2)=1,INDEX(D:D,(ROW(J496)+1)/2),INDEX(F:F,ROW(J496)/2)),"")</f>
        <v>-493.9</v>
      </c>
      <c r="K496" s="17">
        <f t="array" ref="K496">IF(ROW(K496)&lt;=COUNTA(E:E)*2,IF(MOD(ROW(K496),2)=1,INDEX(E:E,(ROW(K496)+1)/2),INDEX(G:G,ROW(K496)/2)),"")</f>
        <v>50.72</v>
      </c>
    </row>
    <row r="497" spans="1:11" x14ac:dyDescent="0.25">
      <c r="A497" s="17"/>
      <c r="B497" s="17"/>
      <c r="J497" s="17">
        <f t="array" ref="J497">IF(ROW(J497)&lt;=COUNTA(D:D)*2,IF(MOD(ROW(J497),2)=1,INDEX(D:D,(ROW(J497)+1)/2),INDEX(F:F,ROW(J497)/2)),"")</f>
        <v>-493.9</v>
      </c>
      <c r="K497" s="17">
        <f t="array" ref="K497">IF(ROW(K497)&lt;=COUNTA(E:E)*2,IF(MOD(ROW(K497),2)=1,INDEX(E:E,(ROW(K497)+1)/2),INDEX(G:G,ROW(K497)/2)),"")</f>
        <v>50.6</v>
      </c>
    </row>
    <row r="498" spans="1:11" x14ac:dyDescent="0.25">
      <c r="A498" s="17"/>
      <c r="B498" s="17"/>
      <c r="J498" s="17">
        <f t="array" ref="J498">IF(ROW(J498)&lt;=COUNTA(D:D)*2,IF(MOD(ROW(J498),2)=1,INDEX(D:D,(ROW(J498)+1)/2),INDEX(F:F,ROW(J498)/2)),"")</f>
        <v>-495.9</v>
      </c>
      <c r="K498" s="17">
        <f t="array" ref="K498">IF(ROW(K498)&lt;=COUNTA(E:E)*2,IF(MOD(ROW(K498),2)=1,INDEX(E:E,(ROW(K498)+1)/2),INDEX(G:G,ROW(K498)/2)),"")</f>
        <v>50.6</v>
      </c>
    </row>
    <row r="499" spans="1:11" x14ac:dyDescent="0.25">
      <c r="A499" s="17"/>
      <c r="B499" s="17"/>
      <c r="J499" s="17">
        <f t="array" ref="J499">IF(ROW(J499)&lt;=COUNTA(D:D)*2,IF(MOD(ROW(J499),2)=1,INDEX(D:D,(ROW(J499)+1)/2),INDEX(F:F,ROW(J499)/2)),"")</f>
        <v>-495.9</v>
      </c>
      <c r="K499" s="17">
        <f t="array" ref="K499">IF(ROW(K499)&lt;=COUNTA(E:E)*2,IF(MOD(ROW(K499),2)=1,INDEX(E:E,(ROW(K499)+1)/2),INDEX(G:G,ROW(K499)/2)),"")</f>
        <v>50.6</v>
      </c>
    </row>
    <row r="500" spans="1:11" x14ac:dyDescent="0.25">
      <c r="A500" s="17"/>
      <c r="B500" s="17"/>
      <c r="J500" s="17">
        <f t="array" ref="J500">IF(ROW(J500)&lt;=COUNTA(D:D)*2,IF(MOD(ROW(J500),2)=1,INDEX(D:D,(ROW(J500)+1)/2),INDEX(F:F,ROW(J500)/2)),"")</f>
        <v>-497.9</v>
      </c>
      <c r="K500" s="17">
        <f t="array" ref="K500">IF(ROW(K500)&lt;=COUNTA(E:E)*2,IF(MOD(ROW(K500),2)=1,INDEX(E:E,(ROW(K500)+1)/2),INDEX(G:G,ROW(K500)/2)),"")</f>
        <v>50.6</v>
      </c>
    </row>
    <row r="501" spans="1:11" x14ac:dyDescent="0.25">
      <c r="A501" s="17"/>
      <c r="B501" s="17"/>
      <c r="J501" s="17">
        <f t="array" ref="J501">IF(ROW(J501)&lt;=COUNTA(D:D)*2,IF(MOD(ROW(J501),2)=1,INDEX(D:D,(ROW(J501)+1)/2),INDEX(F:F,ROW(J501)/2)),"")</f>
        <v>-497.9</v>
      </c>
      <c r="K501" s="17">
        <f t="array" ref="K501">IF(ROW(K501)&lt;=COUNTA(E:E)*2,IF(MOD(ROW(K501),2)=1,INDEX(E:E,(ROW(K501)+1)/2),INDEX(G:G,ROW(K501)/2)),"")</f>
        <v>50.6</v>
      </c>
    </row>
    <row r="502" spans="1:11" x14ac:dyDescent="0.25">
      <c r="A502" s="17"/>
      <c r="B502" s="17"/>
      <c r="J502" s="17">
        <f t="array" ref="J502">IF(ROW(J502)&lt;=COUNTA(D:D)*2,IF(MOD(ROW(J502),2)=1,INDEX(D:D,(ROW(J502)+1)/2),INDEX(F:F,ROW(J502)/2)),"")</f>
        <v>-499.9</v>
      </c>
      <c r="K502" s="17">
        <f t="array" ref="K502">IF(ROW(K502)&lt;=COUNTA(E:E)*2,IF(MOD(ROW(K502),2)=1,INDEX(E:E,(ROW(K502)+1)/2),INDEX(G:G,ROW(K502)/2)),"")</f>
        <v>50.6</v>
      </c>
    </row>
    <row r="503" spans="1:11" x14ac:dyDescent="0.25">
      <c r="A503" s="17"/>
      <c r="B503" s="17"/>
      <c r="J503" s="17">
        <f t="array" ref="J503">IF(ROW(J503)&lt;=COUNTA(D:D)*2,IF(MOD(ROW(J503),2)=1,INDEX(D:D,(ROW(J503)+1)/2),INDEX(F:F,ROW(J503)/2)),"")</f>
        <v>-499.9</v>
      </c>
      <c r="K503" s="17">
        <f t="array" ref="K503">IF(ROW(K503)&lt;=COUNTA(E:E)*2,IF(MOD(ROW(K503),2)=1,INDEX(E:E,(ROW(K503)+1)/2),INDEX(G:G,ROW(K503)/2)),"")</f>
        <v>50.72</v>
      </c>
    </row>
    <row r="504" spans="1:11" x14ac:dyDescent="0.25">
      <c r="A504" s="17"/>
      <c r="B504" s="17"/>
      <c r="J504" s="17">
        <f t="array" ref="J504">IF(ROW(J504)&lt;=COUNTA(D:D)*2,IF(MOD(ROW(J504),2)=1,INDEX(D:D,(ROW(J504)+1)/2),INDEX(F:F,ROW(J504)/2)),"")</f>
        <v>-501.9</v>
      </c>
      <c r="K504" s="17">
        <f t="array" ref="K504">IF(ROW(K504)&lt;=COUNTA(E:E)*2,IF(MOD(ROW(K504),2)=1,INDEX(E:E,(ROW(K504)+1)/2),INDEX(G:G,ROW(K504)/2)),"")</f>
        <v>50.72</v>
      </c>
    </row>
    <row r="505" spans="1:11" x14ac:dyDescent="0.25">
      <c r="A505" s="17"/>
      <c r="B505" s="17"/>
      <c r="J505" s="17">
        <f t="array" ref="J505">IF(ROW(J505)&lt;=COUNTA(D:D)*2,IF(MOD(ROW(J505),2)=1,INDEX(D:D,(ROW(J505)+1)/2),INDEX(F:F,ROW(J505)/2)),"")</f>
        <v>-501.9</v>
      </c>
      <c r="K505" s="17">
        <f t="array" ref="K505">IF(ROW(K505)&lt;=COUNTA(E:E)*2,IF(MOD(ROW(K505),2)=1,INDEX(E:E,(ROW(K505)+1)/2),INDEX(G:G,ROW(K505)/2)),"")</f>
        <v>50.6</v>
      </c>
    </row>
    <row r="506" spans="1:11" x14ac:dyDescent="0.25">
      <c r="A506" s="17"/>
      <c r="B506" s="17"/>
      <c r="J506" s="17">
        <f t="array" ref="J506">IF(ROW(J506)&lt;=COUNTA(D:D)*2,IF(MOD(ROW(J506),2)=1,INDEX(D:D,(ROW(J506)+1)/2),INDEX(F:F,ROW(J506)/2)),"")</f>
        <v>-503.9</v>
      </c>
      <c r="K506" s="17">
        <f t="array" ref="K506">IF(ROW(K506)&lt;=COUNTA(E:E)*2,IF(MOD(ROW(K506),2)=1,INDEX(E:E,(ROW(K506)+1)/2),INDEX(G:G,ROW(K506)/2)),"")</f>
        <v>50.6</v>
      </c>
    </row>
    <row r="507" spans="1:11" x14ac:dyDescent="0.25">
      <c r="A507" s="17"/>
      <c r="B507" s="17"/>
      <c r="J507" s="17">
        <f t="array" ref="J507">IF(ROW(J507)&lt;=COUNTA(D:D)*2,IF(MOD(ROW(J507),2)=1,INDEX(D:D,(ROW(J507)+1)/2),INDEX(F:F,ROW(J507)/2)),"")</f>
        <v>-503.9</v>
      </c>
      <c r="K507" s="17">
        <f t="array" ref="K507">IF(ROW(K507)&lt;=COUNTA(E:E)*2,IF(MOD(ROW(K507),2)=1,INDEX(E:E,(ROW(K507)+1)/2),INDEX(G:G,ROW(K507)/2)),"")</f>
        <v>50.6</v>
      </c>
    </row>
    <row r="508" spans="1:11" x14ac:dyDescent="0.25">
      <c r="A508" s="17"/>
      <c r="B508" s="17"/>
      <c r="J508" s="17">
        <f t="array" ref="J508">IF(ROW(J508)&lt;=COUNTA(D:D)*2,IF(MOD(ROW(J508),2)=1,INDEX(D:D,(ROW(J508)+1)/2),INDEX(F:F,ROW(J508)/2)),"")</f>
        <v>-505.9</v>
      </c>
      <c r="K508" s="17">
        <f t="array" ref="K508">IF(ROW(K508)&lt;=COUNTA(E:E)*2,IF(MOD(ROW(K508),2)=1,INDEX(E:E,(ROW(K508)+1)/2),INDEX(G:G,ROW(K508)/2)),"")</f>
        <v>50.6</v>
      </c>
    </row>
    <row r="509" spans="1:11" x14ac:dyDescent="0.25">
      <c r="A509" s="17"/>
      <c r="B509" s="17"/>
      <c r="J509" s="17">
        <f t="array" ref="J509">IF(ROW(J509)&lt;=COUNTA(D:D)*2,IF(MOD(ROW(J509),2)=1,INDEX(D:D,(ROW(J509)+1)/2),INDEX(F:F,ROW(J509)/2)),"")</f>
        <v>-505.9</v>
      </c>
      <c r="K509" s="17">
        <f t="array" ref="K509">IF(ROW(K509)&lt;=COUNTA(E:E)*2,IF(MOD(ROW(K509),2)=1,INDEX(E:E,(ROW(K509)+1)/2),INDEX(G:G,ROW(K509)/2)),"")</f>
        <v>50.6</v>
      </c>
    </row>
    <row r="510" spans="1:11" x14ac:dyDescent="0.25">
      <c r="A510" s="17"/>
      <c r="B510" s="17"/>
      <c r="J510" s="17">
        <f t="array" ref="J510">IF(ROW(J510)&lt;=COUNTA(D:D)*2,IF(MOD(ROW(J510),2)=1,INDEX(D:D,(ROW(J510)+1)/2),INDEX(F:F,ROW(J510)/2)),"")</f>
        <v>-507.9</v>
      </c>
      <c r="K510" s="17">
        <f t="array" ref="K510">IF(ROW(K510)&lt;=COUNTA(E:E)*2,IF(MOD(ROW(K510),2)=1,INDEX(E:E,(ROW(K510)+1)/2),INDEX(G:G,ROW(K510)/2)),"")</f>
        <v>50.6</v>
      </c>
    </row>
    <row r="511" spans="1:11" x14ac:dyDescent="0.25">
      <c r="A511" s="17"/>
      <c r="B511" s="17"/>
      <c r="J511" s="17">
        <f t="array" ref="J511">IF(ROW(J511)&lt;=COUNTA(D:D)*2,IF(MOD(ROW(J511),2)=1,INDEX(D:D,(ROW(J511)+1)/2),INDEX(F:F,ROW(J511)/2)),"")</f>
        <v>-507.9</v>
      </c>
      <c r="K511" s="17">
        <f t="array" ref="K511">IF(ROW(K511)&lt;=COUNTA(E:E)*2,IF(MOD(ROW(K511),2)=1,INDEX(E:E,(ROW(K511)+1)/2),INDEX(G:G,ROW(K511)/2)),"")</f>
        <v>50.32</v>
      </c>
    </row>
    <row r="512" spans="1:11" x14ac:dyDescent="0.25">
      <c r="A512" s="17"/>
      <c r="B512" s="17"/>
      <c r="J512" s="17">
        <f t="array" ref="J512">IF(ROW(J512)&lt;=COUNTA(D:D)*2,IF(MOD(ROW(J512),2)=1,INDEX(D:D,(ROW(J512)+1)/2),INDEX(F:F,ROW(J512)/2)),"")</f>
        <v>-509.9</v>
      </c>
      <c r="K512" s="17">
        <f t="array" ref="K512">IF(ROW(K512)&lt;=COUNTA(E:E)*2,IF(MOD(ROW(K512),2)=1,INDEX(E:E,(ROW(K512)+1)/2),INDEX(G:G,ROW(K512)/2)),"")</f>
        <v>50.32</v>
      </c>
    </row>
    <row r="513" spans="1:11" x14ac:dyDescent="0.25">
      <c r="A513" s="17"/>
      <c r="B513" s="17"/>
      <c r="J513" s="17">
        <f t="array" ref="J513">IF(ROW(J513)&lt;=COUNTA(D:D)*2,IF(MOD(ROW(J513),2)=1,INDEX(D:D,(ROW(J513)+1)/2),INDEX(F:F,ROW(J513)/2)),"")</f>
        <v>-509.9</v>
      </c>
      <c r="K513" s="17">
        <f t="array" ref="K513">IF(ROW(K513)&lt;=COUNTA(E:E)*2,IF(MOD(ROW(K513),2)=1,INDEX(E:E,(ROW(K513)+1)/2),INDEX(G:G,ROW(K513)/2)),"")</f>
        <v>50.32</v>
      </c>
    </row>
    <row r="514" spans="1:11" x14ac:dyDescent="0.25">
      <c r="A514" s="17"/>
      <c r="B514" s="17"/>
      <c r="J514" s="17">
        <f t="array" ref="J514">IF(ROW(J514)&lt;=COUNTA(D:D)*2,IF(MOD(ROW(J514),2)=1,INDEX(D:D,(ROW(J514)+1)/2),INDEX(F:F,ROW(J514)/2)),"")</f>
        <v>-511.9</v>
      </c>
      <c r="K514" s="17">
        <f t="array" ref="K514">IF(ROW(K514)&lt;=COUNTA(E:E)*2,IF(MOD(ROW(K514),2)=1,INDEX(E:E,(ROW(K514)+1)/2),INDEX(G:G,ROW(K514)/2)),"")</f>
        <v>50.32</v>
      </c>
    </row>
    <row r="515" spans="1:11" x14ac:dyDescent="0.25">
      <c r="A515" s="17"/>
      <c r="B515" s="17"/>
      <c r="J515" s="17">
        <f t="array" ref="J515">IF(ROW(J515)&lt;=COUNTA(D:D)*2,IF(MOD(ROW(J515),2)=1,INDEX(D:D,(ROW(J515)+1)/2),INDEX(F:F,ROW(J515)/2)),"")</f>
        <v>-511.9</v>
      </c>
      <c r="K515" s="17">
        <f t="array" ref="K515">IF(ROW(K515)&lt;=COUNTA(E:E)*2,IF(MOD(ROW(K515),2)=1,INDEX(E:E,(ROW(K515)+1)/2),INDEX(G:G,ROW(K515)/2)),"")</f>
        <v>50.76</v>
      </c>
    </row>
    <row r="516" spans="1:11" x14ac:dyDescent="0.25">
      <c r="A516" s="17"/>
      <c r="B516" s="17"/>
      <c r="J516" s="17">
        <f t="array" ref="J516">IF(ROW(J516)&lt;=COUNTA(D:D)*2,IF(MOD(ROW(J516),2)=1,INDEX(D:D,(ROW(J516)+1)/2),INDEX(F:F,ROW(J516)/2)),"")</f>
        <v>-513.9</v>
      </c>
      <c r="K516" s="17">
        <f t="array" ref="K516">IF(ROW(K516)&lt;=COUNTA(E:E)*2,IF(MOD(ROW(K516),2)=1,INDEX(E:E,(ROW(K516)+1)/2),INDEX(G:G,ROW(K516)/2)),"")</f>
        <v>50.76</v>
      </c>
    </row>
    <row r="517" spans="1:11" x14ac:dyDescent="0.25">
      <c r="A517" s="17"/>
      <c r="B517" s="17"/>
      <c r="J517" s="17">
        <f t="array" ref="J517">IF(ROW(J517)&lt;=COUNTA(D:D)*2,IF(MOD(ROW(J517),2)=1,INDEX(D:D,(ROW(J517)+1)/2),INDEX(F:F,ROW(J517)/2)),"")</f>
        <v>-513.9</v>
      </c>
      <c r="K517" s="17">
        <f t="array" ref="K517">IF(ROW(K517)&lt;=COUNTA(E:E)*2,IF(MOD(ROW(K517),2)=1,INDEX(E:E,(ROW(K517)+1)/2),INDEX(G:G,ROW(K517)/2)),"")</f>
        <v>50.32</v>
      </c>
    </row>
    <row r="518" spans="1:11" x14ac:dyDescent="0.25">
      <c r="A518" s="17"/>
      <c r="B518" s="17"/>
      <c r="J518" s="17">
        <f t="array" ref="J518">IF(ROW(J518)&lt;=COUNTA(D:D)*2,IF(MOD(ROW(J518),2)=1,INDEX(D:D,(ROW(J518)+1)/2),INDEX(F:F,ROW(J518)/2)),"")</f>
        <v>-515.9</v>
      </c>
      <c r="K518" s="17">
        <f t="array" ref="K518">IF(ROW(K518)&lt;=COUNTA(E:E)*2,IF(MOD(ROW(K518),2)=1,INDEX(E:E,(ROW(K518)+1)/2),INDEX(G:G,ROW(K518)/2)),"")</f>
        <v>50.32</v>
      </c>
    </row>
    <row r="519" spans="1:11" x14ac:dyDescent="0.25">
      <c r="A519" s="17"/>
      <c r="B519" s="17"/>
      <c r="J519" s="17">
        <f t="array" ref="J519">IF(ROW(J519)&lt;=COUNTA(D:D)*2,IF(MOD(ROW(J519),2)=1,INDEX(D:D,(ROW(J519)+1)/2),INDEX(F:F,ROW(J519)/2)),"")</f>
        <v>-515.9</v>
      </c>
      <c r="K519" s="17">
        <f t="array" ref="K519">IF(ROW(K519)&lt;=COUNTA(E:E)*2,IF(MOD(ROW(K519),2)=1,INDEX(E:E,(ROW(K519)+1)/2),INDEX(G:G,ROW(K519)/2)),"")</f>
        <v>50.32</v>
      </c>
    </row>
    <row r="520" spans="1:11" x14ac:dyDescent="0.25">
      <c r="A520" s="17"/>
      <c r="B520" s="17"/>
      <c r="J520" s="17">
        <f t="array" ref="J520">IF(ROW(J520)&lt;=COUNTA(D:D)*2,IF(MOD(ROW(J520),2)=1,INDEX(D:D,(ROW(J520)+1)/2),INDEX(F:F,ROW(J520)/2)),"")</f>
        <v>-517.9</v>
      </c>
      <c r="K520" s="17">
        <f t="array" ref="K520">IF(ROW(K520)&lt;=COUNTA(E:E)*2,IF(MOD(ROW(K520),2)=1,INDEX(E:E,(ROW(K520)+1)/2),INDEX(G:G,ROW(K520)/2)),"")</f>
        <v>50.32</v>
      </c>
    </row>
    <row r="521" spans="1:11" x14ac:dyDescent="0.25">
      <c r="A521" s="17"/>
      <c r="B521" s="17"/>
      <c r="J521" s="17">
        <f t="array" ref="J521">IF(ROW(J521)&lt;=COUNTA(D:D)*2,IF(MOD(ROW(J521),2)=1,INDEX(D:D,(ROW(J521)+1)/2),INDEX(F:F,ROW(J521)/2)),"")</f>
        <v>-517.9</v>
      </c>
      <c r="K521" s="17">
        <f t="array" ref="K521">IF(ROW(K521)&lt;=COUNTA(E:E)*2,IF(MOD(ROW(K521),2)=1,INDEX(E:E,(ROW(K521)+1)/2),INDEX(G:G,ROW(K521)/2)),"")</f>
        <v>51.32</v>
      </c>
    </row>
    <row r="522" spans="1:11" x14ac:dyDescent="0.25">
      <c r="A522" s="17"/>
      <c r="B522" s="17"/>
      <c r="J522" s="17">
        <f t="array" ref="J522">IF(ROW(J522)&lt;=COUNTA(D:D)*2,IF(MOD(ROW(J522),2)=1,INDEX(D:D,(ROW(J522)+1)/2),INDEX(F:F,ROW(J522)/2)),"")</f>
        <v>-519.9</v>
      </c>
      <c r="K522" s="17">
        <f t="array" ref="K522">IF(ROW(K522)&lt;=COUNTA(E:E)*2,IF(MOD(ROW(K522),2)=1,INDEX(E:E,(ROW(K522)+1)/2),INDEX(G:G,ROW(K522)/2)),"")</f>
        <v>51.32</v>
      </c>
    </row>
    <row r="523" spans="1:11" x14ac:dyDescent="0.25">
      <c r="A523" s="17"/>
      <c r="B523" s="17"/>
      <c r="J523" s="17">
        <f t="array" ref="J523">IF(ROW(J523)&lt;=COUNTA(D:D)*2,IF(MOD(ROW(J523),2)=1,INDEX(D:D,(ROW(J523)+1)/2),INDEX(F:F,ROW(J523)/2)),"")</f>
        <v>-519.9</v>
      </c>
      <c r="K523" s="17">
        <f t="array" ref="K523">IF(ROW(K523)&lt;=COUNTA(E:E)*2,IF(MOD(ROW(K523),2)=1,INDEX(E:E,(ROW(K523)+1)/2),INDEX(G:G,ROW(K523)/2)),"")</f>
        <v>50.36</v>
      </c>
    </row>
    <row r="524" spans="1:11" x14ac:dyDescent="0.25">
      <c r="A524" s="17"/>
      <c r="B524" s="17"/>
      <c r="J524" s="17">
        <f t="array" ref="J524">IF(ROW(J524)&lt;=COUNTA(D:D)*2,IF(MOD(ROW(J524),2)=1,INDEX(D:D,(ROW(J524)+1)/2),INDEX(F:F,ROW(J524)/2)),"")</f>
        <v>-521.9</v>
      </c>
      <c r="K524" s="17">
        <f t="array" ref="K524">IF(ROW(K524)&lt;=COUNTA(E:E)*2,IF(MOD(ROW(K524),2)=1,INDEX(E:E,(ROW(K524)+1)/2),INDEX(G:G,ROW(K524)/2)),"")</f>
        <v>50.36</v>
      </c>
    </row>
    <row r="525" spans="1:11" x14ac:dyDescent="0.25">
      <c r="A525" s="17"/>
      <c r="B525" s="17"/>
      <c r="J525" s="17">
        <f t="array" ref="J525">IF(ROW(J525)&lt;=COUNTA(D:D)*2,IF(MOD(ROW(J525),2)=1,INDEX(D:D,(ROW(J525)+1)/2),INDEX(F:F,ROW(J525)/2)),"")</f>
        <v>-521.9</v>
      </c>
      <c r="K525" s="17">
        <f t="array" ref="K525">IF(ROW(K525)&lt;=COUNTA(E:E)*2,IF(MOD(ROW(K525),2)=1,INDEX(E:E,(ROW(K525)+1)/2),INDEX(G:G,ROW(K525)/2)),"")</f>
        <v>50</v>
      </c>
    </row>
    <row r="526" spans="1:11" x14ac:dyDescent="0.25">
      <c r="A526" s="17"/>
      <c r="B526" s="17"/>
      <c r="J526" s="17">
        <f t="array" ref="J526">IF(ROW(J526)&lt;=COUNTA(D:D)*2,IF(MOD(ROW(J526),2)=1,INDEX(D:D,(ROW(J526)+1)/2),INDEX(F:F,ROW(J526)/2)),"")</f>
        <v>-523.9</v>
      </c>
      <c r="K526" s="17">
        <f t="array" ref="K526">IF(ROW(K526)&lt;=COUNTA(E:E)*2,IF(MOD(ROW(K526),2)=1,INDEX(E:E,(ROW(K526)+1)/2),INDEX(G:G,ROW(K526)/2)),"")</f>
        <v>50</v>
      </c>
    </row>
    <row r="527" spans="1:11" x14ac:dyDescent="0.25">
      <c r="A527" s="17"/>
      <c r="B527" s="17"/>
      <c r="J527" s="17">
        <f t="array" ref="J527">IF(ROW(J527)&lt;=COUNTA(D:D)*2,IF(MOD(ROW(J527),2)=1,INDEX(D:D,(ROW(J527)+1)/2),INDEX(F:F,ROW(J527)/2)),"")</f>
        <v>-523.9</v>
      </c>
      <c r="K527" s="17">
        <f t="array" ref="K527">IF(ROW(K527)&lt;=COUNTA(E:E)*2,IF(MOD(ROW(K527),2)=1,INDEX(E:E,(ROW(K527)+1)/2),INDEX(G:G,ROW(K527)/2)),"")</f>
        <v>50.32</v>
      </c>
    </row>
    <row r="528" spans="1:11" x14ac:dyDescent="0.25">
      <c r="A528" s="17"/>
      <c r="B528" s="17"/>
      <c r="J528" s="17">
        <f t="array" ref="J528">IF(ROW(J528)&lt;=COUNTA(D:D)*2,IF(MOD(ROW(J528),2)=1,INDEX(D:D,(ROW(J528)+1)/2),INDEX(F:F,ROW(J528)/2)),"")</f>
        <v>-525.9</v>
      </c>
      <c r="K528" s="17">
        <f t="array" ref="K528">IF(ROW(K528)&lt;=COUNTA(E:E)*2,IF(MOD(ROW(K528),2)=1,INDEX(E:E,(ROW(K528)+1)/2),INDEX(G:G,ROW(K528)/2)),"")</f>
        <v>50.32</v>
      </c>
    </row>
    <row r="529" spans="1:11" x14ac:dyDescent="0.25">
      <c r="A529" s="17"/>
      <c r="B529" s="17"/>
      <c r="J529" s="17">
        <f t="array" ref="J529">IF(ROW(J529)&lt;=COUNTA(D:D)*2,IF(MOD(ROW(J529),2)=1,INDEX(D:D,(ROW(J529)+1)/2),INDEX(F:F,ROW(J529)/2)),"")</f>
        <v>-525.9</v>
      </c>
      <c r="K529" s="17">
        <f t="array" ref="K529">IF(ROW(K529)&lt;=COUNTA(E:E)*2,IF(MOD(ROW(K529),2)=1,INDEX(E:E,(ROW(K529)+1)/2),INDEX(G:G,ROW(K529)/2)),"")</f>
        <v>50.04</v>
      </c>
    </row>
    <row r="530" spans="1:11" x14ac:dyDescent="0.25">
      <c r="A530" s="17"/>
      <c r="B530" s="17"/>
      <c r="J530" s="17">
        <f t="array" ref="J530">IF(ROW(J530)&lt;=COUNTA(D:D)*2,IF(MOD(ROW(J530),2)=1,INDEX(D:D,(ROW(J530)+1)/2),INDEX(F:F,ROW(J530)/2)),"")</f>
        <v>-527.9</v>
      </c>
      <c r="K530" s="17">
        <f t="array" ref="K530">IF(ROW(K530)&lt;=COUNTA(E:E)*2,IF(MOD(ROW(K530),2)=1,INDEX(E:E,(ROW(K530)+1)/2),INDEX(G:G,ROW(K530)/2)),"")</f>
        <v>50.04</v>
      </c>
    </row>
    <row r="531" spans="1:11" x14ac:dyDescent="0.25">
      <c r="A531" s="17"/>
      <c r="B531" s="17"/>
      <c r="J531" s="17">
        <f t="array" ref="J531">IF(ROW(J531)&lt;=COUNTA(D:D)*2,IF(MOD(ROW(J531),2)=1,INDEX(D:D,(ROW(J531)+1)/2),INDEX(F:F,ROW(J531)/2)),"")</f>
        <v>-527.9</v>
      </c>
      <c r="K531" s="17">
        <f t="array" ref="K531">IF(ROW(K531)&lt;=COUNTA(E:E)*2,IF(MOD(ROW(K531),2)=1,INDEX(E:E,(ROW(K531)+1)/2),INDEX(G:G,ROW(K531)/2)),"")</f>
        <v>50.04</v>
      </c>
    </row>
    <row r="532" spans="1:11" x14ac:dyDescent="0.25">
      <c r="A532" s="17"/>
      <c r="B532" s="17"/>
      <c r="J532" s="17">
        <f t="array" ref="J532">IF(ROW(J532)&lt;=COUNTA(D:D)*2,IF(MOD(ROW(J532),2)=1,INDEX(D:D,(ROW(J532)+1)/2),INDEX(F:F,ROW(J532)/2)),"")</f>
        <v>-529.9</v>
      </c>
      <c r="K532" s="17">
        <f t="array" ref="K532">IF(ROW(K532)&lt;=COUNTA(E:E)*2,IF(MOD(ROW(K532),2)=1,INDEX(E:E,(ROW(K532)+1)/2),INDEX(G:G,ROW(K532)/2)),"")</f>
        <v>50.04</v>
      </c>
    </row>
    <row r="533" spans="1:11" x14ac:dyDescent="0.25">
      <c r="A533" s="17"/>
      <c r="B533" s="17"/>
      <c r="J533" s="17">
        <f t="array" ref="J533">IF(ROW(J533)&lt;=COUNTA(D:D)*2,IF(MOD(ROW(J533),2)=1,INDEX(D:D,(ROW(J533)+1)/2),INDEX(F:F,ROW(J533)/2)),"")</f>
        <v>-529.9</v>
      </c>
      <c r="K533" s="17">
        <f t="array" ref="K533">IF(ROW(K533)&lt;=COUNTA(E:E)*2,IF(MOD(ROW(K533),2)=1,INDEX(E:E,(ROW(K533)+1)/2),INDEX(G:G,ROW(K533)/2)),"")</f>
        <v>50.04</v>
      </c>
    </row>
    <row r="534" spans="1:11" x14ac:dyDescent="0.25">
      <c r="A534" s="17"/>
      <c r="B534" s="17"/>
      <c r="J534" s="17">
        <f t="array" ref="J534">IF(ROW(J534)&lt;=COUNTA(D:D)*2,IF(MOD(ROW(J534),2)=1,INDEX(D:D,(ROW(J534)+1)/2),INDEX(F:F,ROW(J534)/2)),"")</f>
        <v>-531.9</v>
      </c>
      <c r="K534" s="17">
        <f t="array" ref="K534">IF(ROW(K534)&lt;=COUNTA(E:E)*2,IF(MOD(ROW(K534),2)=1,INDEX(E:E,(ROW(K534)+1)/2),INDEX(G:G,ROW(K534)/2)),"")</f>
        <v>50.04</v>
      </c>
    </row>
    <row r="535" spans="1:11" x14ac:dyDescent="0.25">
      <c r="A535" s="17"/>
      <c r="B535" s="17"/>
      <c r="J535" s="17">
        <f t="array" ref="J535">IF(ROW(J535)&lt;=COUNTA(D:D)*2,IF(MOD(ROW(J535),2)=1,INDEX(D:D,(ROW(J535)+1)/2),INDEX(F:F,ROW(J535)/2)),"")</f>
        <v>-531.9</v>
      </c>
      <c r="K535" s="17">
        <f t="array" ref="K535">IF(ROW(K535)&lt;=COUNTA(E:E)*2,IF(MOD(ROW(K535),2)=1,INDEX(E:E,(ROW(K535)+1)/2),INDEX(G:G,ROW(K535)/2)),"")</f>
        <v>50.04</v>
      </c>
    </row>
    <row r="536" spans="1:11" x14ac:dyDescent="0.25">
      <c r="A536" s="17"/>
      <c r="B536" s="17"/>
      <c r="J536" s="17">
        <f t="array" ref="J536">IF(ROW(J536)&lt;=COUNTA(D:D)*2,IF(MOD(ROW(J536),2)=1,INDEX(D:D,(ROW(J536)+1)/2),INDEX(F:F,ROW(J536)/2)),"")</f>
        <v>-533.9</v>
      </c>
      <c r="K536" s="17">
        <f t="array" ref="K536">IF(ROW(K536)&lt;=COUNTA(E:E)*2,IF(MOD(ROW(K536),2)=1,INDEX(E:E,(ROW(K536)+1)/2),INDEX(G:G,ROW(K536)/2)),"")</f>
        <v>50.04</v>
      </c>
    </row>
    <row r="537" spans="1:11" x14ac:dyDescent="0.25">
      <c r="A537" s="17"/>
      <c r="B537" s="17"/>
      <c r="J537" s="17">
        <f t="array" ref="J537">IF(ROW(J537)&lt;=COUNTA(D:D)*2,IF(MOD(ROW(J537),2)=1,INDEX(D:D,(ROW(J537)+1)/2),INDEX(F:F,ROW(J537)/2)),"")</f>
        <v>-533.9</v>
      </c>
      <c r="K537" s="17">
        <f t="array" ref="K537">IF(ROW(K537)&lt;=COUNTA(E:E)*2,IF(MOD(ROW(K537),2)=1,INDEX(E:E,(ROW(K537)+1)/2),INDEX(G:G,ROW(K537)/2)),"")</f>
        <v>50.36</v>
      </c>
    </row>
    <row r="538" spans="1:11" x14ac:dyDescent="0.25">
      <c r="A538" s="17"/>
      <c r="B538" s="17"/>
      <c r="J538" s="17">
        <f t="array" ref="J538">IF(ROW(J538)&lt;=COUNTA(D:D)*2,IF(MOD(ROW(J538),2)=1,INDEX(D:D,(ROW(J538)+1)/2),INDEX(F:F,ROW(J538)/2)),"")</f>
        <v>-535.9</v>
      </c>
      <c r="K538" s="17">
        <f t="array" ref="K538">IF(ROW(K538)&lt;=COUNTA(E:E)*2,IF(MOD(ROW(K538),2)=1,INDEX(E:E,(ROW(K538)+1)/2),INDEX(G:G,ROW(K538)/2)),"")</f>
        <v>50.36</v>
      </c>
    </row>
    <row r="539" spans="1:11" x14ac:dyDescent="0.25">
      <c r="A539" s="17"/>
      <c r="B539" s="17"/>
      <c r="J539" s="17">
        <f t="array" ref="J539">IF(ROW(J539)&lt;=COUNTA(D:D)*2,IF(MOD(ROW(J539),2)=1,INDEX(D:D,(ROW(J539)+1)/2),INDEX(F:F,ROW(J539)/2)),"")</f>
        <v>-535.9</v>
      </c>
      <c r="K539" s="17">
        <f t="array" ref="K539">IF(ROW(K539)&lt;=COUNTA(E:E)*2,IF(MOD(ROW(K539),2)=1,INDEX(E:E,(ROW(K539)+1)/2),INDEX(G:G,ROW(K539)/2)),"")</f>
        <v>50.32</v>
      </c>
    </row>
    <row r="540" spans="1:11" x14ac:dyDescent="0.25">
      <c r="A540" s="17"/>
      <c r="B540" s="17"/>
      <c r="J540" s="17">
        <f t="array" ref="J540">IF(ROW(J540)&lt;=COUNTA(D:D)*2,IF(MOD(ROW(J540),2)=1,INDEX(D:D,(ROW(J540)+1)/2),INDEX(F:F,ROW(J540)/2)),"")</f>
        <v>-537.9</v>
      </c>
      <c r="K540" s="17">
        <f t="array" ref="K540">IF(ROW(K540)&lt;=COUNTA(E:E)*2,IF(MOD(ROW(K540),2)=1,INDEX(E:E,(ROW(K540)+1)/2),INDEX(G:G,ROW(K540)/2)),"")</f>
        <v>50.32</v>
      </c>
    </row>
    <row r="541" spans="1:11" x14ac:dyDescent="0.25">
      <c r="A541" s="17"/>
      <c r="B541" s="17"/>
      <c r="J541" s="17">
        <f t="array" ref="J541">IF(ROW(J541)&lt;=COUNTA(D:D)*2,IF(MOD(ROW(J541),2)=1,INDEX(D:D,(ROW(J541)+1)/2),INDEX(F:F,ROW(J541)/2)),"")</f>
        <v>-537.9</v>
      </c>
      <c r="K541" s="17">
        <f t="array" ref="K541">IF(ROW(K541)&lt;=COUNTA(E:E)*2,IF(MOD(ROW(K541),2)=1,INDEX(E:E,(ROW(K541)+1)/2),INDEX(G:G,ROW(K541)/2)),"")</f>
        <v>50.32</v>
      </c>
    </row>
    <row r="542" spans="1:11" x14ac:dyDescent="0.25">
      <c r="A542" s="17"/>
      <c r="B542" s="17"/>
      <c r="J542" s="17">
        <f t="array" ref="J542">IF(ROW(J542)&lt;=COUNTA(D:D)*2,IF(MOD(ROW(J542),2)=1,INDEX(D:D,(ROW(J542)+1)/2),INDEX(F:F,ROW(J542)/2)),"")</f>
        <v>-539.9</v>
      </c>
      <c r="K542" s="17">
        <f t="array" ref="K542">IF(ROW(K542)&lt;=COUNTA(E:E)*2,IF(MOD(ROW(K542),2)=1,INDEX(E:E,(ROW(K542)+1)/2),INDEX(G:G,ROW(K542)/2)),"")</f>
        <v>50.32</v>
      </c>
    </row>
    <row r="543" spans="1:11" x14ac:dyDescent="0.25">
      <c r="A543" s="17"/>
      <c r="B543" s="17"/>
      <c r="J543" s="17">
        <f t="array" ref="J543">IF(ROW(J543)&lt;=COUNTA(D:D)*2,IF(MOD(ROW(J543),2)=1,INDEX(D:D,(ROW(J543)+1)/2),INDEX(F:F,ROW(J543)/2)),"")</f>
        <v>-539.9</v>
      </c>
      <c r="K543" s="17">
        <f t="array" ref="K543">IF(ROW(K543)&lt;=COUNTA(E:E)*2,IF(MOD(ROW(K543),2)=1,INDEX(E:E,(ROW(K543)+1)/2),INDEX(G:G,ROW(K543)/2)),"")</f>
        <v>50.36</v>
      </c>
    </row>
    <row r="544" spans="1:11" x14ac:dyDescent="0.25">
      <c r="A544" s="17"/>
      <c r="B544" s="17"/>
      <c r="J544" s="17">
        <f t="array" ref="J544">IF(ROW(J544)&lt;=COUNTA(D:D)*2,IF(MOD(ROW(J544),2)=1,INDEX(D:D,(ROW(J544)+1)/2),INDEX(F:F,ROW(J544)/2)),"")</f>
        <v>-541.9</v>
      </c>
      <c r="K544" s="17">
        <f t="array" ref="K544">IF(ROW(K544)&lt;=COUNTA(E:E)*2,IF(MOD(ROW(K544),2)=1,INDEX(E:E,(ROW(K544)+1)/2),INDEX(G:G,ROW(K544)/2)),"")</f>
        <v>50.36</v>
      </c>
    </row>
    <row r="545" spans="1:11" x14ac:dyDescent="0.25">
      <c r="A545" s="17"/>
      <c r="B545" s="17"/>
      <c r="J545" s="17">
        <f t="array" ref="J545">IF(ROW(J545)&lt;=COUNTA(D:D)*2,IF(MOD(ROW(J545),2)=1,INDEX(D:D,(ROW(J545)+1)/2),INDEX(F:F,ROW(J545)/2)),"")</f>
        <v>-541.9</v>
      </c>
      <c r="K545" s="17">
        <f t="array" ref="K545">IF(ROW(K545)&lt;=COUNTA(E:E)*2,IF(MOD(ROW(K545),2)=1,INDEX(E:E,(ROW(K545)+1)/2),INDEX(G:G,ROW(K545)/2)),"")</f>
        <v>50.36</v>
      </c>
    </row>
    <row r="546" spans="1:11" x14ac:dyDescent="0.25">
      <c r="A546" s="17"/>
      <c r="B546" s="17"/>
      <c r="J546" s="17">
        <f t="array" ref="J546">IF(ROW(J546)&lt;=COUNTA(D:D)*2,IF(MOD(ROW(J546),2)=1,INDEX(D:D,(ROW(J546)+1)/2),INDEX(F:F,ROW(J546)/2)),"")</f>
        <v>-543.9</v>
      </c>
      <c r="K546" s="17">
        <f t="array" ref="K546">IF(ROW(K546)&lt;=COUNTA(E:E)*2,IF(MOD(ROW(K546),2)=1,INDEX(E:E,(ROW(K546)+1)/2),INDEX(G:G,ROW(K546)/2)),"")</f>
        <v>50.36</v>
      </c>
    </row>
    <row r="547" spans="1:11" x14ac:dyDescent="0.25">
      <c r="A547" s="17"/>
      <c r="B547" s="17"/>
      <c r="J547" s="17">
        <f t="array" ref="J547">IF(ROW(J547)&lt;=COUNTA(D:D)*2,IF(MOD(ROW(J547),2)=1,INDEX(D:D,(ROW(J547)+1)/2),INDEX(F:F,ROW(J547)/2)),"")</f>
        <v>-543.9</v>
      </c>
      <c r="K547" s="17">
        <f t="array" ref="K547">IF(ROW(K547)&lt;=COUNTA(E:E)*2,IF(MOD(ROW(K547),2)=1,INDEX(E:E,(ROW(K547)+1)/2),INDEX(G:G,ROW(K547)/2)),"")</f>
        <v>50.36</v>
      </c>
    </row>
    <row r="548" spans="1:11" x14ac:dyDescent="0.25">
      <c r="A548" s="17"/>
      <c r="B548" s="17"/>
      <c r="J548" s="17">
        <f t="array" ref="J548">IF(ROW(J548)&lt;=COUNTA(D:D)*2,IF(MOD(ROW(J548),2)=1,INDEX(D:D,(ROW(J548)+1)/2),INDEX(F:F,ROW(J548)/2)),"")</f>
        <v>-545.9</v>
      </c>
      <c r="K548" s="17">
        <f t="array" ref="K548">IF(ROW(K548)&lt;=COUNTA(E:E)*2,IF(MOD(ROW(K548),2)=1,INDEX(E:E,(ROW(K548)+1)/2),INDEX(G:G,ROW(K548)/2)),"")</f>
        <v>50.36</v>
      </c>
    </row>
    <row r="549" spans="1:11" x14ac:dyDescent="0.25">
      <c r="A549" s="17"/>
      <c r="B549" s="17"/>
      <c r="J549" s="17">
        <f t="array" ref="J549">IF(ROW(J549)&lt;=COUNTA(D:D)*2,IF(MOD(ROW(J549),2)=1,INDEX(D:D,(ROW(J549)+1)/2),INDEX(F:F,ROW(J549)/2)),"")</f>
        <v>-545.9</v>
      </c>
      <c r="K549" s="17">
        <f t="array" ref="K549">IF(ROW(K549)&lt;=COUNTA(E:E)*2,IF(MOD(ROW(K549),2)=1,INDEX(E:E,(ROW(K549)+1)/2),INDEX(G:G,ROW(K549)/2)),"")</f>
        <v>50.36</v>
      </c>
    </row>
    <row r="550" spans="1:11" x14ac:dyDescent="0.25">
      <c r="A550" s="17"/>
      <c r="B550" s="17"/>
      <c r="J550" s="17">
        <f t="array" ref="J550">IF(ROW(J550)&lt;=COUNTA(D:D)*2,IF(MOD(ROW(J550),2)=1,INDEX(D:D,(ROW(J550)+1)/2),INDEX(F:F,ROW(J550)/2)),"")</f>
        <v>-547.9</v>
      </c>
      <c r="K550" s="17">
        <f t="array" ref="K550">IF(ROW(K550)&lt;=COUNTA(E:E)*2,IF(MOD(ROW(K550),2)=1,INDEX(E:E,(ROW(K550)+1)/2),INDEX(G:G,ROW(K550)/2)),"")</f>
        <v>50.36</v>
      </c>
    </row>
    <row r="551" spans="1:11" x14ac:dyDescent="0.25">
      <c r="A551" s="17"/>
      <c r="B551" s="17"/>
      <c r="J551" s="17">
        <f t="array" ref="J551">IF(ROW(J551)&lt;=COUNTA(D:D)*2,IF(MOD(ROW(J551),2)=1,INDEX(D:D,(ROW(J551)+1)/2),INDEX(F:F,ROW(J551)/2)),"")</f>
        <v>-547.9</v>
      </c>
      <c r="K551" s="17">
        <f t="array" ref="K551">IF(ROW(K551)&lt;=COUNTA(E:E)*2,IF(MOD(ROW(K551),2)=1,INDEX(E:E,(ROW(K551)+1)/2),INDEX(G:G,ROW(K551)/2)),"")</f>
        <v>50.36</v>
      </c>
    </row>
    <row r="552" spans="1:11" x14ac:dyDescent="0.25">
      <c r="A552" s="17"/>
      <c r="B552" s="17"/>
      <c r="J552" s="17">
        <f t="array" ref="J552">IF(ROW(J552)&lt;=COUNTA(D:D)*2,IF(MOD(ROW(J552),2)=1,INDEX(D:D,(ROW(J552)+1)/2),INDEX(F:F,ROW(J552)/2)),"")</f>
        <v>-549.9</v>
      </c>
      <c r="K552" s="17">
        <f t="array" ref="K552">IF(ROW(K552)&lt;=COUNTA(E:E)*2,IF(MOD(ROW(K552),2)=1,INDEX(E:E,(ROW(K552)+1)/2),INDEX(G:G,ROW(K552)/2)),"")</f>
        <v>50.36</v>
      </c>
    </row>
    <row r="553" spans="1:11" x14ac:dyDescent="0.25">
      <c r="A553" s="17"/>
      <c r="B553" s="17"/>
      <c r="J553" s="17">
        <f t="array" ref="J553">IF(ROW(J553)&lt;=COUNTA(D:D)*2,IF(MOD(ROW(J553),2)=1,INDEX(D:D,(ROW(J553)+1)/2),INDEX(F:F,ROW(J553)/2)),"")</f>
        <v>-549.9</v>
      </c>
      <c r="K553" s="17">
        <f t="array" ref="K553">IF(ROW(K553)&lt;=COUNTA(E:E)*2,IF(MOD(ROW(K553),2)=1,INDEX(E:E,(ROW(K553)+1)/2),INDEX(G:G,ROW(K553)/2)),"")</f>
        <v>50.36</v>
      </c>
    </row>
    <row r="554" spans="1:11" x14ac:dyDescent="0.25">
      <c r="A554" s="17"/>
      <c r="B554" s="17"/>
      <c r="J554" s="17">
        <f t="array" ref="J554">IF(ROW(J554)&lt;=COUNTA(D:D)*2,IF(MOD(ROW(J554),2)=1,INDEX(D:D,(ROW(J554)+1)/2),INDEX(F:F,ROW(J554)/2)),"")</f>
        <v>-551.9</v>
      </c>
      <c r="K554" s="17">
        <f t="array" ref="K554">IF(ROW(K554)&lt;=COUNTA(E:E)*2,IF(MOD(ROW(K554),2)=1,INDEX(E:E,(ROW(K554)+1)/2),INDEX(G:G,ROW(K554)/2)),"")</f>
        <v>50.36</v>
      </c>
    </row>
    <row r="555" spans="1:11" x14ac:dyDescent="0.25">
      <c r="A555" s="17"/>
      <c r="B555" s="17"/>
      <c r="J555" s="17">
        <f t="array" ref="J555">IF(ROW(J555)&lt;=COUNTA(D:D)*2,IF(MOD(ROW(J555),2)=1,INDEX(D:D,(ROW(J555)+1)/2),INDEX(F:F,ROW(J555)/2)),"")</f>
        <v>-551.9</v>
      </c>
      <c r="K555" s="17">
        <f t="array" ref="K555">IF(ROW(K555)&lt;=COUNTA(E:E)*2,IF(MOD(ROW(K555),2)=1,INDEX(E:E,(ROW(K555)+1)/2),INDEX(G:G,ROW(K555)/2)),"")</f>
        <v>50.36</v>
      </c>
    </row>
    <row r="556" spans="1:11" x14ac:dyDescent="0.25">
      <c r="A556" s="17"/>
      <c r="B556" s="17"/>
      <c r="J556" s="17">
        <f t="array" ref="J556">IF(ROW(J556)&lt;=COUNTA(D:D)*2,IF(MOD(ROW(J556),2)=1,INDEX(D:D,(ROW(J556)+1)/2),INDEX(F:F,ROW(J556)/2)),"")</f>
        <v>-553.9</v>
      </c>
      <c r="K556" s="17">
        <f t="array" ref="K556">IF(ROW(K556)&lt;=COUNTA(E:E)*2,IF(MOD(ROW(K556),2)=1,INDEX(E:E,(ROW(K556)+1)/2),INDEX(G:G,ROW(K556)/2)),"")</f>
        <v>50.36</v>
      </c>
    </row>
    <row r="557" spans="1:11" x14ac:dyDescent="0.25">
      <c r="A557" s="17"/>
      <c r="B557" s="17"/>
      <c r="J557" s="17">
        <f t="array" ref="J557">IF(ROW(J557)&lt;=COUNTA(D:D)*2,IF(MOD(ROW(J557),2)=1,INDEX(D:D,(ROW(J557)+1)/2),INDEX(F:F,ROW(J557)/2)),"")</f>
        <v>-553.9</v>
      </c>
      <c r="K557" s="17">
        <f t="array" ref="K557">IF(ROW(K557)&lt;=COUNTA(E:E)*2,IF(MOD(ROW(K557),2)=1,INDEX(E:E,(ROW(K557)+1)/2),INDEX(G:G,ROW(K557)/2)),"")</f>
        <v>50.36</v>
      </c>
    </row>
    <row r="558" spans="1:11" x14ac:dyDescent="0.25">
      <c r="A558" s="17"/>
      <c r="B558" s="17"/>
      <c r="J558" s="17">
        <f t="array" ref="J558">IF(ROW(J558)&lt;=COUNTA(D:D)*2,IF(MOD(ROW(J558),2)=1,INDEX(D:D,(ROW(J558)+1)/2),INDEX(F:F,ROW(J558)/2)),"")</f>
        <v>-555.9</v>
      </c>
      <c r="K558" s="17">
        <f t="array" ref="K558">IF(ROW(K558)&lt;=COUNTA(E:E)*2,IF(MOD(ROW(K558),2)=1,INDEX(E:E,(ROW(K558)+1)/2),INDEX(G:G,ROW(K558)/2)),"")</f>
        <v>50.36</v>
      </c>
    </row>
    <row r="559" spans="1:11" x14ac:dyDescent="0.25">
      <c r="A559" s="17"/>
      <c r="B559" s="17"/>
      <c r="J559" s="17">
        <f t="array" ref="J559">IF(ROW(J559)&lt;=COUNTA(D:D)*2,IF(MOD(ROW(J559),2)=1,INDEX(D:D,(ROW(J559)+1)/2),INDEX(F:F,ROW(J559)/2)),"")</f>
        <v>-555.9</v>
      </c>
      <c r="K559" s="17">
        <f t="array" ref="K559">IF(ROW(K559)&lt;=COUNTA(E:E)*2,IF(MOD(ROW(K559),2)=1,INDEX(E:E,(ROW(K559)+1)/2),INDEX(G:G,ROW(K559)/2)),"")</f>
        <v>50.32</v>
      </c>
    </row>
    <row r="560" spans="1:11" x14ac:dyDescent="0.25">
      <c r="A560" s="17"/>
      <c r="B560" s="17"/>
      <c r="J560" s="17">
        <f t="array" ref="J560">IF(ROW(J560)&lt;=COUNTA(D:D)*2,IF(MOD(ROW(J560),2)=1,INDEX(D:D,(ROW(J560)+1)/2),INDEX(F:F,ROW(J560)/2)),"")</f>
        <v>-557.9</v>
      </c>
      <c r="K560" s="17">
        <f t="array" ref="K560">IF(ROW(K560)&lt;=COUNTA(E:E)*2,IF(MOD(ROW(K560),2)=1,INDEX(E:E,(ROW(K560)+1)/2),INDEX(G:G,ROW(K560)/2)),"")</f>
        <v>50.32</v>
      </c>
    </row>
    <row r="561" spans="1:11" x14ac:dyDescent="0.25">
      <c r="A561" s="17"/>
      <c r="B561" s="17"/>
      <c r="J561" s="17">
        <f t="array" ref="J561">IF(ROW(J561)&lt;=COUNTA(D:D)*2,IF(MOD(ROW(J561),2)=1,INDEX(D:D,(ROW(J561)+1)/2),INDEX(F:F,ROW(J561)/2)),"")</f>
        <v>-557.9</v>
      </c>
      <c r="K561" s="17">
        <f t="array" ref="K561">IF(ROW(K561)&lt;=COUNTA(E:E)*2,IF(MOD(ROW(K561),2)=1,INDEX(E:E,(ROW(K561)+1)/2),INDEX(G:G,ROW(K561)/2)),"")</f>
        <v>50.36</v>
      </c>
    </row>
    <row r="562" spans="1:11" x14ac:dyDescent="0.25">
      <c r="A562" s="17"/>
      <c r="B562" s="17"/>
      <c r="J562" s="17">
        <f t="array" ref="J562">IF(ROW(J562)&lt;=COUNTA(D:D)*2,IF(MOD(ROW(J562),2)=1,INDEX(D:D,(ROW(J562)+1)/2),INDEX(F:F,ROW(J562)/2)),"")</f>
        <v>-559.9</v>
      </c>
      <c r="K562" s="17">
        <f t="array" ref="K562">IF(ROW(K562)&lt;=COUNTA(E:E)*2,IF(MOD(ROW(K562),2)=1,INDEX(E:E,(ROW(K562)+1)/2),INDEX(G:G,ROW(K562)/2)),"")</f>
        <v>50.36</v>
      </c>
    </row>
    <row r="563" spans="1:11" x14ac:dyDescent="0.25">
      <c r="A563" s="17"/>
      <c r="B563" s="17"/>
      <c r="J563" s="17">
        <f t="array" ref="J563">IF(ROW(J563)&lt;=COUNTA(D:D)*2,IF(MOD(ROW(J563),2)=1,INDEX(D:D,(ROW(J563)+1)/2),INDEX(F:F,ROW(J563)/2)),"")</f>
        <v>-559.9</v>
      </c>
      <c r="K563" s="17">
        <f t="array" ref="K563">IF(ROW(K563)&lt;=COUNTA(E:E)*2,IF(MOD(ROW(K563),2)=1,INDEX(E:E,(ROW(K563)+1)/2),INDEX(G:G,ROW(K563)/2)),"")</f>
        <v>50.36</v>
      </c>
    </row>
    <row r="564" spans="1:11" x14ac:dyDescent="0.25">
      <c r="A564" s="17"/>
      <c r="B564" s="17"/>
      <c r="J564" s="17">
        <f t="array" ref="J564">IF(ROW(J564)&lt;=COUNTA(D:D)*2,IF(MOD(ROW(J564),2)=1,INDEX(D:D,(ROW(J564)+1)/2),INDEX(F:F,ROW(J564)/2)),"")</f>
        <v>-561.9</v>
      </c>
      <c r="K564" s="17">
        <f t="array" ref="K564">IF(ROW(K564)&lt;=COUNTA(E:E)*2,IF(MOD(ROW(K564),2)=1,INDEX(E:E,(ROW(K564)+1)/2),INDEX(G:G,ROW(K564)/2)),"")</f>
        <v>50.36</v>
      </c>
    </row>
    <row r="565" spans="1:11" x14ac:dyDescent="0.25">
      <c r="A565" s="17"/>
      <c r="B565" s="17"/>
      <c r="J565" s="17">
        <f t="array" ref="J565">IF(ROW(J565)&lt;=COUNTA(D:D)*2,IF(MOD(ROW(J565),2)=1,INDEX(D:D,(ROW(J565)+1)/2),INDEX(F:F,ROW(J565)/2)),"")</f>
        <v>-561.9</v>
      </c>
      <c r="K565" s="17">
        <f t="array" ref="K565">IF(ROW(K565)&lt;=COUNTA(E:E)*2,IF(MOD(ROW(K565),2)=1,INDEX(E:E,(ROW(K565)+1)/2),INDEX(G:G,ROW(K565)/2)),"")</f>
        <v>50.36</v>
      </c>
    </row>
    <row r="566" spans="1:11" x14ac:dyDescent="0.25">
      <c r="A566" s="17"/>
      <c r="B566" s="17"/>
      <c r="J566" s="17">
        <f t="array" ref="J566">IF(ROW(J566)&lt;=COUNTA(D:D)*2,IF(MOD(ROW(J566),2)=1,INDEX(D:D,(ROW(J566)+1)/2),INDEX(F:F,ROW(J566)/2)),"")</f>
        <v>-563.9</v>
      </c>
      <c r="K566" s="17">
        <f t="array" ref="K566">IF(ROW(K566)&lt;=COUNTA(E:E)*2,IF(MOD(ROW(K566),2)=1,INDEX(E:E,(ROW(K566)+1)/2),INDEX(G:G,ROW(K566)/2)),"")</f>
        <v>50.36</v>
      </c>
    </row>
    <row r="567" spans="1:11" x14ac:dyDescent="0.25">
      <c r="A567" s="17"/>
      <c r="B567" s="17"/>
      <c r="J567" s="17">
        <f t="array" ref="J567">IF(ROW(J567)&lt;=COUNTA(D:D)*2,IF(MOD(ROW(J567),2)=1,INDEX(D:D,(ROW(J567)+1)/2),INDEX(F:F,ROW(J567)/2)),"")</f>
        <v>-563.9</v>
      </c>
      <c r="K567" s="17">
        <f t="array" ref="K567">IF(ROW(K567)&lt;=COUNTA(E:E)*2,IF(MOD(ROW(K567),2)=1,INDEX(E:E,(ROW(K567)+1)/2),INDEX(G:G,ROW(K567)/2)),"")</f>
        <v>50.36</v>
      </c>
    </row>
    <row r="568" spans="1:11" x14ac:dyDescent="0.25">
      <c r="A568" s="17"/>
      <c r="B568" s="17"/>
      <c r="J568" s="17">
        <f t="array" ref="J568">IF(ROW(J568)&lt;=COUNTA(D:D)*2,IF(MOD(ROW(J568),2)=1,INDEX(D:D,(ROW(J568)+1)/2),INDEX(F:F,ROW(J568)/2)),"")</f>
        <v>-565.9</v>
      </c>
      <c r="K568" s="17">
        <f t="array" ref="K568">IF(ROW(K568)&lt;=COUNTA(E:E)*2,IF(MOD(ROW(K568),2)=1,INDEX(E:E,(ROW(K568)+1)/2),INDEX(G:G,ROW(K568)/2)),"")</f>
        <v>50.36</v>
      </c>
    </row>
    <row r="569" spans="1:11" x14ac:dyDescent="0.25">
      <c r="A569" s="17"/>
      <c r="B569" s="17"/>
      <c r="J569" s="17">
        <f t="array" ref="J569">IF(ROW(J569)&lt;=COUNTA(D:D)*2,IF(MOD(ROW(J569),2)=1,INDEX(D:D,(ROW(J569)+1)/2),INDEX(F:F,ROW(J569)/2)),"")</f>
        <v>-565.9</v>
      </c>
      <c r="K569" s="17">
        <f t="array" ref="K569">IF(ROW(K569)&lt;=COUNTA(E:E)*2,IF(MOD(ROW(K569),2)=1,INDEX(E:E,(ROW(K569)+1)/2),INDEX(G:G,ROW(K569)/2)),"")</f>
        <v>50.68</v>
      </c>
    </row>
    <row r="570" spans="1:11" x14ac:dyDescent="0.25">
      <c r="A570" s="17"/>
      <c r="B570" s="17"/>
      <c r="J570" s="17">
        <f t="array" ref="J570">IF(ROW(J570)&lt;=COUNTA(D:D)*2,IF(MOD(ROW(J570),2)=1,INDEX(D:D,(ROW(J570)+1)/2),INDEX(F:F,ROW(J570)/2)),"")</f>
        <v>-567.9</v>
      </c>
      <c r="K570" s="17">
        <f t="array" ref="K570">IF(ROW(K570)&lt;=COUNTA(E:E)*2,IF(MOD(ROW(K570),2)=1,INDEX(E:E,(ROW(K570)+1)/2),INDEX(G:G,ROW(K570)/2)),"")</f>
        <v>50.68</v>
      </c>
    </row>
    <row r="571" spans="1:11" x14ac:dyDescent="0.25">
      <c r="A571" s="17"/>
      <c r="B571" s="17"/>
      <c r="J571" s="17">
        <f t="array" ref="J571">IF(ROW(J571)&lt;=COUNTA(D:D)*2,IF(MOD(ROW(J571),2)=1,INDEX(D:D,(ROW(J571)+1)/2),INDEX(F:F,ROW(J571)/2)),"")</f>
        <v>-567.9</v>
      </c>
      <c r="K571" s="17">
        <f t="array" ref="K571">IF(ROW(K571)&lt;=COUNTA(E:E)*2,IF(MOD(ROW(K571),2)=1,INDEX(E:E,(ROW(K571)+1)/2),INDEX(G:G,ROW(K571)/2)),"")</f>
        <v>49.8</v>
      </c>
    </row>
    <row r="572" spans="1:11" x14ac:dyDescent="0.25">
      <c r="A572" s="17"/>
      <c r="B572" s="17"/>
      <c r="J572" s="17">
        <f t="array" ref="J572">IF(ROW(J572)&lt;=COUNTA(D:D)*2,IF(MOD(ROW(J572),2)=1,INDEX(D:D,(ROW(J572)+1)/2),INDEX(F:F,ROW(J572)/2)),"")</f>
        <v>-569.9</v>
      </c>
      <c r="K572" s="17">
        <f t="array" ref="K572">IF(ROW(K572)&lt;=COUNTA(E:E)*2,IF(MOD(ROW(K572),2)=1,INDEX(E:E,(ROW(K572)+1)/2),INDEX(G:G,ROW(K572)/2)),"")</f>
        <v>49.8</v>
      </c>
    </row>
    <row r="573" spans="1:11" x14ac:dyDescent="0.25">
      <c r="A573" s="17"/>
      <c r="B573" s="17"/>
      <c r="J573" s="17">
        <f t="array" ref="J573">IF(ROW(J573)&lt;=COUNTA(D:D)*2,IF(MOD(ROW(J573),2)=1,INDEX(D:D,(ROW(J573)+1)/2),INDEX(F:F,ROW(J573)/2)),"")</f>
        <v>-569.9</v>
      </c>
      <c r="K573" s="17">
        <f t="array" ref="K573">IF(ROW(K573)&lt;=COUNTA(E:E)*2,IF(MOD(ROW(K573),2)=1,INDEX(E:E,(ROW(K573)+1)/2),INDEX(G:G,ROW(K573)/2)),"")</f>
        <v>50.36</v>
      </c>
    </row>
    <row r="574" spans="1:11" x14ac:dyDescent="0.25">
      <c r="A574" s="17"/>
      <c r="B574" s="17"/>
      <c r="J574" s="17">
        <f t="array" ref="J574">IF(ROW(J574)&lt;=COUNTA(D:D)*2,IF(MOD(ROW(J574),2)=1,INDEX(D:D,(ROW(J574)+1)/2),INDEX(F:F,ROW(J574)/2)),"")</f>
        <v>-571.9</v>
      </c>
      <c r="K574" s="17">
        <f t="array" ref="K574">IF(ROW(K574)&lt;=COUNTA(E:E)*2,IF(MOD(ROW(K574),2)=1,INDEX(E:E,(ROW(K574)+1)/2),INDEX(G:G,ROW(K574)/2)),"")</f>
        <v>50.36</v>
      </c>
    </row>
    <row r="575" spans="1:11" x14ac:dyDescent="0.25">
      <c r="A575" s="17"/>
      <c r="B575" s="17"/>
      <c r="J575" s="17">
        <f t="array" ref="J575">IF(ROW(J575)&lt;=COUNTA(D:D)*2,IF(MOD(ROW(J575),2)=1,INDEX(D:D,(ROW(J575)+1)/2),INDEX(F:F,ROW(J575)/2)),"")</f>
        <v>-571.9</v>
      </c>
      <c r="K575" s="17">
        <f t="array" ref="K575">IF(ROW(K575)&lt;=COUNTA(E:E)*2,IF(MOD(ROW(K575),2)=1,INDEX(E:E,(ROW(K575)+1)/2),INDEX(G:G,ROW(K575)/2)),"")</f>
        <v>50.32</v>
      </c>
    </row>
    <row r="576" spans="1:11" x14ac:dyDescent="0.25">
      <c r="A576" s="17"/>
      <c r="B576" s="17"/>
      <c r="J576" s="17">
        <f t="array" ref="J576">IF(ROW(J576)&lt;=COUNTA(D:D)*2,IF(MOD(ROW(J576),2)=1,INDEX(D:D,(ROW(J576)+1)/2),INDEX(F:F,ROW(J576)/2)),"")</f>
        <v>-573.9</v>
      </c>
      <c r="K576" s="17">
        <f t="array" ref="K576">IF(ROW(K576)&lt;=COUNTA(E:E)*2,IF(MOD(ROW(K576),2)=1,INDEX(E:E,(ROW(K576)+1)/2),INDEX(G:G,ROW(K576)/2)),"")</f>
        <v>50.32</v>
      </c>
    </row>
    <row r="577" spans="1:11" x14ac:dyDescent="0.25">
      <c r="A577" s="17"/>
      <c r="B577" s="17"/>
      <c r="J577" s="17">
        <f t="array" ref="J577">IF(ROW(J577)&lt;=COUNTA(D:D)*2,IF(MOD(ROW(J577),2)=1,INDEX(D:D,(ROW(J577)+1)/2),INDEX(F:F,ROW(J577)/2)),"")</f>
        <v>-573.9</v>
      </c>
      <c r="K577" s="17">
        <f t="array" ref="K577">IF(ROW(K577)&lt;=COUNTA(E:E)*2,IF(MOD(ROW(K577),2)=1,INDEX(E:E,(ROW(K577)+1)/2),INDEX(G:G,ROW(K577)/2)),"")</f>
        <v>50.36</v>
      </c>
    </row>
    <row r="578" spans="1:11" x14ac:dyDescent="0.25">
      <c r="A578" s="17"/>
      <c r="B578" s="17"/>
      <c r="J578" s="17">
        <f t="array" ref="J578">IF(ROW(J578)&lt;=COUNTA(D:D)*2,IF(MOD(ROW(J578),2)=1,INDEX(D:D,(ROW(J578)+1)/2),INDEX(F:F,ROW(J578)/2)),"")</f>
        <v>-575.9</v>
      </c>
      <c r="K578" s="17">
        <f t="array" ref="K578">IF(ROW(K578)&lt;=COUNTA(E:E)*2,IF(MOD(ROW(K578),2)=1,INDEX(E:E,(ROW(K578)+1)/2),INDEX(G:G,ROW(K578)/2)),"")</f>
        <v>50.36</v>
      </c>
    </row>
    <row r="579" spans="1:11" x14ac:dyDescent="0.25">
      <c r="A579" s="17"/>
      <c r="B579" s="17"/>
      <c r="J579" s="17">
        <f t="array" ref="J579">IF(ROW(J579)&lt;=COUNTA(D:D)*2,IF(MOD(ROW(J579),2)=1,INDEX(D:D,(ROW(J579)+1)/2),INDEX(F:F,ROW(J579)/2)),"")</f>
        <v>-575.9</v>
      </c>
      <c r="K579" s="17">
        <f t="array" ref="K579">IF(ROW(K579)&lt;=COUNTA(E:E)*2,IF(MOD(ROW(K579),2)=1,INDEX(E:E,(ROW(K579)+1)/2),INDEX(G:G,ROW(K579)/2)),"")</f>
        <v>50.36</v>
      </c>
    </row>
    <row r="580" spans="1:11" x14ac:dyDescent="0.25">
      <c r="A580" s="17"/>
      <c r="B580" s="17"/>
      <c r="J580" s="17">
        <f t="array" ref="J580">IF(ROW(J580)&lt;=COUNTA(D:D)*2,IF(MOD(ROW(J580),2)=1,INDEX(D:D,(ROW(J580)+1)/2),INDEX(F:F,ROW(J580)/2)),"")</f>
        <v>-577.9</v>
      </c>
      <c r="K580" s="17">
        <f t="array" ref="K580">IF(ROW(K580)&lt;=COUNTA(E:E)*2,IF(MOD(ROW(K580),2)=1,INDEX(E:E,(ROW(K580)+1)/2),INDEX(G:G,ROW(K580)/2)),"")</f>
        <v>50.36</v>
      </c>
    </row>
    <row r="581" spans="1:11" x14ac:dyDescent="0.25">
      <c r="A581" s="17"/>
      <c r="B581" s="17"/>
      <c r="J581" s="17">
        <f t="array" ref="J581">IF(ROW(J581)&lt;=COUNTA(D:D)*2,IF(MOD(ROW(J581),2)=1,INDEX(D:D,(ROW(J581)+1)/2),INDEX(F:F,ROW(J581)/2)),"")</f>
        <v>-577.9</v>
      </c>
      <c r="K581" s="17">
        <f t="array" ref="K581">IF(ROW(K581)&lt;=COUNTA(E:E)*2,IF(MOD(ROW(K581),2)=1,INDEX(E:E,(ROW(K581)+1)/2),INDEX(G:G,ROW(K581)/2)),"")</f>
        <v>50.36</v>
      </c>
    </row>
    <row r="582" spans="1:11" x14ac:dyDescent="0.25">
      <c r="A582" s="17"/>
      <c r="B582" s="17"/>
      <c r="J582" s="17">
        <f t="array" ref="J582">IF(ROW(J582)&lt;=COUNTA(D:D)*2,IF(MOD(ROW(J582),2)=1,INDEX(D:D,(ROW(J582)+1)/2),INDEX(F:F,ROW(J582)/2)),"")</f>
        <v>-579.9</v>
      </c>
      <c r="K582" s="17">
        <f t="array" ref="K582">IF(ROW(K582)&lt;=COUNTA(E:E)*2,IF(MOD(ROW(K582),2)=1,INDEX(E:E,(ROW(K582)+1)/2),INDEX(G:G,ROW(K582)/2)),"")</f>
        <v>50.36</v>
      </c>
    </row>
    <row r="583" spans="1:11" x14ac:dyDescent="0.25">
      <c r="A583" s="17"/>
      <c r="B583" s="17"/>
      <c r="J583" s="17">
        <f t="array" ref="J583">IF(ROW(J583)&lt;=COUNTA(D:D)*2,IF(MOD(ROW(J583),2)=1,INDEX(D:D,(ROW(J583)+1)/2),INDEX(F:F,ROW(J583)/2)),"")</f>
        <v>-579.9</v>
      </c>
      <c r="K583" s="17">
        <f t="array" ref="K583">IF(ROW(K583)&lt;=COUNTA(E:E)*2,IF(MOD(ROW(K583),2)=1,INDEX(E:E,(ROW(K583)+1)/2),INDEX(G:G,ROW(K583)/2)),"")</f>
        <v>50.36</v>
      </c>
    </row>
    <row r="584" spans="1:11" x14ac:dyDescent="0.25">
      <c r="A584" s="17"/>
      <c r="B584" s="17"/>
      <c r="J584" s="17">
        <f t="array" ref="J584">IF(ROW(J584)&lt;=COUNTA(D:D)*2,IF(MOD(ROW(J584),2)=1,INDEX(D:D,(ROW(J584)+1)/2),INDEX(F:F,ROW(J584)/2)),"")</f>
        <v>-581.9</v>
      </c>
      <c r="K584" s="17">
        <f t="array" ref="K584">IF(ROW(K584)&lt;=COUNTA(E:E)*2,IF(MOD(ROW(K584),2)=1,INDEX(E:E,(ROW(K584)+1)/2),INDEX(G:G,ROW(K584)/2)),"")</f>
        <v>50.36</v>
      </c>
    </row>
    <row r="585" spans="1:11" x14ac:dyDescent="0.25">
      <c r="A585" s="17"/>
      <c r="B585" s="17"/>
      <c r="J585" s="17">
        <f t="array" ref="J585">IF(ROW(J585)&lt;=COUNTA(D:D)*2,IF(MOD(ROW(J585),2)=1,INDEX(D:D,(ROW(J585)+1)/2),INDEX(F:F,ROW(J585)/2)),"")</f>
        <v>-581.9</v>
      </c>
      <c r="K585" s="17">
        <f t="array" ref="K585">IF(ROW(K585)&lt;=COUNTA(E:E)*2,IF(MOD(ROW(K585),2)=1,INDEX(E:E,(ROW(K585)+1)/2),INDEX(G:G,ROW(K585)/2)),"")</f>
        <v>50.36</v>
      </c>
    </row>
    <row r="586" spans="1:11" x14ac:dyDescent="0.25">
      <c r="A586" s="17"/>
      <c r="B586" s="17"/>
      <c r="J586" s="17">
        <f t="array" ref="J586">IF(ROW(J586)&lt;=COUNTA(D:D)*2,IF(MOD(ROW(J586),2)=1,INDEX(D:D,(ROW(J586)+1)/2),INDEX(F:F,ROW(J586)/2)),"")</f>
        <v>-583.9</v>
      </c>
      <c r="K586" s="17">
        <f t="array" ref="K586">IF(ROW(K586)&lt;=COUNTA(E:E)*2,IF(MOD(ROW(K586),2)=1,INDEX(E:E,(ROW(K586)+1)/2),INDEX(G:G,ROW(K586)/2)),"")</f>
        <v>50.36</v>
      </c>
    </row>
    <row r="587" spans="1:11" x14ac:dyDescent="0.25">
      <c r="A587" s="17"/>
      <c r="B587" s="17"/>
      <c r="J587" s="17">
        <f t="array" ref="J587">IF(ROW(J587)&lt;=COUNTA(D:D)*2,IF(MOD(ROW(J587),2)=1,INDEX(D:D,(ROW(J587)+1)/2),INDEX(F:F,ROW(J587)/2)),"")</f>
        <v>-583.9</v>
      </c>
      <c r="K587" s="17">
        <f t="array" ref="K587">IF(ROW(K587)&lt;=COUNTA(E:E)*2,IF(MOD(ROW(K587),2)=1,INDEX(E:E,(ROW(K587)+1)/2),INDEX(G:G,ROW(K587)/2)),"")</f>
        <v>50.36</v>
      </c>
    </row>
    <row r="588" spans="1:11" x14ac:dyDescent="0.25">
      <c r="A588" s="17"/>
      <c r="B588" s="17"/>
      <c r="J588" s="17">
        <f t="array" ref="J588">IF(ROW(J588)&lt;=COUNTA(D:D)*2,IF(MOD(ROW(J588),2)=1,INDEX(D:D,(ROW(J588)+1)/2),INDEX(F:F,ROW(J588)/2)),"")</f>
        <v>-585.9</v>
      </c>
      <c r="K588" s="17">
        <f t="array" ref="K588">IF(ROW(K588)&lt;=COUNTA(E:E)*2,IF(MOD(ROW(K588),2)=1,INDEX(E:E,(ROW(K588)+1)/2),INDEX(G:G,ROW(K588)/2)),"")</f>
        <v>50.36</v>
      </c>
    </row>
    <row r="589" spans="1:11" x14ac:dyDescent="0.25">
      <c r="A589" s="17"/>
      <c r="B589" s="17"/>
      <c r="J589" s="17">
        <f t="array" ref="J589">IF(ROW(J589)&lt;=COUNTA(D:D)*2,IF(MOD(ROW(J589),2)=1,INDEX(D:D,(ROW(J589)+1)/2),INDEX(F:F,ROW(J589)/2)),"")</f>
        <v>-585.9</v>
      </c>
      <c r="K589" s="17">
        <f t="array" ref="K589">IF(ROW(K589)&lt;=COUNTA(E:E)*2,IF(MOD(ROW(K589),2)=1,INDEX(E:E,(ROW(K589)+1)/2),INDEX(G:G,ROW(K589)/2)),"")</f>
        <v>50.36</v>
      </c>
    </row>
    <row r="590" spans="1:11" x14ac:dyDescent="0.25">
      <c r="A590" s="17"/>
      <c r="B590" s="17"/>
      <c r="J590" s="17">
        <f t="array" ref="J590">IF(ROW(J590)&lt;=COUNTA(D:D)*2,IF(MOD(ROW(J590),2)=1,INDEX(D:D,(ROW(J590)+1)/2),INDEX(F:F,ROW(J590)/2)),"")</f>
        <v>-587.9</v>
      </c>
      <c r="K590" s="17">
        <f t="array" ref="K590">IF(ROW(K590)&lt;=COUNTA(E:E)*2,IF(MOD(ROW(K590),2)=1,INDEX(E:E,(ROW(K590)+1)/2),INDEX(G:G,ROW(K590)/2)),"")</f>
        <v>50.36</v>
      </c>
    </row>
    <row r="591" spans="1:11" x14ac:dyDescent="0.25">
      <c r="A591" s="17"/>
      <c r="B591" s="17"/>
      <c r="J591" s="17">
        <f t="array" ref="J591">IF(ROW(J591)&lt;=COUNTA(D:D)*2,IF(MOD(ROW(J591),2)=1,INDEX(D:D,(ROW(J591)+1)/2),INDEX(F:F,ROW(J591)/2)),"")</f>
        <v>-587.9</v>
      </c>
      <c r="K591" s="17">
        <f t="array" ref="K591">IF(ROW(K591)&lt;=COUNTA(E:E)*2,IF(MOD(ROW(K591),2)=1,INDEX(E:E,(ROW(K591)+1)/2),INDEX(G:G,ROW(K591)/2)),"")</f>
        <v>50.16</v>
      </c>
    </row>
    <row r="592" spans="1:11" x14ac:dyDescent="0.25">
      <c r="A592" s="17"/>
      <c r="B592" s="17"/>
      <c r="J592" s="17">
        <f t="array" ref="J592">IF(ROW(J592)&lt;=COUNTA(D:D)*2,IF(MOD(ROW(J592),2)=1,INDEX(D:D,(ROW(J592)+1)/2),INDEX(F:F,ROW(J592)/2)),"")</f>
        <v>-589.9</v>
      </c>
      <c r="K592" s="17">
        <f t="array" ref="K592">IF(ROW(K592)&lt;=COUNTA(E:E)*2,IF(MOD(ROW(K592),2)=1,INDEX(E:E,(ROW(K592)+1)/2),INDEX(G:G,ROW(K592)/2)),"")</f>
        <v>50.16</v>
      </c>
    </row>
    <row r="593" spans="1:11" x14ac:dyDescent="0.25">
      <c r="A593" s="17"/>
      <c r="B593" s="17"/>
      <c r="J593" s="17">
        <f t="array" ref="J593">IF(ROW(J593)&lt;=COUNTA(D:D)*2,IF(MOD(ROW(J593),2)=1,INDEX(D:D,(ROW(J593)+1)/2),INDEX(F:F,ROW(J593)/2)),"")</f>
        <v>-589.9</v>
      </c>
      <c r="K593" s="17">
        <f t="array" ref="K593">IF(ROW(K593)&lt;=COUNTA(E:E)*2,IF(MOD(ROW(K593),2)=1,INDEX(E:E,(ROW(K593)+1)/2),INDEX(G:G,ROW(K593)/2)),"")</f>
        <v>50.4</v>
      </c>
    </row>
    <row r="594" spans="1:11" x14ac:dyDescent="0.25">
      <c r="A594" s="17"/>
      <c r="B594" s="17"/>
      <c r="J594" s="17">
        <f t="array" ref="J594">IF(ROW(J594)&lt;=COUNTA(D:D)*2,IF(MOD(ROW(J594),2)=1,INDEX(D:D,(ROW(J594)+1)/2),INDEX(F:F,ROW(J594)/2)),"")</f>
        <v>-591.9</v>
      </c>
      <c r="K594" s="17">
        <f t="array" ref="K594">IF(ROW(K594)&lt;=COUNTA(E:E)*2,IF(MOD(ROW(K594),2)=1,INDEX(E:E,(ROW(K594)+1)/2),INDEX(G:G,ROW(K594)/2)),"")</f>
        <v>50.4</v>
      </c>
    </row>
    <row r="595" spans="1:11" x14ac:dyDescent="0.25">
      <c r="A595" s="17"/>
      <c r="B595" s="17"/>
      <c r="J595" s="17">
        <f t="array" ref="J595">IF(ROW(J595)&lt;=COUNTA(D:D)*2,IF(MOD(ROW(J595),2)=1,INDEX(D:D,(ROW(J595)+1)/2),INDEX(F:F,ROW(J595)/2)),"")</f>
        <v>-591.9</v>
      </c>
      <c r="K595" s="17">
        <f t="array" ref="K595">IF(ROW(K595)&lt;=COUNTA(E:E)*2,IF(MOD(ROW(K595),2)=1,INDEX(E:E,(ROW(K595)+1)/2),INDEX(G:G,ROW(K595)/2)),"")</f>
        <v>50.36</v>
      </c>
    </row>
    <row r="596" spans="1:11" x14ac:dyDescent="0.25">
      <c r="A596" s="17"/>
      <c r="B596" s="17"/>
      <c r="J596" s="17">
        <f t="array" ref="J596">IF(ROW(J596)&lt;=COUNTA(D:D)*2,IF(MOD(ROW(J596),2)=1,INDEX(D:D,(ROW(J596)+1)/2),INDEX(F:F,ROW(J596)/2)),"")</f>
        <v>-593.9</v>
      </c>
      <c r="K596" s="17">
        <f t="array" ref="K596">IF(ROW(K596)&lt;=COUNTA(E:E)*2,IF(MOD(ROW(K596),2)=1,INDEX(E:E,(ROW(K596)+1)/2),INDEX(G:G,ROW(K596)/2)),"")</f>
        <v>50.36</v>
      </c>
    </row>
    <row r="597" spans="1:11" x14ac:dyDescent="0.25">
      <c r="A597" s="17"/>
      <c r="B597" s="17"/>
      <c r="J597" s="17">
        <f t="array" ref="J597">IF(ROW(J597)&lt;=COUNTA(D:D)*2,IF(MOD(ROW(J597),2)=1,INDEX(D:D,(ROW(J597)+1)/2),INDEX(F:F,ROW(J597)/2)),"")</f>
        <v>-593.9</v>
      </c>
      <c r="K597" s="17">
        <f t="array" ref="K597">IF(ROW(K597)&lt;=COUNTA(E:E)*2,IF(MOD(ROW(K597),2)=1,INDEX(E:E,(ROW(K597)+1)/2),INDEX(G:G,ROW(K597)/2)),"")</f>
        <v>50.36</v>
      </c>
    </row>
    <row r="598" spans="1:11" x14ac:dyDescent="0.25">
      <c r="A598" s="17"/>
      <c r="B598" s="17"/>
      <c r="J598" s="17">
        <f t="array" ref="J598">IF(ROW(J598)&lt;=COUNTA(D:D)*2,IF(MOD(ROW(J598),2)=1,INDEX(D:D,(ROW(J598)+1)/2),INDEX(F:F,ROW(J598)/2)),"")</f>
        <v>-595.9</v>
      </c>
      <c r="K598" s="17">
        <f t="array" ref="K598">IF(ROW(K598)&lt;=COUNTA(E:E)*2,IF(MOD(ROW(K598),2)=1,INDEX(E:E,(ROW(K598)+1)/2),INDEX(G:G,ROW(K598)/2)),"")</f>
        <v>50.36</v>
      </c>
    </row>
    <row r="599" spans="1:11" x14ac:dyDescent="0.25">
      <c r="A599" s="17"/>
      <c r="B599" s="17"/>
      <c r="J599" s="17">
        <f t="array" ref="J599">IF(ROW(J599)&lt;=COUNTA(D:D)*2,IF(MOD(ROW(J599),2)=1,INDEX(D:D,(ROW(J599)+1)/2),INDEX(F:F,ROW(J599)/2)),"")</f>
        <v>-595.9</v>
      </c>
      <c r="K599" s="17">
        <f t="array" ref="K599">IF(ROW(K599)&lt;=COUNTA(E:E)*2,IF(MOD(ROW(K599),2)=1,INDEX(E:E,(ROW(K599)+1)/2),INDEX(G:G,ROW(K599)/2)),"")</f>
        <v>50.36</v>
      </c>
    </row>
    <row r="600" spans="1:11" x14ac:dyDescent="0.25">
      <c r="A600" s="17"/>
      <c r="B600" s="17"/>
      <c r="J600" s="17">
        <f t="array" ref="J600">IF(ROW(J600)&lt;=COUNTA(D:D)*2,IF(MOD(ROW(J600),2)=1,INDEX(D:D,(ROW(J600)+1)/2),INDEX(F:F,ROW(J600)/2)),"")</f>
        <v>-597.9</v>
      </c>
      <c r="K600" s="17">
        <f t="array" ref="K600">IF(ROW(K600)&lt;=COUNTA(E:E)*2,IF(MOD(ROW(K600),2)=1,INDEX(E:E,(ROW(K600)+1)/2),INDEX(G:G,ROW(K600)/2)),"")</f>
        <v>50.36</v>
      </c>
    </row>
    <row r="601" spans="1:11" x14ac:dyDescent="0.25">
      <c r="A601" s="17"/>
      <c r="B601" s="17"/>
      <c r="J601" s="17">
        <f t="array" ref="J601">IF(ROW(J601)&lt;=COUNTA(D:D)*2,IF(MOD(ROW(J601),2)=1,INDEX(D:D,(ROW(J601)+1)/2),INDEX(F:F,ROW(J601)/2)),"")</f>
        <v>-597.9</v>
      </c>
      <c r="K601" s="17">
        <f t="array" ref="K601">IF(ROW(K601)&lt;=COUNTA(E:E)*2,IF(MOD(ROW(K601),2)=1,INDEX(E:E,(ROW(K601)+1)/2),INDEX(G:G,ROW(K601)/2)),"")</f>
        <v>50.36</v>
      </c>
    </row>
    <row r="602" spans="1:11" x14ac:dyDescent="0.25">
      <c r="A602" s="17"/>
      <c r="B602" s="17"/>
      <c r="J602" s="17">
        <f t="array" ref="J602">IF(ROW(J602)&lt;=COUNTA(D:D)*2,IF(MOD(ROW(J602),2)=1,INDEX(D:D,(ROW(J602)+1)/2),INDEX(F:F,ROW(J602)/2)),"")</f>
        <v>-599.9</v>
      </c>
      <c r="K602" s="17">
        <f t="array" ref="K602">IF(ROW(K602)&lt;=COUNTA(E:E)*2,IF(MOD(ROW(K602),2)=1,INDEX(E:E,(ROW(K602)+1)/2),INDEX(G:G,ROW(K602)/2)),"")</f>
        <v>50.36</v>
      </c>
    </row>
    <row r="603" spans="1:11" x14ac:dyDescent="0.25">
      <c r="A603" s="17"/>
      <c r="B603" s="17"/>
      <c r="J603" s="17">
        <f t="array" ref="J603">IF(ROW(J603)&lt;=COUNTA(D:D)*2,IF(MOD(ROW(J603),2)=1,INDEX(D:D,(ROW(J603)+1)/2),INDEX(F:F,ROW(J603)/2)),"")</f>
        <v>-599.9</v>
      </c>
      <c r="K603" s="17">
        <f t="array" ref="K603">IF(ROW(K603)&lt;=COUNTA(E:E)*2,IF(MOD(ROW(K603),2)=1,INDEX(E:E,(ROW(K603)+1)/2),INDEX(G:G,ROW(K603)/2)),"")</f>
        <v>50.36</v>
      </c>
    </row>
    <row r="604" spans="1:11" x14ac:dyDescent="0.25">
      <c r="A604" s="17"/>
      <c r="B604" s="17"/>
      <c r="J604" s="17">
        <f t="array" ref="J604">IF(ROW(J604)&lt;=COUNTA(D:D)*2,IF(MOD(ROW(J604),2)=1,INDEX(D:D,(ROW(J604)+1)/2),INDEX(F:F,ROW(J604)/2)),"")</f>
        <v>-601.9</v>
      </c>
      <c r="K604" s="17">
        <f t="array" ref="K604">IF(ROW(K604)&lt;=COUNTA(E:E)*2,IF(MOD(ROW(K604),2)=1,INDEX(E:E,(ROW(K604)+1)/2),INDEX(G:G,ROW(K604)/2)),"")</f>
        <v>50.36</v>
      </c>
    </row>
    <row r="605" spans="1:11" x14ac:dyDescent="0.25">
      <c r="A605" s="17"/>
      <c r="B605" s="17"/>
      <c r="J605" s="17">
        <f t="array" ref="J605">IF(ROW(J605)&lt;=COUNTA(D:D)*2,IF(MOD(ROW(J605),2)=1,INDEX(D:D,(ROW(J605)+1)/2),INDEX(F:F,ROW(J605)/2)),"")</f>
        <v>-601.9</v>
      </c>
      <c r="K605" s="17">
        <f t="array" ref="K605">IF(ROW(K605)&lt;=COUNTA(E:E)*2,IF(MOD(ROW(K605),2)=1,INDEX(E:E,(ROW(K605)+1)/2),INDEX(G:G,ROW(K605)/2)),"")</f>
        <v>50.36</v>
      </c>
    </row>
    <row r="606" spans="1:11" x14ac:dyDescent="0.25">
      <c r="A606" s="17"/>
      <c r="B606" s="17"/>
      <c r="J606" s="17">
        <f t="array" ref="J606">IF(ROW(J606)&lt;=COUNTA(D:D)*2,IF(MOD(ROW(J606),2)=1,INDEX(D:D,(ROW(J606)+1)/2),INDEX(F:F,ROW(J606)/2)),"")</f>
        <v>-603.9</v>
      </c>
      <c r="K606" s="17">
        <f t="array" ref="K606">IF(ROW(K606)&lt;=COUNTA(E:E)*2,IF(MOD(ROW(K606),2)=1,INDEX(E:E,(ROW(K606)+1)/2),INDEX(G:G,ROW(K606)/2)),"")</f>
        <v>50.36</v>
      </c>
    </row>
    <row r="607" spans="1:11" x14ac:dyDescent="0.25">
      <c r="A607" s="17"/>
      <c r="B607" s="17"/>
      <c r="J607" s="17">
        <f t="array" ref="J607">IF(ROW(J607)&lt;=COUNTA(D:D)*2,IF(MOD(ROW(J607),2)=1,INDEX(D:D,(ROW(J607)+1)/2),INDEX(F:F,ROW(J607)/2)),"")</f>
        <v>-603.9</v>
      </c>
      <c r="K607" s="17">
        <f t="array" ref="K607">IF(ROW(K607)&lt;=COUNTA(E:E)*2,IF(MOD(ROW(K607),2)=1,INDEX(E:E,(ROW(K607)+1)/2),INDEX(G:G,ROW(K607)/2)),"")</f>
        <v>50.4</v>
      </c>
    </row>
    <row r="608" spans="1:11" x14ac:dyDescent="0.25">
      <c r="A608" s="17"/>
      <c r="B608" s="17"/>
      <c r="J608" s="17">
        <f t="array" ref="J608">IF(ROW(J608)&lt;=COUNTA(D:D)*2,IF(MOD(ROW(J608),2)=1,INDEX(D:D,(ROW(J608)+1)/2),INDEX(F:F,ROW(J608)/2)),"")</f>
        <v>-605.9</v>
      </c>
      <c r="K608" s="17">
        <f t="array" ref="K608">IF(ROW(K608)&lt;=COUNTA(E:E)*2,IF(MOD(ROW(K608),2)=1,INDEX(E:E,(ROW(K608)+1)/2),INDEX(G:G,ROW(K608)/2)),"")</f>
        <v>50.4</v>
      </c>
    </row>
    <row r="609" spans="1:11" x14ac:dyDescent="0.25">
      <c r="A609" s="17"/>
      <c r="B609" s="17"/>
      <c r="J609" s="17">
        <f t="array" ref="J609">IF(ROW(J609)&lt;=COUNTA(D:D)*2,IF(MOD(ROW(J609),2)=1,INDEX(D:D,(ROW(J609)+1)/2),INDEX(F:F,ROW(J609)/2)),"")</f>
        <v>-605.9</v>
      </c>
      <c r="K609" s="17">
        <f t="array" ref="K609">IF(ROW(K609)&lt;=COUNTA(E:E)*2,IF(MOD(ROW(K609),2)=1,INDEX(E:E,(ROW(K609)+1)/2),INDEX(G:G,ROW(K609)/2)),"")</f>
        <v>50.4</v>
      </c>
    </row>
    <row r="610" spans="1:11" x14ac:dyDescent="0.25">
      <c r="A610" s="17"/>
      <c r="B610" s="17"/>
      <c r="J610" s="17">
        <f t="array" ref="J610">IF(ROW(J610)&lt;=COUNTA(D:D)*2,IF(MOD(ROW(J610),2)=1,INDEX(D:D,(ROW(J610)+1)/2),INDEX(F:F,ROW(J610)/2)),"")</f>
        <v>-607.9</v>
      </c>
      <c r="K610" s="17">
        <f t="array" ref="K610">IF(ROW(K610)&lt;=COUNTA(E:E)*2,IF(MOD(ROW(K610),2)=1,INDEX(E:E,(ROW(K610)+1)/2),INDEX(G:G,ROW(K610)/2)),"")</f>
        <v>50.4</v>
      </c>
    </row>
    <row r="611" spans="1:11" x14ac:dyDescent="0.25">
      <c r="A611" s="17"/>
      <c r="B611" s="17"/>
      <c r="J611" s="17">
        <f t="array" ref="J611">IF(ROW(J611)&lt;=COUNTA(D:D)*2,IF(MOD(ROW(J611),2)=1,INDEX(D:D,(ROW(J611)+1)/2),INDEX(F:F,ROW(J611)/2)),"")</f>
        <v>-607.9</v>
      </c>
      <c r="K611" s="17">
        <f t="array" ref="K611">IF(ROW(K611)&lt;=COUNTA(E:E)*2,IF(MOD(ROW(K611),2)=1,INDEX(E:E,(ROW(K611)+1)/2),INDEX(G:G,ROW(K611)/2)),"")</f>
        <v>50.4</v>
      </c>
    </row>
    <row r="612" spans="1:11" x14ac:dyDescent="0.25">
      <c r="A612" s="17"/>
      <c r="B612" s="17"/>
      <c r="J612" s="17">
        <f t="array" ref="J612">IF(ROW(J612)&lt;=COUNTA(D:D)*2,IF(MOD(ROW(J612),2)=1,INDEX(D:D,(ROW(J612)+1)/2),INDEX(F:F,ROW(J612)/2)),"")</f>
        <v>-609.9</v>
      </c>
      <c r="K612" s="17">
        <f t="array" ref="K612">IF(ROW(K612)&lt;=COUNTA(E:E)*2,IF(MOD(ROW(K612),2)=1,INDEX(E:E,(ROW(K612)+1)/2),INDEX(G:G,ROW(K612)/2)),"")</f>
        <v>50.4</v>
      </c>
    </row>
    <row r="613" spans="1:11" x14ac:dyDescent="0.25">
      <c r="A613" s="17"/>
      <c r="B613" s="17"/>
      <c r="J613" s="17">
        <f t="array" ref="J613">IF(ROW(J613)&lt;=COUNTA(D:D)*2,IF(MOD(ROW(J613),2)=1,INDEX(D:D,(ROW(J613)+1)/2),INDEX(F:F,ROW(J613)/2)),"")</f>
        <v>-609.9</v>
      </c>
      <c r="K613" s="17">
        <f t="array" ref="K613">IF(ROW(K613)&lt;=COUNTA(E:E)*2,IF(MOD(ROW(K613),2)=1,INDEX(E:E,(ROW(K613)+1)/2),INDEX(G:G,ROW(K613)/2)),"")</f>
        <v>50.4</v>
      </c>
    </row>
    <row r="614" spans="1:11" x14ac:dyDescent="0.25">
      <c r="A614" s="17"/>
      <c r="B614" s="17"/>
      <c r="J614" s="17">
        <f t="array" ref="J614">IF(ROW(J614)&lt;=COUNTA(D:D)*2,IF(MOD(ROW(J614),2)=1,INDEX(D:D,(ROW(J614)+1)/2),INDEX(F:F,ROW(J614)/2)),"")</f>
        <v>-611.9</v>
      </c>
      <c r="K614" s="17">
        <f t="array" ref="K614">IF(ROW(K614)&lt;=COUNTA(E:E)*2,IF(MOD(ROW(K614),2)=1,INDEX(E:E,(ROW(K614)+1)/2),INDEX(G:G,ROW(K614)/2)),"")</f>
        <v>50.4</v>
      </c>
    </row>
    <row r="615" spans="1:11" x14ac:dyDescent="0.25">
      <c r="A615" s="17"/>
      <c r="B615" s="17"/>
      <c r="J615" s="17">
        <f t="array" ref="J615">IF(ROW(J615)&lt;=COUNTA(D:D)*2,IF(MOD(ROW(J615),2)=1,INDEX(D:D,(ROW(J615)+1)/2),INDEX(F:F,ROW(J615)/2)),"")</f>
        <v>-611.9</v>
      </c>
      <c r="K615" s="17">
        <f t="array" ref="K615">IF(ROW(K615)&lt;=COUNTA(E:E)*2,IF(MOD(ROW(K615),2)=1,INDEX(E:E,(ROW(K615)+1)/2),INDEX(G:G,ROW(K615)/2)),"")</f>
        <v>50.4</v>
      </c>
    </row>
    <row r="616" spans="1:11" x14ac:dyDescent="0.25">
      <c r="A616" s="17"/>
      <c r="B616" s="17"/>
      <c r="J616" s="17">
        <f t="array" ref="J616">IF(ROW(J616)&lt;=COUNTA(D:D)*2,IF(MOD(ROW(J616),2)=1,INDEX(D:D,(ROW(J616)+1)/2),INDEX(F:F,ROW(J616)/2)),"")</f>
        <v>-613.9</v>
      </c>
      <c r="K616" s="17">
        <f t="array" ref="K616">IF(ROW(K616)&lt;=COUNTA(E:E)*2,IF(MOD(ROW(K616),2)=1,INDEX(E:E,(ROW(K616)+1)/2),INDEX(G:G,ROW(K616)/2)),"")</f>
        <v>50.4</v>
      </c>
    </row>
    <row r="617" spans="1:11" x14ac:dyDescent="0.25">
      <c r="A617" s="17"/>
      <c r="B617" s="17"/>
      <c r="J617" s="17">
        <f t="array" ref="J617">IF(ROW(J617)&lt;=COUNTA(D:D)*2,IF(MOD(ROW(J617),2)=1,INDEX(D:D,(ROW(J617)+1)/2),INDEX(F:F,ROW(J617)/2)),"")</f>
        <v>-613.9</v>
      </c>
      <c r="K617" s="17">
        <f t="array" ref="K617">IF(ROW(K617)&lt;=COUNTA(E:E)*2,IF(MOD(ROW(K617),2)=1,INDEX(E:E,(ROW(K617)+1)/2),INDEX(G:G,ROW(K617)/2)),"")</f>
        <v>50.36</v>
      </c>
    </row>
    <row r="618" spans="1:11" x14ac:dyDescent="0.25">
      <c r="A618" s="17"/>
      <c r="B618" s="17"/>
      <c r="J618" s="17">
        <f t="array" ref="J618">IF(ROW(J618)&lt;=COUNTA(D:D)*2,IF(MOD(ROW(J618),2)=1,INDEX(D:D,(ROW(J618)+1)/2),INDEX(F:F,ROW(J618)/2)),"")</f>
        <v>-615.9</v>
      </c>
      <c r="K618" s="17">
        <f t="array" ref="K618">IF(ROW(K618)&lt;=COUNTA(E:E)*2,IF(MOD(ROW(K618),2)=1,INDEX(E:E,(ROW(K618)+1)/2),INDEX(G:G,ROW(K618)/2)),"")</f>
        <v>50.36</v>
      </c>
    </row>
    <row r="619" spans="1:11" x14ac:dyDescent="0.25">
      <c r="A619" s="17"/>
      <c r="B619" s="17"/>
      <c r="J619" s="17">
        <f t="array" ref="J619">IF(ROW(J619)&lt;=COUNTA(D:D)*2,IF(MOD(ROW(J619),2)=1,INDEX(D:D,(ROW(J619)+1)/2),INDEX(F:F,ROW(J619)/2)),"")</f>
        <v>-615.9</v>
      </c>
      <c r="K619" s="17">
        <f t="array" ref="K619">IF(ROW(K619)&lt;=COUNTA(E:E)*2,IF(MOD(ROW(K619),2)=1,INDEX(E:E,(ROW(K619)+1)/2),INDEX(G:G,ROW(K619)/2)),"")</f>
        <v>50.36</v>
      </c>
    </row>
    <row r="620" spans="1:11" x14ac:dyDescent="0.25">
      <c r="A620" s="17"/>
      <c r="B620" s="17"/>
      <c r="J620" s="17">
        <f t="array" ref="J620">IF(ROW(J620)&lt;=COUNTA(D:D)*2,IF(MOD(ROW(J620),2)=1,INDEX(D:D,(ROW(J620)+1)/2),INDEX(F:F,ROW(J620)/2)),"")</f>
        <v>-617.9</v>
      </c>
      <c r="K620" s="17">
        <f t="array" ref="K620">IF(ROW(K620)&lt;=COUNTA(E:E)*2,IF(MOD(ROW(K620),2)=1,INDEX(E:E,(ROW(K620)+1)/2),INDEX(G:G,ROW(K620)/2)),"")</f>
        <v>50.36</v>
      </c>
    </row>
    <row r="621" spans="1:11" x14ac:dyDescent="0.25">
      <c r="A621" s="17"/>
      <c r="B621" s="17"/>
      <c r="J621" s="17">
        <f t="array" ref="J621">IF(ROW(J621)&lt;=COUNTA(D:D)*2,IF(MOD(ROW(J621),2)=1,INDEX(D:D,(ROW(J621)+1)/2),INDEX(F:F,ROW(J621)/2)),"")</f>
        <v>-617.9</v>
      </c>
      <c r="K621" s="17">
        <f t="array" ref="K621">IF(ROW(K621)&lt;=COUNTA(E:E)*2,IF(MOD(ROW(K621),2)=1,INDEX(E:E,(ROW(K621)+1)/2),INDEX(G:G,ROW(K621)/2)),"")</f>
        <v>50.4</v>
      </c>
    </row>
    <row r="622" spans="1:11" x14ac:dyDescent="0.25">
      <c r="A622" s="17"/>
      <c r="B622" s="17"/>
      <c r="J622" s="17">
        <f t="array" ref="J622">IF(ROW(J622)&lt;=COUNTA(D:D)*2,IF(MOD(ROW(J622),2)=1,INDEX(D:D,(ROW(J622)+1)/2),INDEX(F:F,ROW(J622)/2)),"")</f>
        <v>-619.9</v>
      </c>
      <c r="K622" s="17">
        <f t="array" ref="K622">IF(ROW(K622)&lt;=COUNTA(E:E)*2,IF(MOD(ROW(K622),2)=1,INDEX(E:E,(ROW(K622)+1)/2),INDEX(G:G,ROW(K622)/2)),"")</f>
        <v>50.4</v>
      </c>
    </row>
    <row r="623" spans="1:11" x14ac:dyDescent="0.25">
      <c r="A623" s="17"/>
      <c r="B623" s="17"/>
      <c r="J623" s="17">
        <f t="array" ref="J623">IF(ROW(J623)&lt;=COUNTA(D:D)*2,IF(MOD(ROW(J623),2)=1,INDEX(D:D,(ROW(J623)+1)/2),INDEX(F:F,ROW(J623)/2)),"")</f>
        <v>-619.9</v>
      </c>
      <c r="K623" s="17">
        <f t="array" ref="K623">IF(ROW(K623)&lt;=COUNTA(E:E)*2,IF(MOD(ROW(K623),2)=1,INDEX(E:E,(ROW(K623)+1)/2),INDEX(G:G,ROW(K623)/2)),"")</f>
        <v>50.44</v>
      </c>
    </row>
    <row r="624" spans="1:11" x14ac:dyDescent="0.25">
      <c r="A624" s="17"/>
      <c r="B624" s="17"/>
      <c r="J624" s="17">
        <f t="array" ref="J624">IF(ROW(J624)&lt;=COUNTA(D:D)*2,IF(MOD(ROW(J624),2)=1,INDEX(D:D,(ROW(J624)+1)/2),INDEX(F:F,ROW(J624)/2)),"")</f>
        <v>-621.9</v>
      </c>
      <c r="K624" s="17">
        <f t="array" ref="K624">IF(ROW(K624)&lt;=COUNTA(E:E)*2,IF(MOD(ROW(K624),2)=1,INDEX(E:E,(ROW(K624)+1)/2),INDEX(G:G,ROW(K624)/2)),"")</f>
        <v>50.44</v>
      </c>
    </row>
    <row r="625" spans="1:11" x14ac:dyDescent="0.25">
      <c r="A625" s="17"/>
      <c r="B625" s="17"/>
      <c r="J625" s="17">
        <f t="array" ref="J625">IF(ROW(J625)&lt;=COUNTA(D:D)*2,IF(MOD(ROW(J625),2)=1,INDEX(D:D,(ROW(J625)+1)/2),INDEX(F:F,ROW(J625)/2)),"")</f>
        <v>-621.9</v>
      </c>
      <c r="K625" s="17">
        <f t="array" ref="K625">IF(ROW(K625)&lt;=COUNTA(E:E)*2,IF(MOD(ROW(K625),2)=1,INDEX(E:E,(ROW(K625)+1)/2),INDEX(G:G,ROW(K625)/2)),"")</f>
        <v>50.4</v>
      </c>
    </row>
    <row r="626" spans="1:11" x14ac:dyDescent="0.25">
      <c r="A626" s="17"/>
      <c r="B626" s="17"/>
      <c r="J626" s="17">
        <f t="array" ref="J626">IF(ROW(J626)&lt;=COUNTA(D:D)*2,IF(MOD(ROW(J626),2)=1,INDEX(D:D,(ROW(J626)+1)/2),INDEX(F:F,ROW(J626)/2)),"")</f>
        <v>-623.9</v>
      </c>
      <c r="K626" s="17">
        <f t="array" ref="K626">IF(ROW(K626)&lt;=COUNTA(E:E)*2,IF(MOD(ROW(K626),2)=1,INDEX(E:E,(ROW(K626)+1)/2),INDEX(G:G,ROW(K626)/2)),"")</f>
        <v>50.4</v>
      </c>
    </row>
    <row r="627" spans="1:11" x14ac:dyDescent="0.25">
      <c r="A627" s="17"/>
      <c r="B627" s="17"/>
      <c r="J627" s="17">
        <f t="array" ref="J627">IF(ROW(J627)&lt;=COUNTA(D:D)*2,IF(MOD(ROW(J627),2)=1,INDEX(D:D,(ROW(J627)+1)/2),INDEX(F:F,ROW(J627)/2)),"")</f>
        <v>-623.9</v>
      </c>
      <c r="K627" s="17">
        <f t="array" ref="K627">IF(ROW(K627)&lt;=COUNTA(E:E)*2,IF(MOD(ROW(K627),2)=1,INDEX(E:E,(ROW(K627)+1)/2),INDEX(G:G,ROW(K627)/2)),"")</f>
        <v>50.44</v>
      </c>
    </row>
    <row r="628" spans="1:11" x14ac:dyDescent="0.25">
      <c r="A628" s="17"/>
      <c r="B628" s="17"/>
      <c r="J628" s="17">
        <f t="array" ref="J628">IF(ROW(J628)&lt;=COUNTA(D:D)*2,IF(MOD(ROW(J628),2)=1,INDEX(D:D,(ROW(J628)+1)/2),INDEX(F:F,ROW(J628)/2)),"")</f>
        <v>-625.9</v>
      </c>
      <c r="K628" s="17">
        <f t="array" ref="K628">IF(ROW(K628)&lt;=COUNTA(E:E)*2,IF(MOD(ROW(K628),2)=1,INDEX(E:E,(ROW(K628)+1)/2),INDEX(G:G,ROW(K628)/2)),"")</f>
        <v>50.44</v>
      </c>
    </row>
    <row r="629" spans="1:11" x14ac:dyDescent="0.25">
      <c r="A629" s="17"/>
      <c r="B629" s="17"/>
      <c r="J629" s="17">
        <f t="array" ref="J629">IF(ROW(J629)&lt;=COUNTA(D:D)*2,IF(MOD(ROW(J629),2)=1,INDEX(D:D,(ROW(J629)+1)/2),INDEX(F:F,ROW(J629)/2)),"")</f>
        <v>-625.9</v>
      </c>
      <c r="K629" s="17">
        <f t="array" ref="K629">IF(ROW(K629)&lt;=COUNTA(E:E)*2,IF(MOD(ROW(K629),2)=1,INDEX(E:E,(ROW(K629)+1)/2),INDEX(G:G,ROW(K629)/2)),"")</f>
        <v>50.44</v>
      </c>
    </row>
    <row r="630" spans="1:11" x14ac:dyDescent="0.25">
      <c r="A630" s="17"/>
      <c r="B630" s="17"/>
      <c r="J630" s="17">
        <f t="array" ref="J630">IF(ROW(J630)&lt;=COUNTA(D:D)*2,IF(MOD(ROW(J630),2)=1,INDEX(D:D,(ROW(J630)+1)/2),INDEX(F:F,ROW(J630)/2)),"")</f>
        <v>-627.9</v>
      </c>
      <c r="K630" s="17">
        <f t="array" ref="K630">IF(ROW(K630)&lt;=COUNTA(E:E)*2,IF(MOD(ROW(K630),2)=1,INDEX(E:E,(ROW(K630)+1)/2),INDEX(G:G,ROW(K630)/2)),"")</f>
        <v>50.44</v>
      </c>
    </row>
    <row r="631" spans="1:11" x14ac:dyDescent="0.25">
      <c r="A631" s="17"/>
      <c r="B631" s="17"/>
      <c r="J631" s="17">
        <f t="array" ref="J631">IF(ROW(J631)&lt;=COUNTA(D:D)*2,IF(MOD(ROW(J631),2)=1,INDEX(D:D,(ROW(J631)+1)/2),INDEX(F:F,ROW(J631)/2)),"")</f>
        <v>-627.9</v>
      </c>
      <c r="K631" s="17">
        <f t="array" ref="K631">IF(ROW(K631)&lt;=COUNTA(E:E)*2,IF(MOD(ROW(K631),2)=1,INDEX(E:E,(ROW(K631)+1)/2),INDEX(G:G,ROW(K631)/2)),"")</f>
        <v>50.4</v>
      </c>
    </row>
    <row r="632" spans="1:11" x14ac:dyDescent="0.25">
      <c r="A632" s="17"/>
      <c r="B632" s="17"/>
      <c r="J632" s="17">
        <f t="array" ref="J632">IF(ROW(J632)&lt;=COUNTA(D:D)*2,IF(MOD(ROW(J632),2)=1,INDEX(D:D,(ROW(J632)+1)/2),INDEX(F:F,ROW(J632)/2)),"")</f>
        <v>-629.9</v>
      </c>
      <c r="K632" s="17">
        <f t="array" ref="K632">IF(ROW(K632)&lt;=COUNTA(E:E)*2,IF(MOD(ROW(K632),2)=1,INDEX(E:E,(ROW(K632)+1)/2),INDEX(G:G,ROW(K632)/2)),"")</f>
        <v>50.4</v>
      </c>
    </row>
    <row r="633" spans="1:11" x14ac:dyDescent="0.25">
      <c r="A633" s="17"/>
      <c r="B633" s="17"/>
      <c r="J633" s="17">
        <f t="array" ref="J633">IF(ROW(J633)&lt;=COUNTA(D:D)*2,IF(MOD(ROW(J633),2)=1,INDEX(D:D,(ROW(J633)+1)/2),INDEX(F:F,ROW(J633)/2)),"")</f>
        <v>-629.9</v>
      </c>
      <c r="K633" s="17">
        <f t="array" ref="K633">IF(ROW(K633)&lt;=COUNTA(E:E)*2,IF(MOD(ROW(K633),2)=1,INDEX(E:E,(ROW(K633)+1)/2),INDEX(G:G,ROW(K633)/2)),"")</f>
        <v>50.4</v>
      </c>
    </row>
    <row r="634" spans="1:11" x14ac:dyDescent="0.25">
      <c r="A634" s="17"/>
      <c r="B634" s="17"/>
      <c r="J634" s="17">
        <f t="array" ref="J634">IF(ROW(J634)&lt;=COUNTA(D:D)*2,IF(MOD(ROW(J634),2)=1,INDEX(D:D,(ROW(J634)+1)/2),INDEX(F:F,ROW(J634)/2)),"")</f>
        <v>-631.9</v>
      </c>
      <c r="K634" s="17">
        <f t="array" ref="K634">IF(ROW(K634)&lt;=COUNTA(E:E)*2,IF(MOD(ROW(K634),2)=1,INDEX(E:E,(ROW(K634)+1)/2),INDEX(G:G,ROW(K634)/2)),"")</f>
        <v>50.4</v>
      </c>
    </row>
    <row r="635" spans="1:11" x14ac:dyDescent="0.25">
      <c r="A635" s="17"/>
      <c r="B635" s="17"/>
      <c r="J635" s="17">
        <f t="array" ref="J635">IF(ROW(J635)&lt;=COUNTA(D:D)*2,IF(MOD(ROW(J635),2)=1,INDEX(D:D,(ROW(J635)+1)/2),INDEX(F:F,ROW(J635)/2)),"")</f>
        <v>-631.9</v>
      </c>
      <c r="K635" s="17">
        <f t="array" ref="K635">IF(ROW(K635)&lt;=COUNTA(E:E)*2,IF(MOD(ROW(K635),2)=1,INDEX(E:E,(ROW(K635)+1)/2),INDEX(G:G,ROW(K635)/2)),"")</f>
        <v>50.4</v>
      </c>
    </row>
    <row r="636" spans="1:11" x14ac:dyDescent="0.25">
      <c r="A636" s="17"/>
      <c r="B636" s="17"/>
      <c r="J636" s="17">
        <f t="array" ref="J636">IF(ROW(J636)&lt;=COUNTA(D:D)*2,IF(MOD(ROW(J636),2)=1,INDEX(D:D,(ROW(J636)+1)/2),INDEX(F:F,ROW(J636)/2)),"")</f>
        <v>-633.9</v>
      </c>
      <c r="K636" s="17">
        <f t="array" ref="K636">IF(ROW(K636)&lt;=COUNTA(E:E)*2,IF(MOD(ROW(K636),2)=1,INDEX(E:E,(ROW(K636)+1)/2),INDEX(G:G,ROW(K636)/2)),"")</f>
        <v>50.4</v>
      </c>
    </row>
    <row r="637" spans="1:11" x14ac:dyDescent="0.25">
      <c r="A637" s="17"/>
      <c r="B637" s="17"/>
      <c r="J637" s="17">
        <f t="array" ref="J637">IF(ROW(J637)&lt;=COUNTA(D:D)*2,IF(MOD(ROW(J637),2)=1,INDEX(D:D,(ROW(J637)+1)/2),INDEX(F:F,ROW(J637)/2)),"")</f>
        <v>-633.9</v>
      </c>
      <c r="K637" s="17">
        <f t="array" ref="K637">IF(ROW(K637)&lt;=COUNTA(E:E)*2,IF(MOD(ROW(K637),2)=1,INDEX(E:E,(ROW(K637)+1)/2),INDEX(G:G,ROW(K637)/2)),"")</f>
        <v>50.4</v>
      </c>
    </row>
    <row r="638" spans="1:11" x14ac:dyDescent="0.25">
      <c r="A638" s="17"/>
      <c r="B638" s="17"/>
      <c r="J638" s="17">
        <f t="array" ref="J638">IF(ROW(J638)&lt;=COUNTA(D:D)*2,IF(MOD(ROW(J638),2)=1,INDEX(D:D,(ROW(J638)+1)/2),INDEX(F:F,ROW(J638)/2)),"")</f>
        <v>-635.9</v>
      </c>
      <c r="K638" s="17">
        <f t="array" ref="K638">IF(ROW(K638)&lt;=COUNTA(E:E)*2,IF(MOD(ROW(K638),2)=1,INDEX(E:E,(ROW(K638)+1)/2),INDEX(G:G,ROW(K638)/2)),"")</f>
        <v>50.4</v>
      </c>
    </row>
    <row r="639" spans="1:11" x14ac:dyDescent="0.25">
      <c r="A639" s="17"/>
      <c r="B639" s="17"/>
      <c r="J639" s="17">
        <f t="array" ref="J639">IF(ROW(J639)&lt;=COUNTA(D:D)*2,IF(MOD(ROW(J639),2)=1,INDEX(D:D,(ROW(J639)+1)/2),INDEX(F:F,ROW(J639)/2)),"")</f>
        <v>-635.9</v>
      </c>
      <c r="K639" s="17">
        <f t="array" ref="K639">IF(ROW(K639)&lt;=COUNTA(E:E)*2,IF(MOD(ROW(K639),2)=1,INDEX(E:E,(ROW(K639)+1)/2),INDEX(G:G,ROW(K639)/2)),"")</f>
        <v>50.44</v>
      </c>
    </row>
    <row r="640" spans="1:11" x14ac:dyDescent="0.25">
      <c r="A640" s="17"/>
      <c r="B640" s="17"/>
      <c r="J640" s="17">
        <f t="array" ref="J640">IF(ROW(J640)&lt;=COUNTA(D:D)*2,IF(MOD(ROW(J640),2)=1,INDEX(D:D,(ROW(J640)+1)/2),INDEX(F:F,ROW(J640)/2)),"")</f>
        <v>-637.9</v>
      </c>
      <c r="K640" s="17">
        <f t="array" ref="K640">IF(ROW(K640)&lt;=COUNTA(E:E)*2,IF(MOD(ROW(K640),2)=1,INDEX(E:E,(ROW(K640)+1)/2),INDEX(G:G,ROW(K640)/2)),"")</f>
        <v>50.44</v>
      </c>
    </row>
    <row r="641" spans="1:11" x14ac:dyDescent="0.25">
      <c r="A641" s="17"/>
      <c r="B641" s="17"/>
      <c r="J641" s="17">
        <f t="array" ref="J641">IF(ROW(J641)&lt;=COUNTA(D:D)*2,IF(MOD(ROW(J641),2)=1,INDEX(D:D,(ROW(J641)+1)/2),INDEX(F:F,ROW(J641)/2)),"")</f>
        <v>-637.9</v>
      </c>
      <c r="K641" s="17">
        <f t="array" ref="K641">IF(ROW(K641)&lt;=COUNTA(E:E)*2,IF(MOD(ROW(K641),2)=1,INDEX(E:E,(ROW(K641)+1)/2),INDEX(G:G,ROW(K641)/2)),"")</f>
        <v>50.4</v>
      </c>
    </row>
    <row r="642" spans="1:11" x14ac:dyDescent="0.25">
      <c r="A642" s="17"/>
      <c r="B642" s="17"/>
      <c r="J642" s="17">
        <f t="array" ref="J642">IF(ROW(J642)&lt;=COUNTA(D:D)*2,IF(MOD(ROW(J642),2)=1,INDEX(D:D,(ROW(J642)+1)/2),INDEX(F:F,ROW(J642)/2)),"")</f>
        <v>-639.9</v>
      </c>
      <c r="K642" s="17">
        <f t="array" ref="K642">IF(ROW(K642)&lt;=COUNTA(E:E)*2,IF(MOD(ROW(K642),2)=1,INDEX(E:E,(ROW(K642)+1)/2),INDEX(G:G,ROW(K642)/2)),"")</f>
        <v>50.4</v>
      </c>
    </row>
    <row r="643" spans="1:11" x14ac:dyDescent="0.25">
      <c r="A643" s="17"/>
      <c r="B643" s="17"/>
      <c r="J643" s="17">
        <f t="array" ref="J643">IF(ROW(J643)&lt;=COUNTA(D:D)*2,IF(MOD(ROW(J643),2)=1,INDEX(D:D,(ROW(J643)+1)/2),INDEX(F:F,ROW(J643)/2)),"")</f>
        <v>-639.9</v>
      </c>
      <c r="K643" s="17">
        <f t="array" ref="K643">IF(ROW(K643)&lt;=COUNTA(E:E)*2,IF(MOD(ROW(K643),2)=1,INDEX(E:E,(ROW(K643)+1)/2),INDEX(G:G,ROW(K643)/2)),"")</f>
        <v>50.44</v>
      </c>
    </row>
    <row r="644" spans="1:11" x14ac:dyDescent="0.25">
      <c r="A644" s="17"/>
      <c r="B644" s="17"/>
      <c r="J644" s="17">
        <f t="array" ref="J644">IF(ROW(J644)&lt;=COUNTA(D:D)*2,IF(MOD(ROW(J644),2)=1,INDEX(D:D,(ROW(J644)+1)/2),INDEX(F:F,ROW(J644)/2)),"")</f>
        <v>-641.9</v>
      </c>
      <c r="K644" s="17">
        <f t="array" ref="K644">IF(ROW(K644)&lt;=COUNTA(E:E)*2,IF(MOD(ROW(K644),2)=1,INDEX(E:E,(ROW(K644)+1)/2),INDEX(G:G,ROW(K644)/2)),"")</f>
        <v>50.44</v>
      </c>
    </row>
    <row r="645" spans="1:11" x14ac:dyDescent="0.25">
      <c r="A645" s="17"/>
      <c r="B645" s="17"/>
      <c r="J645" s="17">
        <f t="array" ref="J645">IF(ROW(J645)&lt;=COUNTA(D:D)*2,IF(MOD(ROW(J645),2)=1,INDEX(D:D,(ROW(J645)+1)/2),INDEX(F:F,ROW(J645)/2)),"")</f>
        <v>-641.9</v>
      </c>
      <c r="K645" s="17">
        <f t="array" ref="K645">IF(ROW(K645)&lt;=COUNTA(E:E)*2,IF(MOD(ROW(K645),2)=1,INDEX(E:E,(ROW(K645)+1)/2),INDEX(G:G,ROW(K645)/2)),"")</f>
        <v>50.56</v>
      </c>
    </row>
    <row r="646" spans="1:11" x14ac:dyDescent="0.25">
      <c r="A646" s="17"/>
      <c r="B646" s="17"/>
      <c r="J646" s="17">
        <f t="array" ref="J646">IF(ROW(J646)&lt;=COUNTA(D:D)*2,IF(MOD(ROW(J646),2)=1,INDEX(D:D,(ROW(J646)+1)/2),INDEX(F:F,ROW(J646)/2)),"")</f>
        <v>-643.9</v>
      </c>
      <c r="K646" s="17">
        <f t="array" ref="K646">IF(ROW(K646)&lt;=COUNTA(E:E)*2,IF(MOD(ROW(K646),2)=1,INDEX(E:E,(ROW(K646)+1)/2),INDEX(G:G,ROW(K646)/2)),"")</f>
        <v>50.56</v>
      </c>
    </row>
    <row r="647" spans="1:11" x14ac:dyDescent="0.25">
      <c r="A647" s="17"/>
      <c r="B647" s="17"/>
      <c r="J647" s="17">
        <f t="array" ref="J647">IF(ROW(J647)&lt;=COUNTA(D:D)*2,IF(MOD(ROW(J647),2)=1,INDEX(D:D,(ROW(J647)+1)/2),INDEX(F:F,ROW(J647)/2)),"")</f>
        <v>-643.9</v>
      </c>
      <c r="K647" s="17">
        <f t="array" ref="K647">IF(ROW(K647)&lt;=COUNTA(E:E)*2,IF(MOD(ROW(K647),2)=1,INDEX(E:E,(ROW(K647)+1)/2),INDEX(G:G,ROW(K647)/2)),"")</f>
        <v>50.44</v>
      </c>
    </row>
    <row r="648" spans="1:11" x14ac:dyDescent="0.25">
      <c r="A648" s="17"/>
      <c r="B648" s="17"/>
      <c r="J648" s="17">
        <f t="array" ref="J648">IF(ROW(J648)&lt;=COUNTA(D:D)*2,IF(MOD(ROW(J648),2)=1,INDEX(D:D,(ROW(J648)+1)/2),INDEX(F:F,ROW(J648)/2)),"")</f>
        <v>-645.9</v>
      </c>
      <c r="K648" s="17">
        <f t="array" ref="K648">IF(ROW(K648)&lt;=COUNTA(E:E)*2,IF(MOD(ROW(K648),2)=1,INDEX(E:E,(ROW(K648)+1)/2),INDEX(G:G,ROW(K648)/2)),"")</f>
        <v>50.44</v>
      </c>
    </row>
    <row r="649" spans="1:11" x14ac:dyDescent="0.25">
      <c r="A649" s="17"/>
      <c r="B649" s="17"/>
      <c r="J649" s="17">
        <f t="array" ref="J649">IF(ROW(J649)&lt;=COUNTA(D:D)*2,IF(MOD(ROW(J649),2)=1,INDEX(D:D,(ROW(J649)+1)/2),INDEX(F:F,ROW(J649)/2)),"")</f>
        <v>-645.9</v>
      </c>
      <c r="K649" s="17">
        <f t="array" ref="K649">IF(ROW(K649)&lt;=COUNTA(E:E)*2,IF(MOD(ROW(K649),2)=1,INDEX(E:E,(ROW(K649)+1)/2),INDEX(G:G,ROW(K649)/2)),"")</f>
        <v>50.4</v>
      </c>
    </row>
    <row r="650" spans="1:11" x14ac:dyDescent="0.25">
      <c r="A650" s="17"/>
      <c r="B650" s="17"/>
      <c r="J650" s="17">
        <f t="array" ref="J650">IF(ROW(J650)&lt;=COUNTA(D:D)*2,IF(MOD(ROW(J650),2)=1,INDEX(D:D,(ROW(J650)+1)/2),INDEX(F:F,ROW(J650)/2)),"")</f>
        <v>-647.9</v>
      </c>
      <c r="K650" s="17">
        <f t="array" ref="K650">IF(ROW(K650)&lt;=COUNTA(E:E)*2,IF(MOD(ROW(K650),2)=1,INDEX(E:E,(ROW(K650)+1)/2),INDEX(G:G,ROW(K650)/2)),"")</f>
        <v>50.4</v>
      </c>
    </row>
    <row r="651" spans="1:11" x14ac:dyDescent="0.25">
      <c r="A651" s="17"/>
      <c r="B651" s="17"/>
      <c r="J651" s="17">
        <f t="array" ref="J651">IF(ROW(J651)&lt;=COUNTA(D:D)*2,IF(MOD(ROW(J651),2)=1,INDEX(D:D,(ROW(J651)+1)/2),INDEX(F:F,ROW(J651)/2)),"")</f>
        <v>-647.9</v>
      </c>
      <c r="K651" s="17">
        <f t="array" ref="K651">IF(ROW(K651)&lt;=COUNTA(E:E)*2,IF(MOD(ROW(K651),2)=1,INDEX(E:E,(ROW(K651)+1)/2),INDEX(G:G,ROW(K651)/2)),"")</f>
        <v>50.4</v>
      </c>
    </row>
    <row r="652" spans="1:11" x14ac:dyDescent="0.25">
      <c r="A652" s="17"/>
      <c r="B652" s="17"/>
      <c r="J652" s="17">
        <f t="array" ref="J652">IF(ROW(J652)&lt;=COUNTA(D:D)*2,IF(MOD(ROW(J652),2)=1,INDEX(D:D,(ROW(J652)+1)/2),INDEX(F:F,ROW(J652)/2)),"")</f>
        <v>-649.9</v>
      </c>
      <c r="K652" s="17">
        <f t="array" ref="K652">IF(ROW(K652)&lt;=COUNTA(E:E)*2,IF(MOD(ROW(K652),2)=1,INDEX(E:E,(ROW(K652)+1)/2),INDEX(G:G,ROW(K652)/2)),"")</f>
        <v>50.4</v>
      </c>
    </row>
    <row r="653" spans="1:11" x14ac:dyDescent="0.25">
      <c r="A653" s="17"/>
      <c r="B653" s="17"/>
      <c r="J653" s="17">
        <f t="array" ref="J653">IF(ROW(J653)&lt;=COUNTA(D:D)*2,IF(MOD(ROW(J653),2)=1,INDEX(D:D,(ROW(J653)+1)/2),INDEX(F:F,ROW(J653)/2)),"")</f>
        <v>-649.9</v>
      </c>
      <c r="K653" s="17">
        <f t="array" ref="K653">IF(ROW(K653)&lt;=COUNTA(E:E)*2,IF(MOD(ROW(K653),2)=1,INDEX(E:E,(ROW(K653)+1)/2),INDEX(G:G,ROW(K653)/2)),"")</f>
        <v>50.44</v>
      </c>
    </row>
    <row r="654" spans="1:11" x14ac:dyDescent="0.25">
      <c r="A654" s="17"/>
      <c r="B654" s="17"/>
      <c r="J654" s="17">
        <f t="array" ref="J654">IF(ROW(J654)&lt;=COUNTA(D:D)*2,IF(MOD(ROW(J654),2)=1,INDEX(D:D,(ROW(J654)+1)/2),INDEX(F:F,ROW(J654)/2)),"")</f>
        <v>-651.9</v>
      </c>
      <c r="K654" s="17">
        <f t="array" ref="K654">IF(ROW(K654)&lt;=COUNTA(E:E)*2,IF(MOD(ROW(K654),2)=1,INDEX(E:E,(ROW(K654)+1)/2),INDEX(G:G,ROW(K654)/2)),"")</f>
        <v>50.44</v>
      </c>
    </row>
    <row r="655" spans="1:11" x14ac:dyDescent="0.25">
      <c r="A655" s="17"/>
      <c r="B655" s="17"/>
      <c r="J655" s="17">
        <f t="array" ref="J655">IF(ROW(J655)&lt;=COUNTA(D:D)*2,IF(MOD(ROW(J655),2)=1,INDEX(D:D,(ROW(J655)+1)/2),INDEX(F:F,ROW(J655)/2)),"")</f>
        <v>-651.9</v>
      </c>
      <c r="K655" s="17">
        <f t="array" ref="K655">IF(ROW(K655)&lt;=COUNTA(E:E)*2,IF(MOD(ROW(K655),2)=1,INDEX(E:E,(ROW(K655)+1)/2),INDEX(G:G,ROW(K655)/2)),"")</f>
        <v>50.4</v>
      </c>
    </row>
    <row r="656" spans="1:11" x14ac:dyDescent="0.25">
      <c r="A656" s="17"/>
      <c r="B656" s="17"/>
      <c r="J656" s="17">
        <f t="array" ref="J656">IF(ROW(J656)&lt;=COUNTA(D:D)*2,IF(MOD(ROW(J656),2)=1,INDEX(D:D,(ROW(J656)+1)/2),INDEX(F:F,ROW(J656)/2)),"")</f>
        <v>-653.9</v>
      </c>
      <c r="K656" s="17">
        <f t="array" ref="K656">IF(ROW(K656)&lt;=COUNTA(E:E)*2,IF(MOD(ROW(K656),2)=1,INDEX(E:E,(ROW(K656)+1)/2),INDEX(G:G,ROW(K656)/2)),"")</f>
        <v>50.4</v>
      </c>
    </row>
    <row r="657" spans="1:11" x14ac:dyDescent="0.25">
      <c r="A657" s="17"/>
      <c r="B657" s="17"/>
      <c r="J657" s="17">
        <f t="array" ref="J657">IF(ROW(J657)&lt;=COUNTA(D:D)*2,IF(MOD(ROW(J657),2)=1,INDEX(D:D,(ROW(J657)+1)/2),INDEX(F:F,ROW(J657)/2)),"")</f>
        <v>-653.9</v>
      </c>
      <c r="K657" s="17">
        <f t="array" ref="K657">IF(ROW(K657)&lt;=COUNTA(E:E)*2,IF(MOD(ROW(K657),2)=1,INDEX(E:E,(ROW(K657)+1)/2),INDEX(G:G,ROW(K657)/2)),"")</f>
        <v>50.56</v>
      </c>
    </row>
    <row r="658" spans="1:11" x14ac:dyDescent="0.25">
      <c r="A658" s="17"/>
      <c r="B658" s="17"/>
      <c r="J658" s="17">
        <f t="array" ref="J658">IF(ROW(J658)&lt;=COUNTA(D:D)*2,IF(MOD(ROW(J658),2)=1,INDEX(D:D,(ROW(J658)+1)/2),INDEX(F:F,ROW(J658)/2)),"")</f>
        <v>-655.9</v>
      </c>
      <c r="K658" s="17">
        <f t="array" ref="K658">IF(ROW(K658)&lt;=COUNTA(E:E)*2,IF(MOD(ROW(K658),2)=1,INDEX(E:E,(ROW(K658)+1)/2),INDEX(G:G,ROW(K658)/2)),"")</f>
        <v>50.56</v>
      </c>
    </row>
    <row r="659" spans="1:11" x14ac:dyDescent="0.25">
      <c r="A659" s="17"/>
      <c r="B659" s="17"/>
      <c r="J659" s="17">
        <f t="array" ref="J659">IF(ROW(J659)&lt;=COUNTA(D:D)*2,IF(MOD(ROW(J659),2)=1,INDEX(D:D,(ROW(J659)+1)/2),INDEX(F:F,ROW(J659)/2)),"")</f>
        <v>-655.9</v>
      </c>
      <c r="K659" s="17">
        <f t="array" ref="K659">IF(ROW(K659)&lt;=COUNTA(E:E)*2,IF(MOD(ROW(K659),2)=1,INDEX(E:E,(ROW(K659)+1)/2),INDEX(G:G,ROW(K659)/2)),"")</f>
        <v>50.56</v>
      </c>
    </row>
    <row r="660" spans="1:11" x14ac:dyDescent="0.25">
      <c r="A660" s="17"/>
      <c r="B660" s="17"/>
      <c r="J660" s="17">
        <f t="array" ref="J660">IF(ROW(J660)&lt;=COUNTA(D:D)*2,IF(MOD(ROW(J660),2)=1,INDEX(D:D,(ROW(J660)+1)/2),INDEX(F:F,ROW(J660)/2)),"")</f>
        <v>-657.9</v>
      </c>
      <c r="K660" s="17">
        <f t="array" ref="K660">IF(ROW(K660)&lt;=COUNTA(E:E)*2,IF(MOD(ROW(K660),2)=1,INDEX(E:E,(ROW(K660)+1)/2),INDEX(G:G,ROW(K660)/2)),"")</f>
        <v>50.56</v>
      </c>
    </row>
    <row r="661" spans="1:11" x14ac:dyDescent="0.25">
      <c r="A661" s="17"/>
      <c r="B661" s="17"/>
      <c r="J661" s="17">
        <f t="array" ref="J661">IF(ROW(J661)&lt;=COUNTA(D:D)*2,IF(MOD(ROW(J661),2)=1,INDEX(D:D,(ROW(J661)+1)/2),INDEX(F:F,ROW(J661)/2)),"")</f>
        <v>-657.9</v>
      </c>
      <c r="K661" s="17">
        <f t="array" ref="K661">IF(ROW(K661)&lt;=COUNTA(E:E)*2,IF(MOD(ROW(K661),2)=1,INDEX(E:E,(ROW(K661)+1)/2),INDEX(G:G,ROW(K661)/2)),"")</f>
        <v>50.56</v>
      </c>
    </row>
    <row r="662" spans="1:11" x14ac:dyDescent="0.25">
      <c r="A662" s="17"/>
      <c r="B662" s="17"/>
      <c r="J662" s="17">
        <f t="array" ref="J662">IF(ROW(J662)&lt;=COUNTA(D:D)*2,IF(MOD(ROW(J662),2)=1,INDEX(D:D,(ROW(J662)+1)/2),INDEX(F:F,ROW(J662)/2)),"")</f>
        <v>-659.9</v>
      </c>
      <c r="K662" s="17">
        <f t="array" ref="K662">IF(ROW(K662)&lt;=COUNTA(E:E)*2,IF(MOD(ROW(K662),2)=1,INDEX(E:E,(ROW(K662)+1)/2),INDEX(G:G,ROW(K662)/2)),"")</f>
        <v>50.56</v>
      </c>
    </row>
    <row r="663" spans="1:11" x14ac:dyDescent="0.25">
      <c r="A663" s="17"/>
      <c r="B663" s="17"/>
      <c r="J663" s="17">
        <f t="array" ref="J663">IF(ROW(J663)&lt;=COUNTA(D:D)*2,IF(MOD(ROW(J663),2)=1,INDEX(D:D,(ROW(J663)+1)/2),INDEX(F:F,ROW(J663)/2)),"")</f>
        <v>-659.9</v>
      </c>
      <c r="K663" s="17">
        <f t="array" ref="K663">IF(ROW(K663)&lt;=COUNTA(E:E)*2,IF(MOD(ROW(K663),2)=1,INDEX(E:E,(ROW(K663)+1)/2),INDEX(G:G,ROW(K663)/2)),"")</f>
        <v>50.36</v>
      </c>
    </row>
    <row r="664" spans="1:11" x14ac:dyDescent="0.25">
      <c r="A664" s="17"/>
      <c r="B664" s="17"/>
      <c r="J664" s="17">
        <f t="array" ref="J664">IF(ROW(J664)&lt;=COUNTA(D:D)*2,IF(MOD(ROW(J664),2)=1,INDEX(D:D,(ROW(J664)+1)/2),INDEX(F:F,ROW(J664)/2)),"")</f>
        <v>-661.9</v>
      </c>
      <c r="K664" s="17">
        <f t="array" ref="K664">IF(ROW(K664)&lt;=COUNTA(E:E)*2,IF(MOD(ROW(K664),2)=1,INDEX(E:E,(ROW(K664)+1)/2),INDEX(G:G,ROW(K664)/2)),"")</f>
        <v>50.36</v>
      </c>
    </row>
    <row r="665" spans="1:11" x14ac:dyDescent="0.25">
      <c r="A665" s="17"/>
      <c r="B665" s="17"/>
      <c r="J665" s="17">
        <f t="array" ref="J665">IF(ROW(J665)&lt;=COUNTA(D:D)*2,IF(MOD(ROW(J665),2)=1,INDEX(D:D,(ROW(J665)+1)/2),INDEX(F:F,ROW(J665)/2)),"")</f>
        <v>-661.9</v>
      </c>
      <c r="K665" s="17">
        <f t="array" ref="K665">IF(ROW(K665)&lt;=COUNTA(E:E)*2,IF(MOD(ROW(K665),2)=1,INDEX(E:E,(ROW(K665)+1)/2),INDEX(G:G,ROW(K665)/2)),"")</f>
        <v>50.36</v>
      </c>
    </row>
    <row r="666" spans="1:11" x14ac:dyDescent="0.25">
      <c r="A666" s="17"/>
      <c r="B666" s="17"/>
      <c r="J666" s="17">
        <f t="array" ref="J666">IF(ROW(J666)&lt;=COUNTA(D:D)*2,IF(MOD(ROW(J666),2)=1,INDEX(D:D,(ROW(J666)+1)/2),INDEX(F:F,ROW(J666)/2)),"")</f>
        <v>-663.9</v>
      </c>
      <c r="K666" s="17">
        <f t="array" ref="K666">IF(ROW(K666)&lt;=COUNTA(E:E)*2,IF(MOD(ROW(K666),2)=1,INDEX(E:E,(ROW(K666)+1)/2),INDEX(G:G,ROW(K666)/2)),"")</f>
        <v>50.36</v>
      </c>
    </row>
    <row r="667" spans="1:11" x14ac:dyDescent="0.25">
      <c r="A667" s="17"/>
      <c r="B667" s="17"/>
      <c r="J667" s="17">
        <f t="array" ref="J667">IF(ROW(J667)&lt;=COUNTA(D:D)*2,IF(MOD(ROW(J667),2)=1,INDEX(D:D,(ROW(J667)+1)/2),INDEX(F:F,ROW(J667)/2)),"")</f>
        <v>-663.9</v>
      </c>
      <c r="K667" s="17">
        <f t="array" ref="K667">IF(ROW(K667)&lt;=COUNTA(E:E)*2,IF(MOD(ROW(K667),2)=1,INDEX(E:E,(ROW(K667)+1)/2),INDEX(G:G,ROW(K667)/2)),"")</f>
        <v>50.36</v>
      </c>
    </row>
    <row r="668" spans="1:11" x14ac:dyDescent="0.25">
      <c r="A668" s="17"/>
      <c r="B668" s="17"/>
      <c r="J668" s="17">
        <f t="array" ref="J668">IF(ROW(J668)&lt;=COUNTA(D:D)*2,IF(MOD(ROW(J668),2)=1,INDEX(D:D,(ROW(J668)+1)/2),INDEX(F:F,ROW(J668)/2)),"")</f>
        <v>-665.9</v>
      </c>
      <c r="K668" s="17">
        <f t="array" ref="K668">IF(ROW(K668)&lt;=COUNTA(E:E)*2,IF(MOD(ROW(K668),2)=1,INDEX(E:E,(ROW(K668)+1)/2),INDEX(G:G,ROW(K668)/2)),"")</f>
        <v>50.36</v>
      </c>
    </row>
    <row r="669" spans="1:11" x14ac:dyDescent="0.25">
      <c r="A669" s="17"/>
      <c r="B669" s="17"/>
      <c r="J669" s="17">
        <f t="array" ref="J669">IF(ROW(J669)&lt;=COUNTA(D:D)*2,IF(MOD(ROW(J669),2)=1,INDEX(D:D,(ROW(J669)+1)/2),INDEX(F:F,ROW(J669)/2)),"")</f>
        <v>-665.9</v>
      </c>
      <c r="K669" s="17">
        <f t="array" ref="K669">IF(ROW(K669)&lt;=COUNTA(E:E)*2,IF(MOD(ROW(K669),2)=1,INDEX(E:E,(ROW(K669)+1)/2),INDEX(G:G,ROW(K669)/2)),"")</f>
        <v>50.36</v>
      </c>
    </row>
    <row r="670" spans="1:11" x14ac:dyDescent="0.25">
      <c r="A670" s="17"/>
      <c r="B670" s="17"/>
      <c r="J670" s="17">
        <f t="array" ref="J670">IF(ROW(J670)&lt;=COUNTA(D:D)*2,IF(MOD(ROW(J670),2)=1,INDEX(D:D,(ROW(J670)+1)/2),INDEX(F:F,ROW(J670)/2)),"")</f>
        <v>-667.9</v>
      </c>
      <c r="K670" s="17">
        <f t="array" ref="K670">IF(ROW(K670)&lt;=COUNTA(E:E)*2,IF(MOD(ROW(K670),2)=1,INDEX(E:E,(ROW(K670)+1)/2),INDEX(G:G,ROW(K670)/2)),"")</f>
        <v>50.36</v>
      </c>
    </row>
    <row r="671" spans="1:11" x14ac:dyDescent="0.25">
      <c r="A671" s="17"/>
      <c r="B671" s="17"/>
      <c r="J671" s="17">
        <f t="array" ref="J671">IF(ROW(J671)&lt;=COUNTA(D:D)*2,IF(MOD(ROW(J671),2)=1,INDEX(D:D,(ROW(J671)+1)/2),INDEX(F:F,ROW(J671)/2)),"")</f>
        <v>-667.9</v>
      </c>
      <c r="K671" s="17">
        <f t="array" ref="K671">IF(ROW(K671)&lt;=COUNTA(E:E)*2,IF(MOD(ROW(K671),2)=1,INDEX(E:E,(ROW(K671)+1)/2),INDEX(G:G,ROW(K671)/2)),"")</f>
        <v>50.36</v>
      </c>
    </row>
    <row r="672" spans="1:11" x14ac:dyDescent="0.25">
      <c r="A672" s="17"/>
      <c r="B672" s="17"/>
      <c r="J672" s="17">
        <f t="array" ref="J672">IF(ROW(J672)&lt;=COUNTA(D:D)*2,IF(MOD(ROW(J672),2)=1,INDEX(D:D,(ROW(J672)+1)/2),INDEX(F:F,ROW(J672)/2)),"")</f>
        <v>-669.9</v>
      </c>
      <c r="K672" s="17">
        <f t="array" ref="K672">IF(ROW(K672)&lt;=COUNTA(E:E)*2,IF(MOD(ROW(K672),2)=1,INDEX(E:E,(ROW(K672)+1)/2),INDEX(G:G,ROW(K672)/2)),"")</f>
        <v>50.36</v>
      </c>
    </row>
    <row r="673" spans="1:11" x14ac:dyDescent="0.25">
      <c r="A673" s="17"/>
      <c r="B673" s="17"/>
      <c r="J673" s="17">
        <f t="array" ref="J673">IF(ROW(J673)&lt;=COUNTA(D:D)*2,IF(MOD(ROW(J673),2)=1,INDEX(D:D,(ROW(J673)+1)/2),INDEX(F:F,ROW(J673)/2)),"")</f>
        <v>-669.9</v>
      </c>
      <c r="K673" s="17">
        <f t="array" ref="K673">IF(ROW(K673)&lt;=COUNTA(E:E)*2,IF(MOD(ROW(K673),2)=1,INDEX(E:E,(ROW(K673)+1)/2),INDEX(G:G,ROW(K673)/2)),"")</f>
        <v>50.36</v>
      </c>
    </row>
    <row r="674" spans="1:11" x14ac:dyDescent="0.25">
      <c r="A674" s="17"/>
      <c r="B674" s="17"/>
      <c r="J674" s="17">
        <f t="array" ref="J674">IF(ROW(J674)&lt;=COUNTA(D:D)*2,IF(MOD(ROW(J674),2)=1,INDEX(D:D,(ROW(J674)+1)/2),INDEX(F:F,ROW(J674)/2)),"")</f>
        <v>-671.9</v>
      </c>
      <c r="K674" s="17">
        <f t="array" ref="K674">IF(ROW(K674)&lt;=COUNTA(E:E)*2,IF(MOD(ROW(K674),2)=1,INDEX(E:E,(ROW(K674)+1)/2),INDEX(G:G,ROW(K674)/2)),"")</f>
        <v>50.36</v>
      </c>
    </row>
    <row r="675" spans="1:11" x14ac:dyDescent="0.25">
      <c r="A675" s="17"/>
      <c r="B675" s="17"/>
      <c r="J675" s="17">
        <f t="array" ref="J675">IF(ROW(J675)&lt;=COUNTA(D:D)*2,IF(MOD(ROW(J675),2)=1,INDEX(D:D,(ROW(J675)+1)/2),INDEX(F:F,ROW(J675)/2)),"")</f>
        <v>-671.9</v>
      </c>
      <c r="K675" s="17">
        <f t="array" ref="K675">IF(ROW(K675)&lt;=COUNTA(E:E)*2,IF(MOD(ROW(K675),2)=1,INDEX(E:E,(ROW(K675)+1)/2),INDEX(G:G,ROW(K675)/2)),"")</f>
        <v>50.12</v>
      </c>
    </row>
    <row r="676" spans="1:11" x14ac:dyDescent="0.25">
      <c r="A676" s="17"/>
      <c r="B676" s="17"/>
      <c r="J676" s="17">
        <f t="array" ref="J676">IF(ROW(J676)&lt;=COUNTA(D:D)*2,IF(MOD(ROW(J676),2)=1,INDEX(D:D,(ROW(J676)+1)/2),INDEX(F:F,ROW(J676)/2)),"")</f>
        <v>-673.9</v>
      </c>
      <c r="K676" s="17">
        <f t="array" ref="K676">IF(ROW(K676)&lt;=COUNTA(E:E)*2,IF(MOD(ROW(K676),2)=1,INDEX(E:E,(ROW(K676)+1)/2),INDEX(G:G,ROW(K676)/2)),"")</f>
        <v>50.12</v>
      </c>
    </row>
    <row r="677" spans="1:11" x14ac:dyDescent="0.25">
      <c r="A677" s="17"/>
      <c r="B677" s="17"/>
      <c r="J677" s="17">
        <f t="array" ref="J677">IF(ROW(J677)&lt;=COUNTA(D:D)*2,IF(MOD(ROW(J677),2)=1,INDEX(D:D,(ROW(J677)+1)/2),INDEX(F:F,ROW(J677)/2)),"")</f>
        <v>-673.9</v>
      </c>
      <c r="K677" s="17">
        <f t="array" ref="K677">IF(ROW(K677)&lt;=COUNTA(E:E)*2,IF(MOD(ROW(K677),2)=1,INDEX(E:E,(ROW(K677)+1)/2),INDEX(G:G,ROW(K677)/2)),"")</f>
        <v>50.4</v>
      </c>
    </row>
    <row r="678" spans="1:11" x14ac:dyDescent="0.25">
      <c r="A678" s="17"/>
      <c r="B678" s="17"/>
      <c r="J678" s="17">
        <f t="array" ref="J678">IF(ROW(J678)&lt;=COUNTA(D:D)*2,IF(MOD(ROW(J678),2)=1,INDEX(D:D,(ROW(J678)+1)/2),INDEX(F:F,ROW(J678)/2)),"")</f>
        <v>-675.9</v>
      </c>
      <c r="K678" s="17">
        <f t="array" ref="K678">IF(ROW(K678)&lt;=COUNTA(E:E)*2,IF(MOD(ROW(K678),2)=1,INDEX(E:E,(ROW(K678)+1)/2),INDEX(G:G,ROW(K678)/2)),"")</f>
        <v>50.4</v>
      </c>
    </row>
    <row r="679" spans="1:11" x14ac:dyDescent="0.25">
      <c r="A679" s="17"/>
      <c r="B679" s="17"/>
      <c r="J679" s="17">
        <f t="array" ref="J679">IF(ROW(J679)&lt;=COUNTA(D:D)*2,IF(MOD(ROW(J679),2)=1,INDEX(D:D,(ROW(J679)+1)/2),INDEX(F:F,ROW(J679)/2)),"")</f>
        <v>-675.9</v>
      </c>
      <c r="K679" s="17">
        <f t="array" ref="K679">IF(ROW(K679)&lt;=COUNTA(E:E)*2,IF(MOD(ROW(K679),2)=1,INDEX(E:E,(ROW(K679)+1)/2),INDEX(G:G,ROW(K679)/2)),"")</f>
        <v>50.44</v>
      </c>
    </row>
    <row r="680" spans="1:11" x14ac:dyDescent="0.25">
      <c r="A680" s="17"/>
      <c r="B680" s="17"/>
      <c r="J680" s="17">
        <f t="array" ref="J680">IF(ROW(J680)&lt;=COUNTA(D:D)*2,IF(MOD(ROW(J680),2)=1,INDEX(D:D,(ROW(J680)+1)/2),INDEX(F:F,ROW(J680)/2)),"")</f>
        <v>-677.9</v>
      </c>
      <c r="K680" s="17">
        <f t="array" ref="K680">IF(ROW(K680)&lt;=COUNTA(E:E)*2,IF(MOD(ROW(K680),2)=1,INDEX(E:E,(ROW(K680)+1)/2),INDEX(G:G,ROW(K680)/2)),"")</f>
        <v>50.44</v>
      </c>
    </row>
    <row r="681" spans="1:11" x14ac:dyDescent="0.25">
      <c r="A681" s="17"/>
      <c r="B681" s="17"/>
      <c r="J681" s="17">
        <f t="array" ref="J681">IF(ROW(J681)&lt;=COUNTA(D:D)*2,IF(MOD(ROW(J681),2)=1,INDEX(D:D,(ROW(J681)+1)/2),INDEX(F:F,ROW(J681)/2)),"")</f>
        <v>-677.9</v>
      </c>
      <c r="K681" s="17">
        <f t="array" ref="K681">IF(ROW(K681)&lt;=COUNTA(E:E)*2,IF(MOD(ROW(K681),2)=1,INDEX(E:E,(ROW(K681)+1)/2),INDEX(G:G,ROW(K681)/2)),"")</f>
        <v>49</v>
      </c>
    </row>
    <row r="682" spans="1:11" x14ac:dyDescent="0.25">
      <c r="A682" s="17"/>
      <c r="B682" s="17"/>
      <c r="J682" s="17">
        <f t="array" ref="J682">IF(ROW(J682)&lt;=COUNTA(D:D)*2,IF(MOD(ROW(J682),2)=1,INDEX(D:D,(ROW(J682)+1)/2),INDEX(F:F,ROW(J682)/2)),"")</f>
        <v>0</v>
      </c>
      <c r="K682" s="17">
        <f t="array" ref="K682">IF(ROW(K682)&lt;=COUNTA(E:E)*2,IF(MOD(ROW(K682),2)=1,INDEX(E:E,(ROW(K682)+1)/2),INDEX(G:G,ROW(K682)/2)),"")</f>
        <v>49</v>
      </c>
    </row>
    <row r="683" spans="1:11" x14ac:dyDescent="0.25">
      <c r="A683" s="17"/>
      <c r="B683" s="17"/>
      <c r="J683" s="17">
        <f t="array" ref="J683">IF(ROW(J683)&lt;=COUNTA(D:D)*2,IF(MOD(ROW(J683),2)=1,INDEX(D:D,(ROW(J683)+1)/2),INDEX(F:F,ROW(J683)/2)),"")</f>
        <v>0</v>
      </c>
      <c r="K683" s="17">
        <f t="array" ref="K683">IF(ROW(K683)&lt;=COUNTA(E:E)*2,IF(MOD(ROW(K683),2)=1,INDEX(E:E,(ROW(K683)+1)/2),INDEX(G:G,ROW(K683)/2)),"")</f>
        <v>49</v>
      </c>
    </row>
    <row r="684" spans="1:11" x14ac:dyDescent="0.25">
      <c r="A684" s="17"/>
      <c r="B684" s="17"/>
      <c r="J684" s="17">
        <f t="array" ref="J684">IF(ROW(J684)&lt;=COUNTA(D:D)*2,IF(MOD(ROW(J684),2)=1,INDEX(D:D,(ROW(J684)+1)/2),INDEX(F:F,ROW(J684)/2)),"")</f>
        <v>0</v>
      </c>
      <c r="K684" s="17">
        <f t="array" ref="K684">IF(ROW(K684)&lt;=COUNTA(E:E)*2,IF(MOD(ROW(K684),2)=1,INDEX(E:E,(ROW(K684)+1)/2),INDEX(G:G,ROW(K684)/2)),"")</f>
        <v>49</v>
      </c>
    </row>
    <row r="685" spans="1:11" x14ac:dyDescent="0.25">
      <c r="A685" s="17"/>
      <c r="B685" s="17"/>
      <c r="J685" s="17">
        <f t="array" ref="J685">IF(ROW(J685)&lt;=COUNTA(D:D)*2,IF(MOD(ROW(J685),2)=1,INDEX(D:D,(ROW(J685)+1)/2),INDEX(F:F,ROW(J685)/2)),"")</f>
        <v>0</v>
      </c>
      <c r="K685" s="17">
        <f t="array" ref="K685">IF(ROW(K685)&lt;=COUNTA(E:E)*2,IF(MOD(ROW(K685),2)=1,INDEX(E:E,(ROW(K685)+1)/2),INDEX(G:G,ROW(K685)/2)),"")</f>
        <v>49</v>
      </c>
    </row>
    <row r="686" spans="1:11" x14ac:dyDescent="0.25">
      <c r="A686" s="17"/>
      <c r="B686" s="17"/>
      <c r="J686" s="17">
        <f t="array" ref="J686">IF(ROW(J686)&lt;=COUNTA(D:D)*2,IF(MOD(ROW(J686),2)=1,INDEX(D:D,(ROW(J686)+1)/2),INDEX(F:F,ROW(J686)/2)),"")</f>
        <v>0</v>
      </c>
      <c r="K686" s="17">
        <f t="array" ref="K686">IF(ROW(K686)&lt;=COUNTA(E:E)*2,IF(MOD(ROW(K686),2)=1,INDEX(E:E,(ROW(K686)+1)/2),INDEX(G:G,ROW(K686)/2)),"")</f>
        <v>49</v>
      </c>
    </row>
    <row r="687" spans="1:11" x14ac:dyDescent="0.25">
      <c r="A687" s="17"/>
      <c r="B687" s="17"/>
      <c r="J687" s="17">
        <f t="array" ref="J687">IF(ROW(J687)&lt;=COUNTA(D:D)*2,IF(MOD(ROW(J687),2)=1,INDEX(D:D,(ROW(J687)+1)/2),INDEX(F:F,ROW(J687)/2)),"")</f>
        <v>0</v>
      </c>
      <c r="K687" s="17">
        <f t="array" ref="K687">IF(ROW(K687)&lt;=COUNTA(E:E)*2,IF(MOD(ROW(K687),2)=1,INDEX(E:E,(ROW(K687)+1)/2),INDEX(G:G,ROW(K687)/2)),"")</f>
        <v>49</v>
      </c>
    </row>
    <row r="688" spans="1:11" x14ac:dyDescent="0.25">
      <c r="A688" s="17"/>
      <c r="B688" s="17"/>
      <c r="J688" s="17">
        <f t="array" ref="J688">IF(ROW(J688)&lt;=COUNTA(D:D)*2,IF(MOD(ROW(J688),2)=1,INDEX(D:D,(ROW(J688)+1)/2),INDEX(F:F,ROW(J688)/2)),"")</f>
        <v>0</v>
      </c>
      <c r="K688" s="17">
        <f t="array" ref="K688">IF(ROW(K688)&lt;=COUNTA(E:E)*2,IF(MOD(ROW(K688),2)=1,INDEX(E:E,(ROW(K688)+1)/2),INDEX(G:G,ROW(K688)/2)),"")</f>
        <v>49</v>
      </c>
    </row>
    <row r="689" spans="1:11" x14ac:dyDescent="0.25">
      <c r="A689" s="17"/>
      <c r="B689" s="17"/>
      <c r="J689" s="17">
        <f t="array" ref="J689">IF(ROW(J689)&lt;=COUNTA(D:D)*2,IF(MOD(ROW(J689),2)=1,INDEX(D:D,(ROW(J689)+1)/2),INDEX(F:F,ROW(J689)/2)),"")</f>
        <v>0</v>
      </c>
      <c r="K689" s="17">
        <f t="array" ref="K689">IF(ROW(K689)&lt;=COUNTA(E:E)*2,IF(MOD(ROW(K689),2)=1,INDEX(E:E,(ROW(K689)+1)/2),INDEX(G:G,ROW(K689)/2)),"")</f>
        <v>49</v>
      </c>
    </row>
    <row r="690" spans="1:11" x14ac:dyDescent="0.25">
      <c r="A690" s="17"/>
      <c r="B690" s="17"/>
      <c r="J690" s="17">
        <f t="array" ref="J690">IF(ROW(J690)&lt;=COUNTA(D:D)*2,IF(MOD(ROW(J690),2)=1,INDEX(D:D,(ROW(J690)+1)/2),INDEX(F:F,ROW(J690)/2)),"")</f>
        <v>0</v>
      </c>
      <c r="K690" s="17">
        <f t="array" ref="K690">IF(ROW(K690)&lt;=COUNTA(E:E)*2,IF(MOD(ROW(K690),2)=1,INDEX(E:E,(ROW(K690)+1)/2),INDEX(G:G,ROW(K690)/2)),"")</f>
        <v>49</v>
      </c>
    </row>
    <row r="691" spans="1:11" x14ac:dyDescent="0.25">
      <c r="A691" s="17"/>
      <c r="B691" s="17"/>
      <c r="J691" s="17">
        <f t="array" ref="J691">IF(ROW(J691)&lt;=COUNTA(D:D)*2,IF(MOD(ROW(J691),2)=1,INDEX(D:D,(ROW(J691)+1)/2),INDEX(F:F,ROW(J691)/2)),"")</f>
        <v>0</v>
      </c>
      <c r="K691" s="17">
        <f t="array" ref="K691">IF(ROW(K691)&lt;=COUNTA(E:E)*2,IF(MOD(ROW(K691),2)=1,INDEX(E:E,(ROW(K691)+1)/2),INDEX(G:G,ROW(K691)/2)),"")</f>
        <v>49</v>
      </c>
    </row>
    <row r="692" spans="1:11" x14ac:dyDescent="0.25">
      <c r="A692" s="17"/>
      <c r="B692" s="17"/>
      <c r="J692" s="17">
        <f t="array" ref="J692">IF(ROW(J692)&lt;=COUNTA(D:D)*2,IF(MOD(ROW(J692),2)=1,INDEX(D:D,(ROW(J692)+1)/2),INDEX(F:F,ROW(J692)/2)),"")</f>
        <v>0</v>
      </c>
      <c r="K692" s="17">
        <f t="array" ref="K692">IF(ROW(K692)&lt;=COUNTA(E:E)*2,IF(MOD(ROW(K692),2)=1,INDEX(E:E,(ROW(K692)+1)/2),INDEX(G:G,ROW(K692)/2)),"")</f>
        <v>49</v>
      </c>
    </row>
    <row r="693" spans="1:11" x14ac:dyDescent="0.25">
      <c r="A693" s="17"/>
      <c r="B693" s="17"/>
      <c r="J693" s="17">
        <f t="array" ref="J693">IF(ROW(J693)&lt;=COUNTA(D:D)*2,IF(MOD(ROW(J693),2)=1,INDEX(D:D,(ROW(J693)+1)/2),INDEX(F:F,ROW(J693)/2)),"")</f>
        <v>0</v>
      </c>
      <c r="K693" s="17">
        <f t="array" ref="K693">IF(ROW(K693)&lt;=COUNTA(E:E)*2,IF(MOD(ROW(K693),2)=1,INDEX(E:E,(ROW(K693)+1)/2),INDEX(G:G,ROW(K693)/2)),"")</f>
        <v>49</v>
      </c>
    </row>
    <row r="694" spans="1:11" x14ac:dyDescent="0.25">
      <c r="A694" s="17"/>
      <c r="B694" s="17"/>
      <c r="J694" s="17">
        <f t="array" ref="J694">IF(ROW(J694)&lt;=COUNTA(D:D)*2,IF(MOD(ROW(J694),2)=1,INDEX(D:D,(ROW(J694)+1)/2),INDEX(F:F,ROW(J694)/2)),"")</f>
        <v>0</v>
      </c>
      <c r="K694" s="17">
        <f t="array" ref="K694">IF(ROW(K694)&lt;=COUNTA(E:E)*2,IF(MOD(ROW(K694),2)=1,INDEX(E:E,(ROW(K694)+1)/2),INDEX(G:G,ROW(K694)/2)),"")</f>
        <v>49</v>
      </c>
    </row>
    <row r="695" spans="1:11" x14ac:dyDescent="0.25">
      <c r="A695" s="17"/>
      <c r="B695" s="17"/>
      <c r="J695" s="17">
        <f t="array" ref="J695">IF(ROW(J695)&lt;=COUNTA(D:D)*2,IF(MOD(ROW(J695),2)=1,INDEX(D:D,(ROW(J695)+1)/2),INDEX(F:F,ROW(J695)/2)),"")</f>
        <v>0</v>
      </c>
      <c r="K695" s="17">
        <f t="array" ref="K695">IF(ROW(K695)&lt;=COUNTA(E:E)*2,IF(MOD(ROW(K695),2)=1,INDEX(E:E,(ROW(K695)+1)/2),INDEX(G:G,ROW(K695)/2)),"")</f>
        <v>49</v>
      </c>
    </row>
    <row r="696" spans="1:11" x14ac:dyDescent="0.25">
      <c r="A696" s="17"/>
      <c r="B696" s="17"/>
      <c r="J696" s="17">
        <f t="array" ref="J696">IF(ROW(J696)&lt;=COUNTA(D:D)*2,IF(MOD(ROW(J696),2)=1,INDEX(D:D,(ROW(J696)+1)/2),INDEX(F:F,ROW(J696)/2)),"")</f>
        <v>0</v>
      </c>
      <c r="K696" s="17">
        <f t="array" ref="K696">IF(ROW(K696)&lt;=COUNTA(E:E)*2,IF(MOD(ROW(K696),2)=1,INDEX(E:E,(ROW(K696)+1)/2),INDEX(G:G,ROW(K696)/2)),"")</f>
        <v>49</v>
      </c>
    </row>
    <row r="697" spans="1:11" x14ac:dyDescent="0.25">
      <c r="A697" s="17"/>
      <c r="B697" s="17"/>
      <c r="J697" s="17">
        <f t="array" ref="J697">IF(ROW(J697)&lt;=COUNTA(D:D)*2,IF(MOD(ROW(J697),2)=1,INDEX(D:D,(ROW(J697)+1)/2),INDEX(F:F,ROW(J697)/2)),"")</f>
        <v>0</v>
      </c>
      <c r="K697" s="17">
        <f t="array" ref="K697">IF(ROW(K697)&lt;=COUNTA(E:E)*2,IF(MOD(ROW(K697),2)=1,INDEX(E:E,(ROW(K697)+1)/2),INDEX(G:G,ROW(K697)/2)),"")</f>
        <v>49</v>
      </c>
    </row>
    <row r="698" spans="1:11" x14ac:dyDescent="0.25">
      <c r="A698" s="17"/>
      <c r="B698" s="17"/>
      <c r="J698" s="17">
        <f t="array" ref="J698">IF(ROW(J698)&lt;=COUNTA(D:D)*2,IF(MOD(ROW(J698),2)=1,INDEX(D:D,(ROW(J698)+1)/2),INDEX(F:F,ROW(J698)/2)),"")</f>
        <v>0</v>
      </c>
      <c r="K698" s="17">
        <f t="array" ref="K698">IF(ROW(K698)&lt;=COUNTA(E:E)*2,IF(MOD(ROW(K698),2)=1,INDEX(E:E,(ROW(K698)+1)/2),INDEX(G:G,ROW(K698)/2)),"")</f>
        <v>49</v>
      </c>
    </row>
    <row r="699" spans="1:11" x14ac:dyDescent="0.25">
      <c r="A699" s="17"/>
      <c r="B699" s="17"/>
      <c r="J699" s="17">
        <f t="array" ref="J699">IF(ROW(J699)&lt;=COUNTA(D:D)*2,IF(MOD(ROW(J699),2)=1,INDEX(D:D,(ROW(J699)+1)/2),INDEX(F:F,ROW(J699)/2)),"")</f>
        <v>0</v>
      </c>
      <c r="K699" s="17">
        <f t="array" ref="K699">IF(ROW(K699)&lt;=COUNTA(E:E)*2,IF(MOD(ROW(K699),2)=1,INDEX(E:E,(ROW(K699)+1)/2),INDEX(G:G,ROW(K699)/2)),"")</f>
        <v>49</v>
      </c>
    </row>
    <row r="700" spans="1:11" x14ac:dyDescent="0.25">
      <c r="A700" s="17"/>
      <c r="B700" s="17"/>
      <c r="J700" s="17">
        <f t="array" ref="J700">IF(ROW(J700)&lt;=COUNTA(D:D)*2,IF(MOD(ROW(J700),2)=1,INDEX(D:D,(ROW(J700)+1)/2),INDEX(F:F,ROW(J700)/2)),"")</f>
        <v>0</v>
      </c>
      <c r="K700" s="17">
        <f t="array" ref="K700">IF(ROW(K700)&lt;=COUNTA(E:E)*2,IF(MOD(ROW(K700),2)=1,INDEX(E:E,(ROW(K700)+1)/2),INDEX(G:G,ROW(K700)/2)),"")</f>
        <v>49</v>
      </c>
    </row>
    <row r="701" spans="1:11" x14ac:dyDescent="0.25">
      <c r="A701" s="17"/>
      <c r="B701" s="17"/>
      <c r="J701" s="17">
        <f t="array" ref="J701">IF(ROW(J701)&lt;=COUNTA(D:D)*2,IF(MOD(ROW(J701),2)=1,INDEX(D:D,(ROW(J701)+1)/2),INDEX(F:F,ROW(J701)/2)),"")</f>
        <v>0</v>
      </c>
      <c r="K701" s="17">
        <f t="array" ref="K701">IF(ROW(K701)&lt;=COUNTA(E:E)*2,IF(MOD(ROW(K701),2)=1,INDEX(E:E,(ROW(K701)+1)/2),INDEX(G:G,ROW(K701)/2)),"")</f>
        <v>49</v>
      </c>
    </row>
    <row r="702" spans="1:11" x14ac:dyDescent="0.25">
      <c r="A702" s="17"/>
      <c r="B702" s="17"/>
      <c r="J702" s="17">
        <f t="array" ref="J702">IF(ROW(J702)&lt;=COUNTA(D:D)*2,IF(MOD(ROW(J702),2)=1,INDEX(D:D,(ROW(J702)+1)/2),INDEX(F:F,ROW(J702)/2)),"")</f>
        <v>0</v>
      </c>
      <c r="K702" s="17">
        <f t="array" ref="K702">IF(ROW(K702)&lt;=COUNTA(E:E)*2,IF(MOD(ROW(K702),2)=1,INDEX(E:E,(ROW(K702)+1)/2),INDEX(G:G,ROW(K702)/2)),"")</f>
        <v>49</v>
      </c>
    </row>
    <row r="703" spans="1:11" x14ac:dyDescent="0.25">
      <c r="A703" s="17"/>
      <c r="B703" s="17"/>
      <c r="J703" s="17">
        <f t="array" ref="J703">IF(ROW(J703)&lt;=COUNTA(D:D)*2,IF(MOD(ROW(J703),2)=1,INDEX(D:D,(ROW(J703)+1)/2),INDEX(F:F,ROW(J703)/2)),"")</f>
        <v>0</v>
      </c>
      <c r="K703" s="17">
        <f t="array" ref="K703">IF(ROW(K703)&lt;=COUNTA(E:E)*2,IF(MOD(ROW(K703),2)=1,INDEX(E:E,(ROW(K703)+1)/2),INDEX(G:G,ROW(K703)/2)),"")</f>
        <v>49</v>
      </c>
    </row>
    <row r="704" spans="1:11" x14ac:dyDescent="0.25">
      <c r="A704" s="17"/>
      <c r="B704" s="17"/>
      <c r="J704" s="17">
        <f t="array" ref="J704">IF(ROW(J704)&lt;=COUNTA(D:D)*2,IF(MOD(ROW(J704),2)=1,INDEX(D:D,(ROW(J704)+1)/2),INDEX(F:F,ROW(J704)/2)),"")</f>
        <v>0</v>
      </c>
      <c r="K704" s="17">
        <f t="array" ref="K704">IF(ROW(K704)&lt;=COUNTA(E:E)*2,IF(MOD(ROW(K704),2)=1,INDEX(E:E,(ROW(K704)+1)/2),INDEX(G:G,ROW(K704)/2)),"")</f>
        <v>49</v>
      </c>
    </row>
    <row r="705" spans="1:11" x14ac:dyDescent="0.25">
      <c r="A705" s="17"/>
      <c r="B705" s="17"/>
      <c r="J705" s="17">
        <f t="array" ref="J705">IF(ROW(J705)&lt;=COUNTA(D:D)*2,IF(MOD(ROW(J705),2)=1,INDEX(D:D,(ROW(J705)+1)/2),INDEX(F:F,ROW(J705)/2)),"")</f>
        <v>0</v>
      </c>
      <c r="K705" s="17">
        <f t="array" ref="K705">IF(ROW(K705)&lt;=COUNTA(E:E)*2,IF(MOD(ROW(K705),2)=1,INDEX(E:E,(ROW(K705)+1)/2),INDEX(G:G,ROW(K705)/2)),"")</f>
        <v>49</v>
      </c>
    </row>
    <row r="706" spans="1:11" x14ac:dyDescent="0.25">
      <c r="A706" s="17"/>
      <c r="B706" s="17"/>
      <c r="J706" s="17">
        <f t="array" ref="J706">IF(ROW(J706)&lt;=COUNTA(D:D)*2,IF(MOD(ROW(J706),2)=1,INDEX(D:D,(ROW(J706)+1)/2),INDEX(F:F,ROW(J706)/2)),"")</f>
        <v>0</v>
      </c>
      <c r="K706" s="17">
        <f t="array" ref="K706">IF(ROW(K706)&lt;=COUNTA(E:E)*2,IF(MOD(ROW(K706),2)=1,INDEX(E:E,(ROW(K706)+1)/2),INDEX(G:G,ROW(K706)/2)),"")</f>
        <v>49</v>
      </c>
    </row>
    <row r="707" spans="1:11" x14ac:dyDescent="0.25">
      <c r="A707" s="17"/>
      <c r="B707" s="17"/>
      <c r="J707" s="17">
        <f t="array" ref="J707">IF(ROW(J707)&lt;=COUNTA(D:D)*2,IF(MOD(ROW(J707),2)=1,INDEX(D:D,(ROW(J707)+1)/2),INDEX(F:F,ROW(J707)/2)),"")</f>
        <v>0</v>
      </c>
      <c r="K707" s="17">
        <f t="array" ref="K707">IF(ROW(K707)&lt;=COUNTA(E:E)*2,IF(MOD(ROW(K707),2)=1,INDEX(E:E,(ROW(K707)+1)/2),INDEX(G:G,ROW(K707)/2)),"")</f>
        <v>49</v>
      </c>
    </row>
    <row r="708" spans="1:11" x14ac:dyDescent="0.25">
      <c r="A708" s="17"/>
      <c r="B708" s="17"/>
      <c r="J708" s="17">
        <f t="array" ref="J708">IF(ROW(J708)&lt;=COUNTA(D:D)*2,IF(MOD(ROW(J708),2)=1,INDEX(D:D,(ROW(J708)+1)/2),INDEX(F:F,ROW(J708)/2)),"")</f>
        <v>0</v>
      </c>
      <c r="K708" s="17">
        <f t="array" ref="K708">IF(ROW(K708)&lt;=COUNTA(E:E)*2,IF(MOD(ROW(K708),2)=1,INDEX(E:E,(ROW(K708)+1)/2),INDEX(G:G,ROW(K708)/2)),"")</f>
        <v>49</v>
      </c>
    </row>
    <row r="709" spans="1:11" x14ac:dyDescent="0.25">
      <c r="A709" s="17"/>
      <c r="B709" s="17"/>
      <c r="J709" s="17">
        <f t="array" ref="J709">IF(ROW(J709)&lt;=COUNTA(D:D)*2,IF(MOD(ROW(J709),2)=1,INDEX(D:D,(ROW(J709)+1)/2),INDEX(F:F,ROW(J709)/2)),"")</f>
        <v>0</v>
      </c>
      <c r="K709" s="17">
        <f t="array" ref="K709">IF(ROW(K709)&lt;=COUNTA(E:E)*2,IF(MOD(ROW(K709),2)=1,INDEX(E:E,(ROW(K709)+1)/2),INDEX(G:G,ROW(K709)/2)),"")</f>
        <v>49</v>
      </c>
    </row>
    <row r="710" spans="1:11" x14ac:dyDescent="0.25">
      <c r="A710" s="17"/>
      <c r="B710" s="17"/>
      <c r="J710" s="17">
        <f t="array" ref="J710">IF(ROW(J710)&lt;=COUNTA(D:D)*2,IF(MOD(ROW(J710),2)=1,INDEX(D:D,(ROW(J710)+1)/2),INDEX(F:F,ROW(J710)/2)),"")</f>
        <v>0</v>
      </c>
      <c r="K710" s="17">
        <f t="array" ref="K710">IF(ROW(K710)&lt;=COUNTA(E:E)*2,IF(MOD(ROW(K710),2)=1,INDEX(E:E,(ROW(K710)+1)/2),INDEX(G:G,ROW(K710)/2)),"")</f>
        <v>49</v>
      </c>
    </row>
    <row r="711" spans="1:11" x14ac:dyDescent="0.25">
      <c r="A711" s="17"/>
      <c r="B711" s="17"/>
      <c r="J711" s="17">
        <f t="array" ref="J711">IF(ROW(J711)&lt;=COUNTA(D:D)*2,IF(MOD(ROW(J711),2)=1,INDEX(D:D,(ROW(J711)+1)/2),INDEX(F:F,ROW(J711)/2)),"")</f>
        <v>0</v>
      </c>
      <c r="K711" s="17">
        <f t="array" ref="K711">IF(ROW(K711)&lt;=COUNTA(E:E)*2,IF(MOD(ROW(K711),2)=1,INDEX(E:E,(ROW(K711)+1)/2),INDEX(G:G,ROW(K711)/2)),"")</f>
        <v>49</v>
      </c>
    </row>
    <row r="712" spans="1:11" x14ac:dyDescent="0.25">
      <c r="A712" s="17"/>
      <c r="B712" s="17"/>
      <c r="J712" s="17">
        <f t="array" ref="J712">IF(ROW(J712)&lt;=COUNTA(D:D)*2,IF(MOD(ROW(J712),2)=1,INDEX(D:D,(ROW(J712)+1)/2),INDEX(F:F,ROW(J712)/2)),"")</f>
        <v>0</v>
      </c>
      <c r="K712" s="17">
        <f t="array" ref="K712">IF(ROW(K712)&lt;=COUNTA(E:E)*2,IF(MOD(ROW(K712),2)=1,INDEX(E:E,(ROW(K712)+1)/2),INDEX(G:G,ROW(K712)/2)),"")</f>
        <v>49</v>
      </c>
    </row>
    <row r="713" spans="1:11" x14ac:dyDescent="0.25">
      <c r="A713" s="17"/>
      <c r="B713" s="17"/>
      <c r="J713" s="17">
        <f t="array" ref="J713">IF(ROW(J713)&lt;=COUNTA(D:D)*2,IF(MOD(ROW(J713),2)=1,INDEX(D:D,(ROW(J713)+1)/2),INDEX(F:F,ROW(J713)/2)),"")</f>
        <v>0</v>
      </c>
      <c r="K713" s="17">
        <f t="array" ref="K713">IF(ROW(K713)&lt;=COUNTA(E:E)*2,IF(MOD(ROW(K713),2)=1,INDEX(E:E,(ROW(K713)+1)/2),INDEX(G:G,ROW(K713)/2)),"")</f>
        <v>49</v>
      </c>
    </row>
    <row r="714" spans="1:11" x14ac:dyDescent="0.25">
      <c r="A714" s="17"/>
      <c r="B714" s="17"/>
      <c r="J714" s="17">
        <f t="array" ref="J714">IF(ROW(J714)&lt;=COUNTA(D:D)*2,IF(MOD(ROW(J714),2)=1,INDEX(D:D,(ROW(J714)+1)/2),INDEX(F:F,ROW(J714)/2)),"")</f>
        <v>0</v>
      </c>
      <c r="K714" s="17">
        <f t="array" ref="K714">IF(ROW(K714)&lt;=COUNTA(E:E)*2,IF(MOD(ROW(K714),2)=1,INDEX(E:E,(ROW(K714)+1)/2),INDEX(G:G,ROW(K714)/2)),"")</f>
        <v>49</v>
      </c>
    </row>
    <row r="715" spans="1:11" x14ac:dyDescent="0.25">
      <c r="A715" s="17"/>
      <c r="B715" s="17"/>
      <c r="J715" s="17">
        <f t="array" ref="J715">IF(ROW(J715)&lt;=COUNTA(D:D)*2,IF(MOD(ROW(J715),2)=1,INDEX(D:D,(ROW(J715)+1)/2),INDEX(F:F,ROW(J715)/2)),"")</f>
        <v>0</v>
      </c>
      <c r="K715" s="17">
        <f t="array" ref="K715">IF(ROW(K715)&lt;=COUNTA(E:E)*2,IF(MOD(ROW(K715),2)=1,INDEX(E:E,(ROW(K715)+1)/2),INDEX(G:G,ROW(K715)/2)),"")</f>
        <v>49</v>
      </c>
    </row>
    <row r="716" spans="1:11" x14ac:dyDescent="0.25">
      <c r="A716" s="17"/>
      <c r="B716" s="17"/>
      <c r="J716" s="17">
        <f t="array" ref="J716">IF(ROW(J716)&lt;=COUNTA(D:D)*2,IF(MOD(ROW(J716),2)=1,INDEX(D:D,(ROW(J716)+1)/2),INDEX(F:F,ROW(J716)/2)),"")</f>
        <v>0</v>
      </c>
      <c r="K716" s="17">
        <f t="array" ref="K716">IF(ROW(K716)&lt;=COUNTA(E:E)*2,IF(MOD(ROW(K716),2)=1,INDEX(E:E,(ROW(K716)+1)/2),INDEX(G:G,ROW(K716)/2)),"")</f>
        <v>49</v>
      </c>
    </row>
    <row r="717" spans="1:11" x14ac:dyDescent="0.25">
      <c r="A717" s="17"/>
      <c r="B717" s="17"/>
      <c r="J717" s="17">
        <f t="array" ref="J717">IF(ROW(J717)&lt;=COUNTA(D:D)*2,IF(MOD(ROW(J717),2)=1,INDEX(D:D,(ROW(J717)+1)/2),INDEX(F:F,ROW(J717)/2)),"")</f>
        <v>0</v>
      </c>
      <c r="K717" s="17">
        <f t="array" ref="K717">IF(ROW(K717)&lt;=COUNTA(E:E)*2,IF(MOD(ROW(K717),2)=1,INDEX(E:E,(ROW(K717)+1)/2),INDEX(G:G,ROW(K717)/2)),"")</f>
        <v>49</v>
      </c>
    </row>
    <row r="718" spans="1:11" x14ac:dyDescent="0.25">
      <c r="A718" s="17"/>
      <c r="B718" s="17"/>
      <c r="J718" s="17">
        <f t="array" ref="J718">IF(ROW(J718)&lt;=COUNTA(D:D)*2,IF(MOD(ROW(J718),2)=1,INDEX(D:D,(ROW(J718)+1)/2),INDEX(F:F,ROW(J718)/2)),"")</f>
        <v>0</v>
      </c>
      <c r="K718" s="17">
        <f t="array" ref="K718">IF(ROW(K718)&lt;=COUNTA(E:E)*2,IF(MOD(ROW(K718),2)=1,INDEX(E:E,(ROW(K718)+1)/2),INDEX(G:G,ROW(K718)/2)),"")</f>
        <v>49</v>
      </c>
    </row>
    <row r="719" spans="1:11" x14ac:dyDescent="0.25">
      <c r="A719" s="17"/>
      <c r="B719" s="17"/>
      <c r="J719" s="17">
        <f t="array" ref="J719">IF(ROW(J719)&lt;=COUNTA(D:D)*2,IF(MOD(ROW(J719),2)=1,INDEX(D:D,(ROW(J719)+1)/2),INDEX(F:F,ROW(J719)/2)),"")</f>
        <v>0</v>
      </c>
      <c r="K719" s="17">
        <f t="array" ref="K719">IF(ROW(K719)&lt;=COUNTA(E:E)*2,IF(MOD(ROW(K719),2)=1,INDEX(E:E,(ROW(K719)+1)/2),INDEX(G:G,ROW(K719)/2)),"")</f>
        <v>49</v>
      </c>
    </row>
    <row r="720" spans="1:11" x14ac:dyDescent="0.25">
      <c r="A720" s="17"/>
      <c r="B720" s="17"/>
      <c r="J720" s="17">
        <f t="array" ref="J720">IF(ROW(J720)&lt;=COUNTA(D:D)*2,IF(MOD(ROW(J720),2)=1,INDEX(D:D,(ROW(J720)+1)/2),INDEX(F:F,ROW(J720)/2)),"")</f>
        <v>0</v>
      </c>
      <c r="K720" s="17">
        <f t="array" ref="K720">IF(ROW(K720)&lt;=COUNTA(E:E)*2,IF(MOD(ROW(K720),2)=1,INDEX(E:E,(ROW(K720)+1)/2),INDEX(G:G,ROW(K720)/2)),"")</f>
        <v>49</v>
      </c>
    </row>
    <row r="721" spans="1:11" x14ac:dyDescent="0.25">
      <c r="A721" s="17"/>
      <c r="B721" s="17"/>
      <c r="J721" s="17">
        <f t="array" ref="J721">IF(ROW(J721)&lt;=COUNTA(D:D)*2,IF(MOD(ROW(J721),2)=1,INDEX(D:D,(ROW(J721)+1)/2),INDEX(F:F,ROW(J721)/2)),"")</f>
        <v>0</v>
      </c>
      <c r="K721" s="17">
        <f t="array" ref="K721">IF(ROW(K721)&lt;=COUNTA(E:E)*2,IF(MOD(ROW(K721),2)=1,INDEX(E:E,(ROW(K721)+1)/2),INDEX(G:G,ROW(K721)/2)),"")</f>
        <v>49</v>
      </c>
    </row>
    <row r="722" spans="1:11" x14ac:dyDescent="0.25">
      <c r="A722" s="17"/>
      <c r="B722" s="17"/>
      <c r="J722" s="17">
        <f t="array" ref="J722">IF(ROW(J722)&lt;=COUNTA(D:D)*2,IF(MOD(ROW(J722),2)=1,INDEX(D:D,(ROW(J722)+1)/2),INDEX(F:F,ROW(J722)/2)),"")</f>
        <v>0</v>
      </c>
      <c r="K722" s="17">
        <f t="array" ref="K722">IF(ROW(K722)&lt;=COUNTA(E:E)*2,IF(MOD(ROW(K722),2)=1,INDEX(E:E,(ROW(K722)+1)/2),INDEX(G:G,ROW(K722)/2)),"")</f>
        <v>49</v>
      </c>
    </row>
    <row r="723" spans="1:11" x14ac:dyDescent="0.25">
      <c r="A723" s="17"/>
      <c r="B723" s="17"/>
      <c r="J723" s="17">
        <f t="array" ref="J723">IF(ROW(J723)&lt;=COUNTA(D:D)*2,IF(MOD(ROW(J723),2)=1,INDEX(D:D,(ROW(J723)+1)/2),INDEX(F:F,ROW(J723)/2)),"")</f>
        <v>0</v>
      </c>
      <c r="K723" s="17">
        <f t="array" ref="K723">IF(ROW(K723)&lt;=COUNTA(E:E)*2,IF(MOD(ROW(K723),2)=1,INDEX(E:E,(ROW(K723)+1)/2),INDEX(G:G,ROW(K723)/2)),"")</f>
        <v>49</v>
      </c>
    </row>
    <row r="724" spans="1:11" x14ac:dyDescent="0.25">
      <c r="A724" s="17"/>
      <c r="B724" s="17"/>
      <c r="J724" s="17">
        <f t="array" ref="J724">IF(ROW(J724)&lt;=COUNTA(D:D)*2,IF(MOD(ROW(J724),2)=1,INDEX(D:D,(ROW(J724)+1)/2),INDEX(F:F,ROW(J724)/2)),"")</f>
        <v>0</v>
      </c>
      <c r="K724" s="17">
        <f t="array" ref="K724">IF(ROW(K724)&lt;=COUNTA(E:E)*2,IF(MOD(ROW(K724),2)=1,INDEX(E:E,(ROW(K724)+1)/2),INDEX(G:G,ROW(K724)/2)),"")</f>
        <v>49</v>
      </c>
    </row>
    <row r="725" spans="1:11" x14ac:dyDescent="0.25">
      <c r="A725" s="17"/>
      <c r="B725" s="17"/>
      <c r="J725" s="17">
        <f t="array" ref="J725">IF(ROW(J725)&lt;=COUNTA(D:D)*2,IF(MOD(ROW(J725),2)=1,INDEX(D:D,(ROW(J725)+1)/2),INDEX(F:F,ROW(J725)/2)),"")</f>
        <v>0</v>
      </c>
      <c r="K725" s="17">
        <f t="array" ref="K725">IF(ROW(K725)&lt;=COUNTA(E:E)*2,IF(MOD(ROW(K725),2)=1,INDEX(E:E,(ROW(K725)+1)/2),INDEX(G:G,ROW(K725)/2)),"")</f>
        <v>49</v>
      </c>
    </row>
    <row r="726" spans="1:11" x14ac:dyDescent="0.25">
      <c r="A726" s="17"/>
      <c r="B726" s="17"/>
      <c r="J726" s="17">
        <f t="array" ref="J726">IF(ROW(J726)&lt;=COUNTA(D:D)*2,IF(MOD(ROW(J726),2)=1,INDEX(D:D,(ROW(J726)+1)/2),INDEX(F:F,ROW(J726)/2)),"")</f>
        <v>0</v>
      </c>
      <c r="K726" s="17">
        <f t="array" ref="K726">IF(ROW(K726)&lt;=COUNTA(E:E)*2,IF(MOD(ROW(K726),2)=1,INDEX(E:E,(ROW(K726)+1)/2),INDEX(G:G,ROW(K726)/2)),"")</f>
        <v>49</v>
      </c>
    </row>
    <row r="727" spans="1:11" x14ac:dyDescent="0.25">
      <c r="A727" s="17"/>
      <c r="B727" s="17"/>
      <c r="J727" s="17">
        <f t="array" ref="J727">IF(ROW(J727)&lt;=COUNTA(D:D)*2,IF(MOD(ROW(J727),2)=1,INDEX(D:D,(ROW(J727)+1)/2),INDEX(F:F,ROW(J727)/2)),"")</f>
        <v>0</v>
      </c>
      <c r="K727" s="17">
        <f t="array" ref="K727">IF(ROW(K727)&lt;=COUNTA(E:E)*2,IF(MOD(ROW(K727),2)=1,INDEX(E:E,(ROW(K727)+1)/2),INDEX(G:G,ROW(K727)/2)),"")</f>
        <v>49</v>
      </c>
    </row>
    <row r="728" spans="1:11" x14ac:dyDescent="0.25">
      <c r="A728" s="17"/>
      <c r="B728" s="17"/>
      <c r="J728" s="17">
        <f t="array" ref="J728">IF(ROW(J728)&lt;=COUNTA(D:D)*2,IF(MOD(ROW(J728),2)=1,INDEX(D:D,(ROW(J728)+1)/2),INDEX(F:F,ROW(J728)/2)),"")</f>
        <v>0</v>
      </c>
      <c r="K728" s="17">
        <f t="array" ref="K728">IF(ROW(K728)&lt;=COUNTA(E:E)*2,IF(MOD(ROW(K728),2)=1,INDEX(E:E,(ROW(K728)+1)/2),INDEX(G:G,ROW(K728)/2)),"")</f>
        <v>49</v>
      </c>
    </row>
    <row r="729" spans="1:11" x14ac:dyDescent="0.25">
      <c r="A729" s="17"/>
      <c r="B729" s="17"/>
      <c r="J729" s="17">
        <f t="array" ref="J729">IF(ROW(J729)&lt;=COUNTA(D:D)*2,IF(MOD(ROW(J729),2)=1,INDEX(D:D,(ROW(J729)+1)/2),INDEX(F:F,ROW(J729)/2)),"")</f>
        <v>0</v>
      </c>
      <c r="K729" s="17">
        <f t="array" ref="K729">IF(ROW(K729)&lt;=COUNTA(E:E)*2,IF(MOD(ROW(K729),2)=1,INDEX(E:E,(ROW(K729)+1)/2),INDEX(G:G,ROW(K729)/2)),"")</f>
        <v>49</v>
      </c>
    </row>
    <row r="730" spans="1:11" x14ac:dyDescent="0.25">
      <c r="A730" s="17"/>
      <c r="B730" s="17"/>
      <c r="J730" s="17">
        <f t="array" ref="J730">IF(ROW(J730)&lt;=COUNTA(D:D)*2,IF(MOD(ROW(J730),2)=1,INDEX(D:D,(ROW(J730)+1)/2),INDEX(F:F,ROW(J730)/2)),"")</f>
        <v>0</v>
      </c>
      <c r="K730" s="17">
        <f t="array" ref="K730">IF(ROW(K730)&lt;=COUNTA(E:E)*2,IF(MOD(ROW(K730),2)=1,INDEX(E:E,(ROW(K730)+1)/2),INDEX(G:G,ROW(K730)/2)),"")</f>
        <v>49</v>
      </c>
    </row>
    <row r="731" spans="1:11" x14ac:dyDescent="0.25">
      <c r="A731" s="17"/>
      <c r="B731" s="17"/>
      <c r="J731" s="17">
        <f t="array" ref="J731">IF(ROW(J731)&lt;=COUNTA(D:D)*2,IF(MOD(ROW(J731),2)=1,INDEX(D:D,(ROW(J731)+1)/2),INDEX(F:F,ROW(J731)/2)),"")</f>
        <v>0</v>
      </c>
      <c r="K731" s="17">
        <f t="array" ref="K731">IF(ROW(K731)&lt;=COUNTA(E:E)*2,IF(MOD(ROW(K731),2)=1,INDEX(E:E,(ROW(K731)+1)/2),INDEX(G:G,ROW(K731)/2)),"")</f>
        <v>49</v>
      </c>
    </row>
    <row r="732" spans="1:11" x14ac:dyDescent="0.25">
      <c r="A732" s="17"/>
      <c r="B732" s="17"/>
      <c r="J732" s="17">
        <f t="array" ref="J732">IF(ROW(J732)&lt;=COUNTA(D:D)*2,IF(MOD(ROW(J732),2)=1,INDEX(D:D,(ROW(J732)+1)/2),INDEX(F:F,ROW(J732)/2)),"")</f>
        <v>0</v>
      </c>
      <c r="K732" s="17">
        <f t="array" ref="K732">IF(ROW(K732)&lt;=COUNTA(E:E)*2,IF(MOD(ROW(K732),2)=1,INDEX(E:E,(ROW(K732)+1)/2),INDEX(G:G,ROW(K732)/2)),"")</f>
        <v>49</v>
      </c>
    </row>
    <row r="733" spans="1:11" x14ac:dyDescent="0.25">
      <c r="A733" s="17"/>
      <c r="B733" s="17"/>
      <c r="J733" s="17">
        <f t="array" ref="J733">IF(ROW(J733)&lt;=COUNTA(D:D)*2,IF(MOD(ROW(J733),2)=1,INDEX(D:D,(ROW(J733)+1)/2),INDEX(F:F,ROW(J733)/2)),"")</f>
        <v>0</v>
      </c>
      <c r="K733" s="17">
        <f t="array" ref="K733">IF(ROW(K733)&lt;=COUNTA(E:E)*2,IF(MOD(ROW(K733),2)=1,INDEX(E:E,(ROW(K733)+1)/2),INDEX(G:G,ROW(K733)/2)),"")</f>
        <v>49</v>
      </c>
    </row>
    <row r="734" spans="1:11" x14ac:dyDescent="0.25">
      <c r="A734" s="17"/>
      <c r="B734" s="17"/>
      <c r="J734" s="17">
        <f t="array" ref="J734">IF(ROW(J734)&lt;=COUNTA(D:D)*2,IF(MOD(ROW(J734),2)=1,INDEX(D:D,(ROW(J734)+1)/2),INDEX(F:F,ROW(J734)/2)),"")</f>
        <v>0</v>
      </c>
      <c r="K734" s="17">
        <f t="array" ref="K734">IF(ROW(K734)&lt;=COUNTA(E:E)*2,IF(MOD(ROW(K734),2)=1,INDEX(E:E,(ROW(K734)+1)/2),INDEX(G:G,ROW(K734)/2)),"")</f>
        <v>49</v>
      </c>
    </row>
    <row r="735" spans="1:11" x14ac:dyDescent="0.25">
      <c r="A735" s="17"/>
      <c r="B735" s="17"/>
      <c r="J735" s="17">
        <f t="array" ref="J735">IF(ROW(J735)&lt;=COUNTA(D:D)*2,IF(MOD(ROW(J735),2)=1,INDEX(D:D,(ROW(J735)+1)/2),INDEX(F:F,ROW(J735)/2)),"")</f>
        <v>0</v>
      </c>
      <c r="K735" s="17">
        <f t="array" ref="K735">IF(ROW(K735)&lt;=COUNTA(E:E)*2,IF(MOD(ROW(K735),2)=1,INDEX(E:E,(ROW(K735)+1)/2),INDEX(G:G,ROW(K735)/2)),"")</f>
        <v>49</v>
      </c>
    </row>
    <row r="736" spans="1:11" x14ac:dyDescent="0.25">
      <c r="A736" s="17"/>
      <c r="B736" s="17"/>
      <c r="J736" s="17">
        <f t="array" ref="J736">IF(ROW(J736)&lt;=COUNTA(D:D)*2,IF(MOD(ROW(J736),2)=1,INDEX(D:D,(ROW(J736)+1)/2),INDEX(F:F,ROW(J736)/2)),"")</f>
        <v>0</v>
      </c>
      <c r="K736" s="17">
        <f t="array" ref="K736">IF(ROW(K736)&lt;=COUNTA(E:E)*2,IF(MOD(ROW(K736),2)=1,INDEX(E:E,(ROW(K736)+1)/2),INDEX(G:G,ROW(K736)/2)),"")</f>
        <v>49</v>
      </c>
    </row>
    <row r="737" spans="1:11" x14ac:dyDescent="0.25">
      <c r="A737" s="17"/>
      <c r="B737" s="17"/>
      <c r="J737" s="17">
        <f t="array" ref="J737">IF(ROW(J737)&lt;=COUNTA(D:D)*2,IF(MOD(ROW(J737),2)=1,INDEX(D:D,(ROW(J737)+1)/2),INDEX(F:F,ROW(J737)/2)),"")</f>
        <v>0</v>
      </c>
      <c r="K737" s="17">
        <f t="array" ref="K737">IF(ROW(K737)&lt;=COUNTA(E:E)*2,IF(MOD(ROW(K737),2)=1,INDEX(E:E,(ROW(K737)+1)/2),INDEX(G:G,ROW(K737)/2)),"")</f>
        <v>49</v>
      </c>
    </row>
    <row r="738" spans="1:11" x14ac:dyDescent="0.25">
      <c r="A738" s="17"/>
      <c r="B738" s="17"/>
      <c r="J738" s="17">
        <f t="array" ref="J738">IF(ROW(J738)&lt;=COUNTA(D:D)*2,IF(MOD(ROW(J738),2)=1,INDEX(D:D,(ROW(J738)+1)/2),INDEX(F:F,ROW(J738)/2)),"")</f>
        <v>0</v>
      </c>
      <c r="K738" s="17">
        <f t="array" ref="K738">IF(ROW(K738)&lt;=COUNTA(E:E)*2,IF(MOD(ROW(K738),2)=1,INDEX(E:E,(ROW(K738)+1)/2),INDEX(G:G,ROW(K738)/2)),"")</f>
        <v>49</v>
      </c>
    </row>
    <row r="739" spans="1:11" x14ac:dyDescent="0.25">
      <c r="A739" s="17"/>
      <c r="B739" s="17"/>
      <c r="J739" s="17">
        <f t="array" ref="J739">IF(ROW(J739)&lt;=COUNTA(D:D)*2,IF(MOD(ROW(J739),2)=1,INDEX(D:D,(ROW(J739)+1)/2),INDEX(F:F,ROW(J739)/2)),"")</f>
        <v>0</v>
      </c>
      <c r="K739" s="17">
        <f t="array" ref="K739">IF(ROW(K739)&lt;=COUNTA(E:E)*2,IF(MOD(ROW(K739),2)=1,INDEX(E:E,(ROW(K739)+1)/2),INDEX(G:G,ROW(K739)/2)),"")</f>
        <v>49</v>
      </c>
    </row>
    <row r="740" spans="1:11" x14ac:dyDescent="0.25">
      <c r="A740" s="17"/>
      <c r="B740" s="17"/>
      <c r="J740" s="17">
        <f t="array" ref="J740">IF(ROW(J740)&lt;=COUNTA(D:D)*2,IF(MOD(ROW(J740),2)=1,INDEX(D:D,(ROW(J740)+1)/2),INDEX(F:F,ROW(J740)/2)),"")</f>
        <v>0</v>
      </c>
      <c r="K740" s="17">
        <f t="array" ref="K740">IF(ROW(K740)&lt;=COUNTA(E:E)*2,IF(MOD(ROW(K740),2)=1,INDEX(E:E,(ROW(K740)+1)/2),INDEX(G:G,ROW(K740)/2)),"")</f>
        <v>49</v>
      </c>
    </row>
    <row r="741" spans="1:11" x14ac:dyDescent="0.25">
      <c r="A741" s="17"/>
      <c r="B741" s="17"/>
      <c r="J741" s="17">
        <f t="array" ref="J741">IF(ROW(J741)&lt;=COUNTA(D:D)*2,IF(MOD(ROW(J741),2)=1,INDEX(D:D,(ROW(J741)+1)/2),INDEX(F:F,ROW(J741)/2)),"")</f>
        <v>0</v>
      </c>
      <c r="K741" s="17">
        <f t="array" ref="K741">IF(ROW(K741)&lt;=COUNTA(E:E)*2,IF(MOD(ROW(K741),2)=1,INDEX(E:E,(ROW(K741)+1)/2),INDEX(G:G,ROW(K741)/2)),"")</f>
        <v>49</v>
      </c>
    </row>
    <row r="742" spans="1:11" x14ac:dyDescent="0.25">
      <c r="A742" s="17"/>
      <c r="B742" s="17"/>
      <c r="J742" s="17">
        <f t="array" ref="J742">IF(ROW(J742)&lt;=COUNTA(D:D)*2,IF(MOD(ROW(J742),2)=1,INDEX(D:D,(ROW(J742)+1)/2),INDEX(F:F,ROW(J742)/2)),"")</f>
        <v>0</v>
      </c>
      <c r="K742" s="17">
        <f t="array" ref="K742">IF(ROW(K742)&lt;=COUNTA(E:E)*2,IF(MOD(ROW(K742),2)=1,INDEX(E:E,(ROW(K742)+1)/2),INDEX(G:G,ROW(K742)/2)),"")</f>
        <v>49</v>
      </c>
    </row>
    <row r="743" spans="1:11" x14ac:dyDescent="0.25">
      <c r="A743" s="17"/>
      <c r="B743" s="17"/>
      <c r="J743" s="17">
        <f t="array" ref="J743">IF(ROW(J743)&lt;=COUNTA(D:D)*2,IF(MOD(ROW(J743),2)=1,INDEX(D:D,(ROW(J743)+1)/2),INDEX(F:F,ROW(J743)/2)),"")</f>
        <v>0</v>
      </c>
      <c r="K743" s="17">
        <f t="array" ref="K743">IF(ROW(K743)&lt;=COUNTA(E:E)*2,IF(MOD(ROW(K743),2)=1,INDEX(E:E,(ROW(K743)+1)/2),INDEX(G:G,ROW(K743)/2)),"")</f>
        <v>49</v>
      </c>
    </row>
    <row r="744" spans="1:11" x14ac:dyDescent="0.25">
      <c r="A744" s="17"/>
      <c r="B744" s="17"/>
      <c r="J744" s="17">
        <f t="array" ref="J744">IF(ROW(J744)&lt;=COUNTA(D:D)*2,IF(MOD(ROW(J744),2)=1,INDEX(D:D,(ROW(J744)+1)/2),INDEX(F:F,ROW(J744)/2)),"")</f>
        <v>0</v>
      </c>
      <c r="K744" s="17">
        <f t="array" ref="K744">IF(ROW(K744)&lt;=COUNTA(E:E)*2,IF(MOD(ROW(K744),2)=1,INDEX(E:E,(ROW(K744)+1)/2),INDEX(G:G,ROW(K744)/2)),"")</f>
        <v>49</v>
      </c>
    </row>
    <row r="745" spans="1:11" x14ac:dyDescent="0.25">
      <c r="A745" s="17"/>
      <c r="B745" s="17"/>
      <c r="J745" s="17">
        <f t="array" ref="J745">IF(ROW(J745)&lt;=COUNTA(D:D)*2,IF(MOD(ROW(J745),2)=1,INDEX(D:D,(ROW(J745)+1)/2),INDEX(F:F,ROW(J745)/2)),"")</f>
        <v>0</v>
      </c>
      <c r="K745" s="17">
        <f t="array" ref="K745">IF(ROW(K745)&lt;=COUNTA(E:E)*2,IF(MOD(ROW(K745),2)=1,INDEX(E:E,(ROW(K745)+1)/2),INDEX(G:G,ROW(K745)/2)),"")</f>
        <v>49</v>
      </c>
    </row>
    <row r="746" spans="1:11" x14ac:dyDescent="0.25">
      <c r="A746" s="17"/>
      <c r="B746" s="17"/>
      <c r="J746" s="17">
        <f t="array" ref="J746">IF(ROW(J746)&lt;=COUNTA(D:D)*2,IF(MOD(ROW(J746),2)=1,INDEX(D:D,(ROW(J746)+1)/2),INDEX(F:F,ROW(J746)/2)),"")</f>
        <v>0</v>
      </c>
      <c r="K746" s="17">
        <f t="array" ref="K746">IF(ROW(K746)&lt;=COUNTA(E:E)*2,IF(MOD(ROW(K746),2)=1,INDEX(E:E,(ROW(K746)+1)/2),INDEX(G:G,ROW(K746)/2)),"")</f>
        <v>49</v>
      </c>
    </row>
    <row r="747" spans="1:11" x14ac:dyDescent="0.25">
      <c r="A747" s="17"/>
      <c r="B747" s="17"/>
      <c r="J747" s="17">
        <f t="array" ref="J747">IF(ROW(J747)&lt;=COUNTA(D:D)*2,IF(MOD(ROW(J747),2)=1,INDEX(D:D,(ROW(J747)+1)/2),INDEX(F:F,ROW(J747)/2)),"")</f>
        <v>0</v>
      </c>
      <c r="K747" s="17">
        <f t="array" ref="K747">IF(ROW(K747)&lt;=COUNTA(E:E)*2,IF(MOD(ROW(K747),2)=1,INDEX(E:E,(ROW(K747)+1)/2),INDEX(G:G,ROW(K747)/2)),"")</f>
        <v>49</v>
      </c>
    </row>
    <row r="748" spans="1:11" x14ac:dyDescent="0.25">
      <c r="A748" s="17"/>
      <c r="B748" s="17"/>
      <c r="J748" s="17">
        <f t="array" ref="J748">IF(ROW(J748)&lt;=COUNTA(D:D)*2,IF(MOD(ROW(J748),2)=1,INDEX(D:D,(ROW(J748)+1)/2),INDEX(F:F,ROW(J748)/2)),"")</f>
        <v>0</v>
      </c>
      <c r="K748" s="17">
        <f t="array" ref="K748">IF(ROW(K748)&lt;=COUNTA(E:E)*2,IF(MOD(ROW(K748),2)=1,INDEX(E:E,(ROW(K748)+1)/2),INDEX(G:G,ROW(K748)/2)),"")</f>
        <v>49</v>
      </c>
    </row>
    <row r="749" spans="1:11" x14ac:dyDescent="0.25">
      <c r="A749" s="17"/>
      <c r="B749" s="17"/>
      <c r="J749" s="17">
        <f t="array" ref="J749">IF(ROW(J749)&lt;=COUNTA(D:D)*2,IF(MOD(ROW(J749),2)=1,INDEX(D:D,(ROW(J749)+1)/2),INDEX(F:F,ROW(J749)/2)),"")</f>
        <v>0</v>
      </c>
      <c r="K749" s="17">
        <f t="array" ref="K749">IF(ROW(K749)&lt;=COUNTA(E:E)*2,IF(MOD(ROW(K749),2)=1,INDEX(E:E,(ROW(K749)+1)/2),INDEX(G:G,ROW(K749)/2)),"")</f>
        <v>49</v>
      </c>
    </row>
    <row r="750" spans="1:11" x14ac:dyDescent="0.25">
      <c r="A750" s="17"/>
      <c r="B750" s="17"/>
      <c r="J750" s="17">
        <f t="array" ref="J750">IF(ROW(J750)&lt;=COUNTA(D:D)*2,IF(MOD(ROW(J750),2)=1,INDEX(D:D,(ROW(J750)+1)/2),INDEX(F:F,ROW(J750)/2)),"")</f>
        <v>0</v>
      </c>
      <c r="K750" s="17">
        <f t="array" ref="K750">IF(ROW(K750)&lt;=COUNTA(E:E)*2,IF(MOD(ROW(K750),2)=1,INDEX(E:E,(ROW(K750)+1)/2),INDEX(G:G,ROW(K750)/2)),"")</f>
        <v>49</v>
      </c>
    </row>
    <row r="751" spans="1:11" x14ac:dyDescent="0.25">
      <c r="A751" s="17"/>
      <c r="B751" s="17"/>
      <c r="J751" s="17">
        <f t="array" ref="J751">IF(ROW(J751)&lt;=COUNTA(D:D)*2,IF(MOD(ROW(J751),2)=1,INDEX(D:D,(ROW(J751)+1)/2),INDEX(F:F,ROW(J751)/2)),"")</f>
        <v>0</v>
      </c>
      <c r="K751" s="17">
        <f t="array" ref="K751">IF(ROW(K751)&lt;=COUNTA(E:E)*2,IF(MOD(ROW(K751),2)=1,INDEX(E:E,(ROW(K751)+1)/2),INDEX(G:G,ROW(K751)/2)),"")</f>
        <v>49</v>
      </c>
    </row>
    <row r="752" spans="1:11" x14ac:dyDescent="0.25">
      <c r="A752" s="17"/>
      <c r="B752" s="17"/>
      <c r="J752" s="17">
        <f t="array" ref="J752">IF(ROW(J752)&lt;=COUNTA(D:D)*2,IF(MOD(ROW(J752),2)=1,INDEX(D:D,(ROW(J752)+1)/2),INDEX(F:F,ROW(J752)/2)),"")</f>
        <v>0</v>
      </c>
      <c r="K752" s="17">
        <f t="array" ref="K752">IF(ROW(K752)&lt;=COUNTA(E:E)*2,IF(MOD(ROW(K752),2)=1,INDEX(E:E,(ROW(K752)+1)/2),INDEX(G:G,ROW(K752)/2)),"")</f>
        <v>49</v>
      </c>
    </row>
    <row r="753" spans="1:11" x14ac:dyDescent="0.25">
      <c r="A753" s="17"/>
      <c r="B753" s="17"/>
      <c r="J753" s="17">
        <f t="array" ref="J753">IF(ROW(J753)&lt;=COUNTA(D:D)*2,IF(MOD(ROW(J753),2)=1,INDEX(D:D,(ROW(J753)+1)/2),INDEX(F:F,ROW(J753)/2)),"")</f>
        <v>0</v>
      </c>
      <c r="K753" s="17">
        <f t="array" ref="K753">IF(ROW(K753)&lt;=COUNTA(E:E)*2,IF(MOD(ROW(K753),2)=1,INDEX(E:E,(ROW(K753)+1)/2),INDEX(G:G,ROW(K753)/2)),"")</f>
        <v>49</v>
      </c>
    </row>
    <row r="754" spans="1:11" x14ac:dyDescent="0.25">
      <c r="A754" s="17"/>
      <c r="B754" s="17"/>
      <c r="J754" s="17">
        <f t="array" ref="J754">IF(ROW(J754)&lt;=COUNTA(D:D)*2,IF(MOD(ROW(J754),2)=1,INDEX(D:D,(ROW(J754)+1)/2),INDEX(F:F,ROW(J754)/2)),"")</f>
        <v>0</v>
      </c>
      <c r="K754" s="17">
        <f t="array" ref="K754">IF(ROW(K754)&lt;=COUNTA(E:E)*2,IF(MOD(ROW(K754),2)=1,INDEX(E:E,(ROW(K754)+1)/2),INDEX(G:G,ROW(K754)/2)),"")</f>
        <v>49</v>
      </c>
    </row>
    <row r="755" spans="1:11" x14ac:dyDescent="0.25">
      <c r="A755" s="17"/>
      <c r="B755" s="17"/>
      <c r="J755" s="17">
        <f t="array" ref="J755">IF(ROW(J755)&lt;=COUNTA(D:D)*2,IF(MOD(ROW(J755),2)=1,INDEX(D:D,(ROW(J755)+1)/2),INDEX(F:F,ROW(J755)/2)),"")</f>
        <v>0</v>
      </c>
      <c r="K755" s="17">
        <f t="array" ref="K755">IF(ROW(K755)&lt;=COUNTA(E:E)*2,IF(MOD(ROW(K755),2)=1,INDEX(E:E,(ROW(K755)+1)/2),INDEX(G:G,ROW(K755)/2)),"")</f>
        <v>49</v>
      </c>
    </row>
    <row r="756" spans="1:11" x14ac:dyDescent="0.25">
      <c r="A756" s="17"/>
      <c r="B756" s="17"/>
      <c r="J756" s="17">
        <f t="array" ref="J756">IF(ROW(J756)&lt;=COUNTA(D:D)*2,IF(MOD(ROW(J756),2)=1,INDEX(D:D,(ROW(J756)+1)/2),INDEX(F:F,ROW(J756)/2)),"")</f>
        <v>0</v>
      </c>
      <c r="K756" s="17">
        <f t="array" ref="K756">IF(ROW(K756)&lt;=COUNTA(E:E)*2,IF(MOD(ROW(K756),2)=1,INDEX(E:E,(ROW(K756)+1)/2),INDEX(G:G,ROW(K756)/2)),"")</f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"/>
  <sheetViews>
    <sheetView workbookViewId="0" zoomScale="100" zoomScaleNormal="100">
      <selection activeCell="J101" sqref="J101"/>
    </sheetView>
  </sheetViews>
  <sheetFormatPr defaultRowHeight="13.8" outlineLevelRow="0" outlineLevelCol="0" x14ac:dyDescent="0" defaultColWidth="8.1" customHeight="1"/>
  <cols>
    <col min="1" max="16384" width="8.1" style="30" customWidth="1"/>
  </cols>
  <sheetData>
    <row r="1" ht="14.4" customHeight="1" spans="1:4" x14ac:dyDescent="0.25">
      <c r="A1" s="30" t="s">
        <v>21</v>
      </c>
      <c r="B1" s="30" t="s">
        <v>22</v>
      </c>
      <c r="C1" s="31" t="s">
        <v>23</v>
      </c>
      <c r="D1" s="31" t="s">
        <v>24</v>
      </c>
    </row>
    <row r="2" spans="1:6" x14ac:dyDescent="0.25">
      <c r="A2" s="30"/>
      <c r="B2" s="30"/>
      <c r="C2" s="30"/>
      <c r="D2" s="30"/>
      <c r="F2" s="30">
        <f t="shared" ref="F2:F39" si="0">IF(IF(A2&lt;&gt;"",0-A2,0-B1)=0,"",IF(A2&lt;&gt;"",0-A2,0-B1))</f>
      </c>
    </row>
    <row r="3" ht="14.4" customHeight="1" spans="1:10" x14ac:dyDescent="0.25">
      <c r="A3" s="30"/>
      <c r="B3" s="30"/>
      <c r="C3" s="30"/>
      <c r="D3" s="30"/>
      <c r="F3" s="32">
        <f t="shared" si="0"/>
        <v>-1.9</v>
      </c>
      <c r="G3" s="33"/>
      <c r="H3" s="33"/>
      <c r="I3" s="34" t="s">
        <v>25</v>
      </c>
      <c r="J3" s="34"/>
    </row>
    <row r="4" spans="1:10" x14ac:dyDescent="0.25">
      <c r="A4" s="30"/>
      <c r="B4" s="30"/>
      <c r="C4" s="30"/>
      <c r="D4" s="30"/>
      <c r="F4" s="35">
        <f t="shared" si="0"/>
        <v>-3.9</v>
      </c>
      <c r="G4" s="35">
        <f>IF(((C3-D3)&lt;&gt;"")*(D3&lt;&gt;""),55+(C3-D3)/5*2,"")</f>
        <v>54.944</v>
      </c>
      <c r="I4" s="36"/>
      <c r="J4" s="36"/>
    </row>
    <row r="5" spans="1:10" x14ac:dyDescent="0.25">
      <c r="A5" s="30"/>
      <c r="B5" s="30"/>
      <c r="C5" s="30"/>
      <c r="D5" s="30"/>
      <c r="F5" s="35">
        <f t="shared" si="0"/>
        <v>-5.9</v>
      </c>
      <c r="G5" s="35">
        <f t="shared" ref="G5:G61" si="1">IF(((C4-D4)&lt;&gt;"")*(D4&lt;&gt;""),55+(C4-D4)/5*2,"")</f>
      </c>
      <c r="I5" s="30">
        <f t="array" ref="I5:I101">_xlfn._xlws.FILTER(F:F,(F:F&lt;&gt;"")*(G:G&lt;&gt;""))</f>
        <v>-3.9</v>
      </c>
      <c r="J5" s="30">
        <f t="array" ref="J5:J101">_xlfn._xlws.FILTER(G:G,(F:F&lt;&gt;"")*(G:G&lt;&gt;""))</f>
        <v>54.944</v>
      </c>
    </row>
    <row r="6" spans="1:10" x14ac:dyDescent="0.25">
      <c r="A6" s="30"/>
      <c r="B6" s="30"/>
      <c r="C6" s="30"/>
      <c r="D6" s="30"/>
      <c r="F6" s="35">
        <f t="shared" si="0"/>
        <v>-7.9</v>
      </c>
      <c r="G6" s="35">
        <f t="shared" si="1"/>
      </c>
      <c r="I6" s="30">
        <v>-9.9</v>
      </c>
      <c r="J6" s="30">
        <v>54.912</v>
      </c>
    </row>
    <row r="7" spans="1:10" x14ac:dyDescent="0.25">
      <c r="A7" s="30"/>
      <c r="B7" s="30"/>
      <c r="C7" s="30"/>
      <c r="D7" s="30"/>
      <c r="F7" s="35">
        <f t="shared" si="0"/>
        <v>-9.9</v>
      </c>
      <c r="G7" s="35">
        <f t="shared" si="1"/>
        <v>54.912</v>
      </c>
      <c r="I7" s="30">
        <v>-11.9</v>
      </c>
      <c r="J7" s="30">
        <v>54.856</v>
      </c>
    </row>
    <row r="8" spans="1:10" x14ac:dyDescent="0.25">
      <c r="A8" s="30"/>
      <c r="B8" s="30"/>
      <c r="C8" s="30"/>
      <c r="D8" s="30"/>
      <c r="F8" s="35">
        <f t="shared" si="0"/>
        <v>-11.9</v>
      </c>
      <c r="G8" s="35">
        <f t="shared" si="1"/>
        <v>54.856</v>
      </c>
      <c r="I8" s="30">
        <v>-21.9</v>
      </c>
      <c r="J8" s="30">
        <v>54.892</v>
      </c>
    </row>
    <row r="9" spans="1:10" x14ac:dyDescent="0.25">
      <c r="A9" s="30"/>
      <c r="B9" s="30"/>
      <c r="C9" s="30"/>
      <c r="D9" s="30"/>
      <c r="F9" s="35">
        <f t="shared" si="0"/>
        <v>-13.9</v>
      </c>
      <c r="G9" s="35">
        <f t="shared" si="1"/>
      </c>
      <c r="I9" s="30">
        <v>-27.9</v>
      </c>
      <c r="J9" s="30">
        <v>54.828</v>
      </c>
    </row>
    <row r="10" spans="1:10" x14ac:dyDescent="0.25">
      <c r="A10" s="30"/>
      <c r="B10" s="30"/>
      <c r="C10" s="30"/>
      <c r="D10" s="30"/>
      <c r="F10" s="35">
        <f t="shared" si="0"/>
        <v>-15.9</v>
      </c>
      <c r="G10" s="35">
        <f t="shared" si="1"/>
      </c>
      <c r="I10" s="30">
        <v>-35.9</v>
      </c>
      <c r="J10" s="30">
        <v>54.872</v>
      </c>
    </row>
    <row r="11" spans="1:10" x14ac:dyDescent="0.25">
      <c r="A11" s="30"/>
      <c r="B11" s="30"/>
      <c r="C11" s="30"/>
      <c r="D11" s="30"/>
      <c r="F11" s="35">
        <f t="shared" si="0"/>
        <v>-17.9</v>
      </c>
      <c r="G11" s="35">
        <f t="shared" si="1"/>
      </c>
      <c r="I11" s="30">
        <v>-43.9</v>
      </c>
      <c r="J11" s="30">
        <v>54.864</v>
      </c>
    </row>
    <row r="12" spans="1:10" x14ac:dyDescent="0.25">
      <c r="A12" s="30"/>
      <c r="B12" s="30"/>
      <c r="C12" s="30"/>
      <c r="D12" s="30"/>
      <c r="F12" s="35">
        <f t="shared" si="0"/>
        <v>-19.9</v>
      </c>
      <c r="G12" s="35">
        <f t="shared" si="1"/>
      </c>
      <c r="I12" s="30">
        <v>-77.9</v>
      </c>
      <c r="J12" s="30">
        <v>54.86</v>
      </c>
    </row>
    <row r="13" spans="1:10" x14ac:dyDescent="0.25">
      <c r="A13" s="30"/>
      <c r="B13" s="30"/>
      <c r="C13" s="30"/>
      <c r="D13" s="30"/>
      <c r="F13" s="35">
        <f t="shared" si="0"/>
        <v>-21.9</v>
      </c>
      <c r="G13" s="35">
        <f t="shared" si="1"/>
        <v>54.892</v>
      </c>
      <c r="I13" s="30">
        <v>-87.9</v>
      </c>
      <c r="J13" s="30">
        <v>54.864</v>
      </c>
    </row>
    <row r="14" spans="1:10" x14ac:dyDescent="0.25">
      <c r="A14" s="30"/>
      <c r="B14" s="30"/>
      <c r="C14" s="30"/>
      <c r="D14" s="30"/>
      <c r="F14" s="35">
        <f t="shared" si="0"/>
        <v>-23.9</v>
      </c>
      <c r="G14" s="35">
        <f t="shared" si="1"/>
      </c>
      <c r="I14" s="30">
        <v>-101.9</v>
      </c>
      <c r="J14" s="30">
        <v>54.828</v>
      </c>
    </row>
    <row r="15" spans="1:10" x14ac:dyDescent="0.25">
      <c r="A15" s="30"/>
      <c r="B15" s="30"/>
      <c r="C15" s="30"/>
      <c r="D15" s="30"/>
      <c r="F15" s="35">
        <f t="shared" si="0"/>
        <v>-25.9</v>
      </c>
      <c r="G15" s="35">
        <f t="shared" si="1"/>
      </c>
      <c r="I15" s="30">
        <v>-109.9</v>
      </c>
      <c r="J15" s="30">
        <v>54.824</v>
      </c>
    </row>
    <row r="16" spans="1:10" x14ac:dyDescent="0.25">
      <c r="A16" s="30"/>
      <c r="B16" s="30"/>
      <c r="C16" s="30"/>
      <c r="D16" s="30"/>
      <c r="F16" s="35">
        <f t="shared" si="0"/>
        <v>-27.9</v>
      </c>
      <c r="G16" s="35">
        <f t="shared" si="1"/>
        <v>54.828</v>
      </c>
      <c r="I16" s="30">
        <v>-119.9</v>
      </c>
      <c r="J16" s="30">
        <v>54.9</v>
      </c>
    </row>
    <row r="17" spans="1:10" x14ac:dyDescent="0.25">
      <c r="A17" s="30"/>
      <c r="B17" s="30"/>
      <c r="C17" s="30"/>
      <c r="D17" s="30"/>
      <c r="F17" s="35">
        <f t="shared" si="0"/>
        <v>-29.9</v>
      </c>
      <c r="G17" s="35">
        <f t="shared" si="1"/>
      </c>
      <c r="I17" s="30">
        <v>-129.9</v>
      </c>
      <c r="J17" s="30">
        <v>54.868</v>
      </c>
    </row>
    <row r="18" spans="1:10" x14ac:dyDescent="0.25">
      <c r="A18" s="30"/>
      <c r="B18" s="30"/>
      <c r="C18" s="30"/>
      <c r="D18" s="30"/>
      <c r="F18" s="35">
        <f t="shared" si="0"/>
        <v>-31.9</v>
      </c>
      <c r="G18" s="35">
        <f t="shared" si="1"/>
      </c>
      <c r="I18" s="30">
        <v>-137.9</v>
      </c>
      <c r="J18" s="30">
        <v>54.836</v>
      </c>
    </row>
    <row r="19" spans="1:10" x14ac:dyDescent="0.25">
      <c r="A19" s="30"/>
      <c r="B19" s="30"/>
      <c r="C19" s="30"/>
      <c r="D19" s="30"/>
      <c r="F19" s="35">
        <f t="shared" si="0"/>
        <v>-33.9</v>
      </c>
      <c r="G19" s="35">
        <f t="shared" si="1"/>
      </c>
      <c r="I19" s="30">
        <v>-143.9</v>
      </c>
      <c r="J19" s="30">
        <v>54.864</v>
      </c>
    </row>
    <row r="20" spans="1:10" x14ac:dyDescent="0.25">
      <c r="A20" s="30"/>
      <c r="B20" s="30"/>
      <c r="C20" s="30"/>
      <c r="D20" s="30"/>
      <c r="F20" s="35">
        <f t="shared" si="0"/>
        <v>-35.9</v>
      </c>
      <c r="G20" s="35">
        <f t="shared" si="1"/>
        <v>54.872</v>
      </c>
      <c r="I20" s="30">
        <v>-149.9</v>
      </c>
      <c r="J20" s="30">
        <v>54.892</v>
      </c>
    </row>
    <row r="21" spans="1:10" x14ac:dyDescent="0.25">
      <c r="A21" s="30"/>
      <c r="B21" s="30"/>
      <c r="C21" s="30"/>
      <c r="D21" s="30"/>
      <c r="F21" s="35">
        <f t="shared" si="0"/>
        <v>-37.9</v>
      </c>
      <c r="G21" s="35">
        <f t="shared" si="1"/>
      </c>
      <c r="I21" s="30">
        <v>-157.9</v>
      </c>
      <c r="J21" s="30">
        <v>54.896</v>
      </c>
    </row>
    <row r="22" spans="1:10" x14ac:dyDescent="0.25">
      <c r="A22" s="30"/>
      <c r="B22" s="30"/>
      <c r="C22" s="30"/>
      <c r="D22" s="30"/>
      <c r="F22" s="35">
        <f t="shared" si="0"/>
        <v>-39.9</v>
      </c>
      <c r="G22" s="35">
        <f t="shared" si="1"/>
      </c>
      <c r="I22" s="30">
        <v>-161.9</v>
      </c>
      <c r="J22" s="30">
        <v>54.864</v>
      </c>
    </row>
    <row r="23" spans="1:10" x14ac:dyDescent="0.25">
      <c r="A23" s="30"/>
      <c r="B23" s="30"/>
      <c r="C23" s="30"/>
      <c r="D23" s="30"/>
      <c r="F23" s="35">
        <f t="shared" si="0"/>
        <v>-41.9</v>
      </c>
      <c r="G23" s="35">
        <f t="shared" si="1"/>
      </c>
      <c r="I23" s="30">
        <v>-173.9</v>
      </c>
      <c r="J23" s="30">
        <v>54.888</v>
      </c>
    </row>
    <row r="24" spans="1:10" x14ac:dyDescent="0.25">
      <c r="A24" s="30"/>
      <c r="B24" s="30"/>
      <c r="C24" s="30"/>
      <c r="D24" s="30"/>
      <c r="F24" s="35">
        <f t="shared" si="0"/>
        <v>-43.9</v>
      </c>
      <c r="G24" s="35">
        <f t="shared" si="1"/>
        <v>54.864</v>
      </c>
      <c r="I24" s="30">
        <v>-185.9</v>
      </c>
      <c r="J24" s="30">
        <v>54.86</v>
      </c>
    </row>
    <row r="25" spans="1:10" x14ac:dyDescent="0.25">
      <c r="A25" s="30"/>
      <c r="B25" s="30"/>
      <c r="C25" s="30"/>
      <c r="D25" s="30"/>
      <c r="F25" s="35">
        <f t="shared" si="0"/>
        <v>-45.9</v>
      </c>
      <c r="G25" s="35">
        <f t="shared" si="1"/>
      </c>
      <c r="I25" s="30">
        <v>-189.9</v>
      </c>
      <c r="J25" s="30">
        <v>54.888</v>
      </c>
    </row>
    <row r="26" spans="1:10" x14ac:dyDescent="0.25">
      <c r="A26" s="30"/>
      <c r="B26" s="30"/>
      <c r="C26" s="30"/>
      <c r="D26" s="30"/>
      <c r="F26" s="35">
        <f t="shared" si="0"/>
        <v>-47.9</v>
      </c>
      <c r="G26" s="35">
        <f t="shared" si="1"/>
      </c>
      <c r="I26" s="30">
        <v>-201.9</v>
      </c>
      <c r="J26" s="30">
        <v>54.864</v>
      </c>
    </row>
    <row r="27" spans="1:10" x14ac:dyDescent="0.25">
      <c r="A27" s="30"/>
      <c r="B27" s="30"/>
      <c r="C27" s="30"/>
      <c r="D27" s="30"/>
      <c r="F27" s="35">
        <f t="shared" si="0"/>
        <v>-49.9</v>
      </c>
      <c r="G27" s="35">
        <f t="shared" si="1"/>
      </c>
      <c r="I27" s="30">
        <v>-207.9</v>
      </c>
      <c r="J27" s="30">
        <v>54.896</v>
      </c>
    </row>
    <row r="28" spans="1:10" x14ac:dyDescent="0.25">
      <c r="A28" s="30"/>
      <c r="B28" s="30"/>
      <c r="C28" s="30"/>
      <c r="D28" s="30"/>
      <c r="F28" s="35">
        <f t="shared" si="0"/>
        <v>-51.9</v>
      </c>
      <c r="G28" s="35">
        <f t="shared" si="1"/>
      </c>
      <c r="I28" s="30">
        <v>-215.9</v>
      </c>
      <c r="J28" s="30">
        <v>54.848</v>
      </c>
    </row>
    <row r="29" spans="1:10" x14ac:dyDescent="0.25">
      <c r="A29" s="30"/>
      <c r="B29" s="30"/>
      <c r="C29" s="30"/>
      <c r="D29" s="30"/>
      <c r="F29" s="35">
        <f t="shared" si="0"/>
        <v>-53.9</v>
      </c>
      <c r="G29" s="35">
        <f t="shared" si="1"/>
      </c>
      <c r="I29" s="30">
        <v>-223.9</v>
      </c>
      <c r="J29" s="30">
        <v>54.904</v>
      </c>
    </row>
    <row r="30" spans="1:10" x14ac:dyDescent="0.25">
      <c r="A30" s="30"/>
      <c r="B30" s="30"/>
      <c r="C30" s="30"/>
      <c r="D30" s="30"/>
      <c r="F30" s="35">
        <f t="shared" si="0"/>
        <v>-55.9</v>
      </c>
      <c r="G30" s="35">
        <f t="shared" si="1"/>
      </c>
      <c r="I30" s="30">
        <v>-231.9</v>
      </c>
      <c r="J30" s="30">
        <v>54.852</v>
      </c>
    </row>
    <row r="31" spans="1:10" x14ac:dyDescent="0.25">
      <c r="A31" s="30"/>
      <c r="B31" s="30"/>
      <c r="C31" s="30"/>
      <c r="D31" s="30"/>
      <c r="F31" s="35">
        <f t="shared" si="0"/>
        <v>-57.9</v>
      </c>
      <c r="G31" s="35">
        <f t="shared" si="1"/>
      </c>
      <c r="I31" s="30">
        <v>-241.9</v>
      </c>
      <c r="J31" s="30">
        <v>54.868</v>
      </c>
    </row>
    <row r="32" spans="1:10" x14ac:dyDescent="0.25">
      <c r="A32" s="30"/>
      <c r="B32" s="30"/>
      <c r="C32" s="30"/>
      <c r="D32" s="30"/>
      <c r="F32" s="35">
        <f t="shared" si="0"/>
        <v>-59.9</v>
      </c>
      <c r="G32" s="35">
        <f t="shared" si="1"/>
      </c>
      <c r="I32" s="30">
        <v>-243.9</v>
      </c>
      <c r="J32" s="30">
        <v>54.88</v>
      </c>
    </row>
    <row r="33" spans="1:10" x14ac:dyDescent="0.25">
      <c r="A33" s="30"/>
      <c r="B33" s="30"/>
      <c r="C33" s="30"/>
      <c r="D33" s="30"/>
      <c r="F33" s="35">
        <f t="shared" si="0"/>
        <v>-61.9</v>
      </c>
      <c r="G33" s="35">
        <f t="shared" si="1"/>
      </c>
      <c r="I33" s="30">
        <v>-249.9</v>
      </c>
      <c r="J33" s="30">
        <v>54.928</v>
      </c>
    </row>
    <row r="34" spans="1:10" x14ac:dyDescent="0.25">
      <c r="A34" s="30"/>
      <c r="B34" s="30"/>
      <c r="C34" s="30"/>
      <c r="D34" s="30"/>
      <c r="F34" s="35">
        <f t="shared" si="0"/>
        <v>-63.9</v>
      </c>
      <c r="G34" s="35">
        <f t="shared" si="1"/>
      </c>
      <c r="I34" s="30">
        <v>-255.9</v>
      </c>
      <c r="J34" s="30">
        <v>54.892</v>
      </c>
    </row>
    <row r="35" spans="1:10" x14ac:dyDescent="0.25">
      <c r="A35" s="30"/>
      <c r="B35" s="30"/>
      <c r="C35" s="30"/>
      <c r="D35" s="30"/>
      <c r="F35" s="35">
        <f t="shared" si="0"/>
        <v>-65.9</v>
      </c>
      <c r="G35" s="35">
        <f t="shared" si="1"/>
      </c>
      <c r="I35" s="30">
        <v>-265.9</v>
      </c>
      <c r="J35" s="30">
        <v>54.88</v>
      </c>
    </row>
    <row r="36" spans="1:10" x14ac:dyDescent="0.25">
      <c r="A36" s="30"/>
      <c r="B36" s="30"/>
      <c r="C36" s="30"/>
      <c r="D36" s="30"/>
      <c r="F36" s="35">
        <f t="shared" si="0"/>
        <v>-67.9</v>
      </c>
      <c r="G36" s="35">
        <f t="shared" si="1"/>
      </c>
      <c r="I36" s="30">
        <v>-273.9</v>
      </c>
      <c r="J36" s="30">
        <v>54.872</v>
      </c>
    </row>
    <row r="37" spans="1:10" x14ac:dyDescent="0.25">
      <c r="A37" s="30"/>
      <c r="B37" s="30"/>
      <c r="C37" s="30"/>
      <c r="D37" s="30"/>
      <c r="F37" s="35">
        <f t="shared" si="0"/>
        <v>-69.9</v>
      </c>
      <c r="G37" s="35">
        <f t="shared" si="1"/>
      </c>
      <c r="I37" s="30">
        <v>-281.9</v>
      </c>
      <c r="J37" s="30">
        <v>54.868</v>
      </c>
    </row>
    <row r="38" spans="1:10" x14ac:dyDescent="0.25">
      <c r="A38" s="30"/>
      <c r="B38" s="30"/>
      <c r="C38" s="30"/>
      <c r="D38" s="30"/>
      <c r="F38" s="35">
        <f t="shared" si="0"/>
        <v>-71.9</v>
      </c>
      <c r="G38" s="35">
        <f t="shared" si="1"/>
      </c>
      <c r="I38" s="30">
        <v>-291.9</v>
      </c>
      <c r="J38" s="30">
        <v>54.912</v>
      </c>
    </row>
    <row r="39" spans="1:10" x14ac:dyDescent="0.25">
      <c r="A39" s="30"/>
      <c r="B39" s="30"/>
      <c r="C39" s="30"/>
      <c r="D39" s="30"/>
      <c r="F39" s="35">
        <f t="shared" si="0"/>
        <v>-73.9</v>
      </c>
      <c r="G39" s="35"/>
      <c r="I39" s="30">
        <v>-299.9</v>
      </c>
      <c r="J39" s="30">
        <v>54.88</v>
      </c>
    </row>
    <row r="40" spans="1:10" x14ac:dyDescent="0.25">
      <c r="A40" s="30"/>
      <c r="B40" s="30"/>
      <c r="C40" s="30"/>
      <c r="D40" s="30"/>
      <c r="F40" s="35">
        <f t="shared" ref="F40:F61" si="2">IF(IF(A40&lt;&gt;"",0-A40,0-B39)=0,"",IF(A40&lt;&gt;"",0-A40,0-B39))</f>
        <v>-75.9</v>
      </c>
      <c r="G40" s="35">
        <f t="shared" si="1"/>
      </c>
      <c r="I40" s="30">
        <v>-309.9</v>
      </c>
      <c r="J40" s="30">
        <v>54.864</v>
      </c>
    </row>
    <row r="41" spans="1:10" x14ac:dyDescent="0.25">
      <c r="A41" s="30"/>
      <c r="B41" s="30"/>
      <c r="C41" s="30"/>
      <c r="D41" s="30"/>
      <c r="F41" s="35">
        <f t="shared" si="2"/>
        <v>-77.9</v>
      </c>
      <c r="G41" s="35">
        <f t="shared" si="1"/>
        <v>54.86</v>
      </c>
      <c r="I41" s="30">
        <v>-319.9</v>
      </c>
      <c r="J41" s="30">
        <v>54.872</v>
      </c>
    </row>
    <row r="42" spans="1:10" x14ac:dyDescent="0.25">
      <c r="A42" s="30"/>
      <c r="B42" s="30"/>
      <c r="C42" s="30"/>
      <c r="D42" s="30"/>
      <c r="F42" s="35">
        <f t="shared" si="2"/>
        <v>-79.9</v>
      </c>
      <c r="G42" s="35">
        <f t="shared" si="1"/>
      </c>
      <c r="I42" s="30">
        <v>-329.9</v>
      </c>
      <c r="J42" s="30">
        <v>54.844</v>
      </c>
    </row>
    <row r="43" spans="1:10" x14ac:dyDescent="0.25">
      <c r="A43" s="30"/>
      <c r="B43" s="30"/>
      <c r="C43" s="30"/>
      <c r="D43" s="30"/>
      <c r="F43" s="35">
        <f t="shared" si="2"/>
        <v>-81.9</v>
      </c>
      <c r="G43" s="35">
        <f t="shared" si="1"/>
      </c>
      <c r="I43" s="30">
        <v>-337.9</v>
      </c>
      <c r="J43" s="30">
        <v>54.872</v>
      </c>
    </row>
    <row r="44" spans="1:10" x14ac:dyDescent="0.25">
      <c r="A44" s="30"/>
      <c r="B44" s="30"/>
      <c r="C44" s="30"/>
      <c r="D44" s="30"/>
      <c r="F44" s="35">
        <f t="shared" si="2"/>
        <v>-83.9</v>
      </c>
      <c r="G44" s="35">
        <f t="shared" si="1"/>
      </c>
      <c r="I44" s="30">
        <v>-345.9</v>
      </c>
      <c r="J44" s="30">
        <v>54.832</v>
      </c>
    </row>
    <row r="45" spans="1:10" x14ac:dyDescent="0.25">
      <c r="A45" s="30"/>
      <c r="B45" s="30"/>
      <c r="C45" s="30"/>
      <c r="D45" s="30"/>
      <c r="F45" s="35">
        <f t="shared" si="2"/>
        <v>-85.9</v>
      </c>
      <c r="G45" s="35">
        <f t="shared" si="1"/>
      </c>
      <c r="I45" s="30">
        <v>-355.9</v>
      </c>
      <c r="J45" s="30">
        <v>54.908</v>
      </c>
    </row>
    <row r="46" spans="1:10" x14ac:dyDescent="0.25">
      <c r="A46" s="30"/>
      <c r="B46" s="30"/>
      <c r="C46" s="30"/>
      <c r="D46" s="30"/>
      <c r="F46" s="35">
        <f t="shared" si="2"/>
        <v>-87.9</v>
      </c>
      <c r="G46" s="35">
        <f t="shared" si="1"/>
        <v>54.864</v>
      </c>
      <c r="I46" s="30">
        <v>-359.9</v>
      </c>
      <c r="J46" s="30">
        <v>54.832</v>
      </c>
    </row>
    <row r="47" spans="1:10" x14ac:dyDescent="0.25">
      <c r="A47" s="30"/>
      <c r="B47" s="30"/>
      <c r="C47" s="30"/>
      <c r="D47" s="30"/>
      <c r="F47" s="35">
        <f t="shared" si="2"/>
        <v>-89.9</v>
      </c>
      <c r="G47" s="35">
        <f t="shared" si="1"/>
      </c>
      <c r="I47" s="30">
        <v>-363.9</v>
      </c>
      <c r="J47" s="30">
        <v>54.864</v>
      </c>
    </row>
    <row r="48" spans="1:10" x14ac:dyDescent="0.25">
      <c r="A48" s="30"/>
      <c r="B48" s="30"/>
      <c r="C48" s="30"/>
      <c r="D48" s="30"/>
      <c r="F48" s="35">
        <f t="shared" si="2"/>
        <v>-91.9</v>
      </c>
      <c r="G48" s="35">
        <f t="shared" si="1"/>
      </c>
      <c r="I48" s="30">
        <v>-369.9</v>
      </c>
      <c r="J48" s="30">
        <v>54.868</v>
      </c>
    </row>
    <row r="49" spans="1:10" x14ac:dyDescent="0.25">
      <c r="A49" s="30"/>
      <c r="B49" s="30"/>
      <c r="C49" s="30"/>
      <c r="D49" s="30"/>
      <c r="F49" s="35">
        <f t="shared" si="2"/>
        <v>-93.9</v>
      </c>
      <c r="G49" s="35">
        <f t="shared" si="1"/>
      </c>
      <c r="I49" s="30">
        <v>-371.9</v>
      </c>
      <c r="J49" s="30">
        <v>54.804</v>
      </c>
    </row>
    <row r="50" spans="1:10" x14ac:dyDescent="0.25">
      <c r="A50" s="30"/>
      <c r="B50" s="30"/>
      <c r="C50" s="30"/>
      <c r="D50" s="30"/>
      <c r="F50" s="35">
        <f t="shared" si="2"/>
        <v>-95.9</v>
      </c>
      <c r="G50" s="35">
        <f t="shared" si="1"/>
      </c>
      <c r="I50" s="30">
        <v>-381.9</v>
      </c>
      <c r="J50" s="30">
        <v>54.876</v>
      </c>
    </row>
    <row r="51" spans="1:10" x14ac:dyDescent="0.25">
      <c r="A51" s="30"/>
      <c r="B51" s="30"/>
      <c r="C51" s="30"/>
      <c r="D51" s="30"/>
      <c r="F51" s="35">
        <f t="shared" si="2"/>
        <v>-97.9</v>
      </c>
      <c r="G51" s="35">
        <f t="shared" si="1"/>
      </c>
      <c r="I51" s="30">
        <v>-393.9</v>
      </c>
      <c r="J51" s="30">
        <v>54.872</v>
      </c>
    </row>
    <row r="52" spans="1:10" x14ac:dyDescent="0.25">
      <c r="A52" s="30"/>
      <c r="B52" s="30"/>
      <c r="C52" s="30"/>
      <c r="D52" s="30"/>
      <c r="F52" s="35">
        <f t="shared" si="2"/>
        <v>-99.9</v>
      </c>
      <c r="G52" s="35">
        <f t="shared" si="1"/>
      </c>
      <c r="I52" s="30">
        <v>-399.9</v>
      </c>
      <c r="J52" s="30">
        <v>54.884</v>
      </c>
    </row>
    <row r="53" spans="1:10" x14ac:dyDescent="0.25">
      <c r="A53" s="30"/>
      <c r="B53" s="30"/>
      <c r="C53" s="30"/>
      <c r="D53" s="30"/>
      <c r="F53" s="35">
        <f t="shared" si="2"/>
        <v>-101.9</v>
      </c>
      <c r="G53" s="35">
        <f t="shared" si="1"/>
        <v>54.828</v>
      </c>
      <c r="I53" s="30">
        <v>-405.9</v>
      </c>
      <c r="J53" s="30">
        <v>54.876</v>
      </c>
    </row>
    <row r="54" spans="1:10" x14ac:dyDescent="0.25">
      <c r="A54" s="30"/>
      <c r="B54" s="30"/>
      <c r="C54" s="30"/>
      <c r="D54" s="30"/>
      <c r="F54" s="35">
        <f t="shared" si="2"/>
        <v>-103.9</v>
      </c>
      <c r="G54" s="35">
        <f t="shared" si="1"/>
      </c>
      <c r="I54" s="30">
        <v>-411.9</v>
      </c>
      <c r="J54" s="30">
        <v>54.864</v>
      </c>
    </row>
    <row r="55" spans="1:10" x14ac:dyDescent="0.25">
      <c r="A55" s="30"/>
      <c r="B55" s="30"/>
      <c r="C55" s="30"/>
      <c r="D55" s="30"/>
      <c r="F55" s="35">
        <f t="shared" si="2"/>
        <v>-105.9</v>
      </c>
      <c r="G55" s="35">
        <f t="shared" si="1"/>
      </c>
      <c r="I55" s="30">
        <v>-421.9</v>
      </c>
      <c r="J55" s="30">
        <v>54.868</v>
      </c>
    </row>
    <row r="56" spans="1:10" x14ac:dyDescent="0.25">
      <c r="A56" s="30"/>
      <c r="B56" s="30"/>
      <c r="C56" s="30"/>
      <c r="D56" s="30"/>
      <c r="F56" s="35">
        <f t="shared" si="2"/>
        <v>-107.9</v>
      </c>
      <c r="G56" s="35">
        <f t="shared" si="1"/>
      </c>
      <c r="I56" s="30">
        <v>-425.9</v>
      </c>
      <c r="J56" s="30">
        <v>54.932</v>
      </c>
    </row>
    <row r="57" spans="1:10" x14ac:dyDescent="0.25">
      <c r="A57" s="30"/>
      <c r="B57" s="30"/>
      <c r="C57" s="30"/>
      <c r="D57" s="30"/>
      <c r="F57" s="35">
        <f t="shared" si="2"/>
        <v>-109.9</v>
      </c>
      <c r="G57" s="35">
        <f t="shared" si="1"/>
        <v>54.824</v>
      </c>
      <c r="I57" s="30">
        <v>-429.9</v>
      </c>
      <c r="J57" s="30">
        <v>54.8832</v>
      </c>
    </row>
    <row r="58" spans="1:10" x14ac:dyDescent="0.25">
      <c r="A58" s="30"/>
      <c r="B58" s="30"/>
      <c r="C58" s="30"/>
      <c r="D58" s="30"/>
      <c r="F58" s="35">
        <f t="shared" si="2"/>
        <v>-111.9</v>
      </c>
      <c r="G58" s="35">
        <f t="shared" si="1"/>
      </c>
      <c r="I58" s="30">
        <v>-433.9</v>
      </c>
      <c r="J58" s="30">
        <v>54.884</v>
      </c>
    </row>
    <row r="59" spans="1:10" x14ac:dyDescent="0.25">
      <c r="A59" s="30"/>
      <c r="B59" s="30"/>
      <c r="C59" s="30"/>
      <c r="D59" s="30"/>
      <c r="F59" s="35">
        <f t="shared" si="2"/>
        <v>-113.9</v>
      </c>
      <c r="G59" s="35">
        <f t="shared" si="1"/>
      </c>
      <c r="I59" s="30">
        <v>-441.9</v>
      </c>
      <c r="J59" s="30">
        <v>54.844</v>
      </c>
    </row>
    <row r="60" spans="1:10" x14ac:dyDescent="0.25">
      <c r="A60" s="30"/>
      <c r="B60" s="30"/>
      <c r="C60" s="30"/>
      <c r="D60" s="30"/>
      <c r="F60" s="35">
        <f t="shared" si="2"/>
        <v>-115.9</v>
      </c>
      <c r="G60" s="35">
        <f t="shared" si="1"/>
      </c>
      <c r="I60" s="30">
        <v>-449.9</v>
      </c>
      <c r="J60" s="30">
        <v>54.9</v>
      </c>
    </row>
    <row r="61" spans="1:10" x14ac:dyDescent="0.25">
      <c r="A61" s="30"/>
      <c r="B61" s="30"/>
      <c r="C61" s="30"/>
      <c r="D61" s="30"/>
      <c r="F61" s="35">
        <f t="shared" si="2"/>
        <v>-117.9</v>
      </c>
      <c r="G61" s="35">
        <f t="shared" si="1"/>
      </c>
      <c r="I61" s="30">
        <v>-451.9</v>
      </c>
      <c r="J61" s="30">
        <v>54.916</v>
      </c>
    </row>
    <row r="62" spans="1:10" x14ac:dyDescent="0.25">
      <c r="A62" s="30"/>
      <c r="B62" s="30"/>
      <c r="C62" s="30"/>
      <c r="D62" s="30"/>
      <c r="F62" s="35">
        <f t="shared" ref="F62:F93" si="3">IF(IF(A62&lt;&gt;"",0-A62,0-B61)=0,"",IF(A62&lt;&gt;"",0-A62,0-B61))</f>
        <v>-119.9</v>
      </c>
      <c r="G62" s="35">
        <f t="shared" ref="G62:G93" si="4">IF(((C61-D61)&lt;&gt;"")*(D61&lt;&gt;""),55+(C61-D61)/5*2,"")</f>
        <v>54.9</v>
      </c>
      <c r="I62" s="30">
        <v>-457.9</v>
      </c>
      <c r="J62" s="30">
        <v>54.832</v>
      </c>
    </row>
    <row r="63" spans="1:10" x14ac:dyDescent="0.25">
      <c r="A63" s="30"/>
      <c r="B63" s="30"/>
      <c r="C63" s="30"/>
      <c r="D63" s="30"/>
      <c r="F63" s="35">
        <f t="shared" si="3"/>
        <v>-121.9</v>
      </c>
      <c r="G63" s="35">
        <f t="shared" si="4"/>
      </c>
      <c r="I63" s="30">
        <v>-465.9</v>
      </c>
      <c r="J63" s="30">
        <v>54.908</v>
      </c>
    </row>
    <row r="64" spans="1:10" x14ac:dyDescent="0.25">
      <c r="A64" s="30"/>
      <c r="B64" s="30"/>
      <c r="C64" s="30"/>
      <c r="D64" s="30"/>
      <c r="F64" s="35">
        <f t="shared" si="3"/>
        <v>-123.9</v>
      </c>
      <c r="G64" s="35">
        <f t="shared" si="4"/>
      </c>
      <c r="I64" s="30">
        <v>-467.9</v>
      </c>
      <c r="J64" s="30">
        <v>54.896</v>
      </c>
    </row>
    <row r="65" spans="1:10" x14ac:dyDescent="0.25">
      <c r="A65" s="30"/>
      <c r="B65" s="30"/>
      <c r="C65" s="30"/>
      <c r="D65" s="30"/>
      <c r="F65" s="35">
        <f t="shared" si="3"/>
        <v>-125.9</v>
      </c>
      <c r="G65" s="35">
        <f t="shared" si="4"/>
      </c>
      <c r="I65" s="30">
        <v>-479.9</v>
      </c>
      <c r="J65" s="30">
        <v>54.856</v>
      </c>
    </row>
    <row r="66" spans="1:10" x14ac:dyDescent="0.25">
      <c r="A66" s="30"/>
      <c r="B66" s="30"/>
      <c r="C66" s="30"/>
      <c r="D66" s="30"/>
      <c r="F66" s="35">
        <f t="shared" si="3"/>
        <v>-127.9</v>
      </c>
      <c r="G66" s="35">
        <f t="shared" si="4"/>
      </c>
      <c r="I66" s="30">
        <v>-483.9</v>
      </c>
      <c r="J66" s="30">
        <v>54.856</v>
      </c>
    </row>
    <row r="67" spans="1:10" x14ac:dyDescent="0.25">
      <c r="A67" s="30"/>
      <c r="B67" s="30"/>
      <c r="C67" s="30"/>
      <c r="D67" s="30"/>
      <c r="F67" s="35">
        <f t="shared" si="3"/>
        <v>-129.9</v>
      </c>
      <c r="G67" s="35">
        <f t="shared" si="4"/>
        <v>54.868</v>
      </c>
      <c r="I67" s="30">
        <v>-487.9</v>
      </c>
      <c r="J67" s="30">
        <v>54.86</v>
      </c>
    </row>
    <row r="68" spans="1:10" x14ac:dyDescent="0.25">
      <c r="A68" s="30"/>
      <c r="B68" s="30"/>
      <c r="C68" s="30"/>
      <c r="D68" s="30"/>
      <c r="F68" s="35">
        <f t="shared" si="3"/>
        <v>-131.9</v>
      </c>
      <c r="G68" s="35">
        <f t="shared" si="4"/>
      </c>
      <c r="I68" s="30">
        <v>-491.9</v>
      </c>
      <c r="J68" s="30">
        <v>54.872</v>
      </c>
    </row>
    <row r="69" spans="1:10" x14ac:dyDescent="0.25">
      <c r="A69" s="30"/>
      <c r="B69" s="30"/>
      <c r="C69" s="30"/>
      <c r="D69" s="30"/>
      <c r="F69" s="35">
        <f t="shared" si="3"/>
        <v>-133.9</v>
      </c>
      <c r="G69" s="35">
        <f t="shared" si="4"/>
      </c>
      <c r="I69" s="30">
        <v>-499.9</v>
      </c>
      <c r="J69" s="30">
        <v>54.888</v>
      </c>
    </row>
    <row r="70" spans="1:10" x14ac:dyDescent="0.25">
      <c r="A70" s="30"/>
      <c r="B70" s="30"/>
      <c r="C70" s="30"/>
      <c r="D70" s="30"/>
      <c r="F70" s="35">
        <f t="shared" si="3"/>
        <v>-135.9</v>
      </c>
      <c r="G70" s="35">
        <f t="shared" si="4"/>
      </c>
      <c r="I70" s="30">
        <v>-515.9</v>
      </c>
      <c r="J70" s="30">
        <v>54.904</v>
      </c>
    </row>
    <row r="71" spans="1:10" x14ac:dyDescent="0.25">
      <c r="A71" s="30"/>
      <c r="B71" s="30"/>
      <c r="C71" s="30"/>
      <c r="D71" s="30"/>
      <c r="F71" s="35">
        <f t="shared" si="3"/>
        <v>-137.9</v>
      </c>
      <c r="G71" s="35">
        <f t="shared" si="4"/>
        <v>54.836</v>
      </c>
      <c r="I71" s="30">
        <v>-521.9</v>
      </c>
      <c r="J71" s="30">
        <v>54.908</v>
      </c>
    </row>
    <row r="72" spans="1:10" x14ac:dyDescent="0.25">
      <c r="A72" s="30"/>
      <c r="B72" s="30"/>
      <c r="C72" s="30"/>
      <c r="D72" s="30"/>
      <c r="F72" s="35">
        <f t="shared" si="3"/>
        <v>-139.9</v>
      </c>
      <c r="G72" s="35">
        <f t="shared" si="4"/>
      </c>
      <c r="I72" s="30">
        <v>-525.9</v>
      </c>
      <c r="J72" s="30">
        <v>54.896</v>
      </c>
    </row>
    <row r="73" spans="1:10" x14ac:dyDescent="0.25">
      <c r="A73" s="30"/>
      <c r="B73" s="30"/>
      <c r="C73" s="30"/>
      <c r="D73" s="30"/>
      <c r="F73" s="35">
        <f t="shared" si="3"/>
        <v>-141.9</v>
      </c>
      <c r="G73" s="35">
        <f t="shared" si="4"/>
      </c>
      <c r="I73" s="30">
        <v>-531.9</v>
      </c>
      <c r="J73" s="30">
        <v>54.892</v>
      </c>
    </row>
    <row r="74" spans="1:10" x14ac:dyDescent="0.25">
      <c r="A74" s="30"/>
      <c r="B74" s="30"/>
      <c r="C74" s="30"/>
      <c r="D74" s="30"/>
      <c r="F74" s="35">
        <f t="shared" si="3"/>
        <v>-143.9</v>
      </c>
      <c r="G74" s="35">
        <f t="shared" si="4"/>
        <v>54.864</v>
      </c>
      <c r="I74" s="30">
        <v>-535.9</v>
      </c>
      <c r="J74" s="30">
        <v>54.86</v>
      </c>
    </row>
    <row r="75" spans="1:10" x14ac:dyDescent="0.25">
      <c r="A75" s="30"/>
      <c r="B75" s="30"/>
      <c r="C75" s="30"/>
      <c r="D75" s="30"/>
      <c r="F75" s="35">
        <f t="shared" si="3"/>
        <v>-145.9</v>
      </c>
      <c r="G75" s="35">
        <f t="shared" si="4"/>
      </c>
      <c r="I75" s="30">
        <v>-543.9</v>
      </c>
      <c r="J75" s="30">
        <v>54.824</v>
      </c>
    </row>
    <row r="76" spans="1:10" x14ac:dyDescent="0.25">
      <c r="A76" s="30"/>
      <c r="B76" s="30"/>
      <c r="C76" s="30"/>
      <c r="D76" s="30"/>
      <c r="F76" s="35">
        <f t="shared" si="3"/>
        <v>-147.9</v>
      </c>
      <c r="G76" s="35">
        <f t="shared" si="4"/>
      </c>
      <c r="I76" s="30">
        <v>-551.9</v>
      </c>
      <c r="J76" s="30">
        <v>54.872</v>
      </c>
    </row>
    <row r="77" spans="1:10" x14ac:dyDescent="0.25">
      <c r="A77" s="30"/>
      <c r="B77" s="30"/>
      <c r="C77" s="30"/>
      <c r="D77" s="30"/>
      <c r="F77" s="35">
        <f t="shared" si="3"/>
        <v>-149.9</v>
      </c>
      <c r="G77" s="35">
        <f t="shared" si="4"/>
        <v>54.892</v>
      </c>
      <c r="I77" s="30">
        <v>-555.9</v>
      </c>
      <c r="J77" s="30">
        <v>54.864</v>
      </c>
    </row>
    <row r="78" spans="1:10" x14ac:dyDescent="0.25">
      <c r="A78" s="30"/>
      <c r="B78" s="30"/>
      <c r="C78" s="30"/>
      <c r="D78" s="30"/>
      <c r="F78" s="35">
        <f t="shared" si="3"/>
        <v>-151.9</v>
      </c>
      <c r="G78" s="35">
        <f t="shared" si="4"/>
      </c>
      <c r="I78" s="30">
        <v>-561.9</v>
      </c>
      <c r="J78" s="30">
        <v>54.872</v>
      </c>
    </row>
    <row r="79" spans="1:10" x14ac:dyDescent="0.25">
      <c r="A79" s="30"/>
      <c r="B79" s="30"/>
      <c r="C79" s="30"/>
      <c r="D79" s="30"/>
      <c r="F79" s="35">
        <f t="shared" si="3"/>
        <v>-153.9</v>
      </c>
      <c r="G79" s="35">
        <f t="shared" si="4"/>
      </c>
      <c r="I79" s="30">
        <v>-567.9</v>
      </c>
      <c r="J79" s="30">
        <v>54.82</v>
      </c>
    </row>
    <row r="80" spans="1:10" x14ac:dyDescent="0.25">
      <c r="A80" s="30"/>
      <c r="B80" s="30"/>
      <c r="C80" s="30"/>
      <c r="D80" s="30"/>
      <c r="F80" s="35">
        <f t="shared" si="3"/>
        <v>-155.9</v>
      </c>
      <c r="G80" s="35">
        <f t="shared" si="4"/>
      </c>
      <c r="I80" s="30">
        <v>-569.9</v>
      </c>
      <c r="J80" s="30">
        <v>54.816</v>
      </c>
    </row>
    <row r="81" spans="1:10" x14ac:dyDescent="0.25">
      <c r="A81" s="30"/>
      <c r="B81" s="30"/>
      <c r="C81" s="30"/>
      <c r="D81" s="30"/>
      <c r="F81" s="35">
        <f t="shared" si="3"/>
        <v>-157.9</v>
      </c>
      <c r="G81" s="35">
        <f t="shared" si="4"/>
        <v>54.896</v>
      </c>
      <c r="I81" s="30">
        <v>-575.9</v>
      </c>
      <c r="J81" s="30">
        <v>54.868</v>
      </c>
    </row>
    <row r="82" spans="1:10" x14ac:dyDescent="0.25">
      <c r="A82" s="30"/>
      <c r="B82" s="30"/>
      <c r="C82" s="30"/>
      <c r="D82" s="30"/>
      <c r="F82" s="35">
        <f t="shared" si="3"/>
        <v>-159.9</v>
      </c>
      <c r="G82" s="35">
        <f t="shared" si="4"/>
      </c>
      <c r="I82" s="30">
        <v>-583.9</v>
      </c>
      <c r="J82" s="30">
        <v>54.88</v>
      </c>
    </row>
    <row r="83" spans="1:10" x14ac:dyDescent="0.25">
      <c r="A83" s="30"/>
      <c r="B83" s="30"/>
      <c r="C83" s="30"/>
      <c r="D83" s="30"/>
      <c r="F83" s="35">
        <f t="shared" si="3"/>
        <v>-161.9</v>
      </c>
      <c r="G83" s="35">
        <f t="shared" si="4"/>
        <v>54.864</v>
      </c>
      <c r="I83" s="30">
        <v>-591.9</v>
      </c>
      <c r="J83" s="30">
        <v>54.852</v>
      </c>
    </row>
    <row r="84" spans="1:10" x14ac:dyDescent="0.25">
      <c r="A84" s="30"/>
      <c r="B84" s="30"/>
      <c r="C84" s="30"/>
      <c r="D84" s="30"/>
      <c r="F84" s="35">
        <f t="shared" si="3"/>
        <v>-163.9</v>
      </c>
      <c r="G84" s="35">
        <f t="shared" si="4"/>
      </c>
      <c r="I84" s="30">
        <v>-601.9</v>
      </c>
      <c r="J84" s="30">
        <v>54.776</v>
      </c>
    </row>
    <row r="85" spans="1:10" x14ac:dyDescent="0.25">
      <c r="A85" s="30"/>
      <c r="B85" s="30"/>
      <c r="C85" s="30"/>
      <c r="D85" s="30"/>
      <c r="F85" s="35">
        <f t="shared" si="3"/>
        <v>-165.9</v>
      </c>
      <c r="G85" s="35">
        <f t="shared" si="4"/>
      </c>
      <c r="I85" s="30">
        <v>-607.9</v>
      </c>
      <c r="J85" s="30">
        <v>54.864</v>
      </c>
    </row>
    <row r="86" spans="1:10" x14ac:dyDescent="0.25">
      <c r="A86" s="30"/>
      <c r="B86" s="30"/>
      <c r="C86" s="30"/>
      <c r="D86" s="30"/>
      <c r="F86" s="35">
        <f t="shared" si="3"/>
        <v>-167.9</v>
      </c>
      <c r="G86" s="35">
        <f t="shared" si="4"/>
      </c>
      <c r="I86" s="30">
        <v>-613.9</v>
      </c>
      <c r="J86" s="30">
        <v>54.844</v>
      </c>
    </row>
    <row r="87" spans="1:10" x14ac:dyDescent="0.25">
      <c r="A87" s="30"/>
      <c r="B87" s="30"/>
      <c r="C87" s="30"/>
      <c r="D87" s="30"/>
      <c r="F87" s="35">
        <f t="shared" si="3"/>
        <v>-169.9</v>
      </c>
      <c r="G87" s="35">
        <f t="shared" si="4"/>
      </c>
      <c r="I87" s="30">
        <v>-621.9</v>
      </c>
      <c r="J87" s="30">
        <v>54.912</v>
      </c>
    </row>
    <row r="88" spans="1:10" x14ac:dyDescent="0.25">
      <c r="A88" s="30"/>
      <c r="B88" s="30"/>
      <c r="C88" s="30"/>
      <c r="D88" s="30"/>
      <c r="F88" s="35">
        <f t="shared" si="3"/>
        <v>-171.9</v>
      </c>
      <c r="G88" s="35">
        <f t="shared" si="4"/>
      </c>
      <c r="I88" s="30">
        <v>-629.9</v>
      </c>
      <c r="J88" s="30">
        <v>54.86</v>
      </c>
    </row>
    <row r="89" spans="1:10" x14ac:dyDescent="0.25">
      <c r="A89" s="30"/>
      <c r="B89" s="30"/>
      <c r="C89" s="30"/>
      <c r="D89" s="30"/>
      <c r="F89" s="35">
        <f t="shared" si="3"/>
        <v>-173.9</v>
      </c>
      <c r="G89" s="35">
        <f t="shared" si="4"/>
        <v>54.888</v>
      </c>
      <c r="I89" s="30">
        <v>-633.9</v>
      </c>
      <c r="J89" s="30">
        <v>54.896</v>
      </c>
    </row>
    <row r="90" spans="1:10" x14ac:dyDescent="0.25">
      <c r="A90" s="30"/>
      <c r="B90" s="30"/>
      <c r="C90" s="30"/>
      <c r="D90" s="30"/>
      <c r="F90" s="35">
        <f t="shared" si="3"/>
        <v>-175.9</v>
      </c>
      <c r="G90" s="35">
        <f t="shared" si="4"/>
      </c>
      <c r="I90" s="30">
        <v>-637.9</v>
      </c>
      <c r="J90" s="30">
        <v>54.868</v>
      </c>
    </row>
    <row r="91" spans="1:10" x14ac:dyDescent="0.25">
      <c r="A91" s="30"/>
      <c r="B91" s="30"/>
      <c r="C91" s="30"/>
      <c r="D91" s="30"/>
      <c r="F91" s="35">
        <f t="shared" si="3"/>
        <v>-177.9</v>
      </c>
      <c r="G91" s="35">
        <f t="shared" si="4"/>
      </c>
      <c r="I91" s="30">
        <v>-645.9</v>
      </c>
      <c r="J91" s="30">
        <v>54.876</v>
      </c>
    </row>
    <row r="92" spans="1:10" x14ac:dyDescent="0.25">
      <c r="A92" s="30"/>
      <c r="B92" s="30"/>
      <c r="C92" s="30"/>
      <c r="D92" s="30"/>
      <c r="F92" s="35">
        <f t="shared" si="3"/>
        <v>-179.9</v>
      </c>
      <c r="G92" s="35">
        <f t="shared" si="4"/>
      </c>
      <c r="I92" s="30">
        <v>-651.9</v>
      </c>
      <c r="J92" s="30">
        <v>54.868</v>
      </c>
    </row>
    <row r="93" spans="1:10" x14ac:dyDescent="0.25">
      <c r="A93" s="30"/>
      <c r="B93" s="30"/>
      <c r="C93" s="30"/>
      <c r="D93" s="30"/>
      <c r="F93" s="35">
        <f t="shared" si="3"/>
        <v>-181.9</v>
      </c>
      <c r="G93" s="35">
        <f t="shared" si="4"/>
      </c>
      <c r="I93" s="30">
        <v>-653.9</v>
      </c>
      <c r="J93" s="30">
        <v>54.832</v>
      </c>
    </row>
    <row r="94" spans="1:10" x14ac:dyDescent="0.25">
      <c r="A94" s="30"/>
      <c r="B94" s="30"/>
      <c r="C94" s="30"/>
      <c r="D94" s="30"/>
      <c r="F94" s="35">
        <f t="shared" ref="F94:F125" si="5">IF(IF(A94&lt;&gt;"",0-A94,0-B93)=0,"",IF(A94&lt;&gt;"",0-A94,0-B93))</f>
        <v>-183.9</v>
      </c>
      <c r="G94" s="35">
        <f t="shared" ref="G94:G125" si="6">IF(((C93-D93)&lt;&gt;"")*(D93&lt;&gt;""),55+(C93-D93)/5*2,"")</f>
      </c>
      <c r="I94" s="30">
        <v>-655.9</v>
      </c>
      <c r="J94" s="30">
        <v>54.864</v>
      </c>
    </row>
    <row r="95" spans="1:10" x14ac:dyDescent="0.25">
      <c r="A95" s="30"/>
      <c r="B95" s="30"/>
      <c r="C95" s="30"/>
      <c r="D95" s="30"/>
      <c r="F95" s="35">
        <f t="shared" si="5"/>
        <v>-185.9</v>
      </c>
      <c r="G95" s="35">
        <f t="shared" si="6"/>
        <v>54.86</v>
      </c>
      <c r="I95" s="30">
        <v>-657.9</v>
      </c>
      <c r="J95" s="30">
        <v>54.88</v>
      </c>
    </row>
    <row r="96" spans="1:10" x14ac:dyDescent="0.25">
      <c r="A96" s="30"/>
      <c r="B96" s="30"/>
      <c r="C96" s="30"/>
      <c r="D96" s="30"/>
      <c r="F96" s="35">
        <f t="shared" si="5"/>
        <v>-187.9</v>
      </c>
      <c r="G96" s="35">
        <f t="shared" si="6"/>
      </c>
      <c r="I96" s="30">
        <v>-659.9</v>
      </c>
      <c r="J96" s="30">
        <v>54.888</v>
      </c>
    </row>
    <row r="97" spans="1:10" x14ac:dyDescent="0.25">
      <c r="A97" s="30"/>
      <c r="B97" s="30"/>
      <c r="C97" s="30"/>
      <c r="D97" s="30"/>
      <c r="F97" s="35">
        <f t="shared" si="5"/>
        <v>-189.9</v>
      </c>
      <c r="G97" s="35">
        <f t="shared" si="6"/>
        <v>54.888</v>
      </c>
      <c r="I97" s="30">
        <v>-665.9</v>
      </c>
      <c r="J97" s="30">
        <v>54.892</v>
      </c>
    </row>
    <row r="98" spans="1:10" x14ac:dyDescent="0.25">
      <c r="A98" s="30"/>
      <c r="B98" s="30"/>
      <c r="C98" s="30"/>
      <c r="D98" s="30"/>
      <c r="F98" s="35">
        <f t="shared" si="5"/>
        <v>-191.9</v>
      </c>
      <c r="G98" s="35">
        <f t="shared" si="6"/>
      </c>
      <c r="I98" s="30">
        <v>-671.9</v>
      </c>
      <c r="J98" s="30">
        <v>54.876</v>
      </c>
    </row>
    <row r="99" spans="1:10" x14ac:dyDescent="0.25">
      <c r="A99" s="30"/>
      <c r="B99" s="30"/>
      <c r="C99" s="30"/>
      <c r="D99" s="30"/>
      <c r="F99" s="35">
        <f t="shared" si="5"/>
        <v>-193.9</v>
      </c>
      <c r="G99" s="35">
        <f t="shared" si="6"/>
      </c>
      <c r="I99" s="30">
        <v>-673.9</v>
      </c>
      <c r="J99" s="30">
        <v>54.872</v>
      </c>
    </row>
    <row r="100" spans="1:10" x14ac:dyDescent="0.25">
      <c r="A100" s="30"/>
      <c r="B100" s="30"/>
      <c r="C100" s="30"/>
      <c r="D100" s="30"/>
      <c r="F100" s="35">
        <f t="shared" si="5"/>
        <v>-195.9</v>
      </c>
      <c r="G100" s="35">
        <f t="shared" si="6"/>
      </c>
      <c r="I100" s="30">
        <v>-675.9</v>
      </c>
      <c r="J100" s="30">
        <v>54.9</v>
      </c>
    </row>
    <row r="101" spans="1:10" x14ac:dyDescent="0.25">
      <c r="A101" s="30"/>
      <c r="B101" s="30"/>
      <c r="C101" s="30"/>
      <c r="D101" s="30"/>
      <c r="F101" s="35">
        <f t="shared" si="5"/>
        <v>-197.9</v>
      </c>
      <c r="G101" s="35">
        <f t="shared" si="6"/>
      </c>
      <c r="I101" s="30">
        <v>-677.9</v>
      </c>
      <c r="J101" s="30">
        <v>54.82</v>
      </c>
    </row>
    <row r="102" spans="1:7" x14ac:dyDescent="0.25">
      <c r="A102" s="30"/>
      <c r="B102" s="30"/>
      <c r="C102" s="30"/>
      <c r="D102" s="30"/>
      <c r="F102" s="35">
        <f t="shared" si="5"/>
        <v>-199.9</v>
      </c>
      <c r="G102" s="35">
        <f t="shared" si="6"/>
      </c>
    </row>
    <row r="103" spans="1:7" x14ac:dyDescent="0.25">
      <c r="A103" s="30"/>
      <c r="B103" s="30"/>
      <c r="C103" s="30"/>
      <c r="D103" s="30"/>
      <c r="F103" s="35">
        <f t="shared" si="5"/>
        <v>-201.9</v>
      </c>
      <c r="G103" s="35">
        <f t="shared" si="6"/>
        <v>54.864</v>
      </c>
    </row>
    <row r="104" spans="1:7" x14ac:dyDescent="0.25">
      <c r="A104" s="30"/>
      <c r="B104" s="30"/>
      <c r="C104" s="30"/>
      <c r="D104" s="30"/>
      <c r="F104" s="35">
        <f t="shared" si="5"/>
        <v>-203.9</v>
      </c>
      <c r="G104" s="35">
        <f t="shared" si="6"/>
      </c>
    </row>
    <row r="105" spans="1:7" x14ac:dyDescent="0.25">
      <c r="A105" s="30"/>
      <c r="B105" s="30"/>
      <c r="C105" s="30"/>
      <c r="D105" s="30"/>
      <c r="F105" s="35">
        <f t="shared" si="5"/>
        <v>-205.9</v>
      </c>
      <c r="G105" s="35">
        <f t="shared" si="6"/>
      </c>
    </row>
    <row r="106" spans="1:7" x14ac:dyDescent="0.25">
      <c r="A106" s="30"/>
      <c r="B106" s="30"/>
      <c r="C106" s="30"/>
      <c r="D106" s="30"/>
      <c r="F106" s="35">
        <f t="shared" si="5"/>
        <v>-207.9</v>
      </c>
      <c r="G106" s="35">
        <f t="shared" si="6"/>
        <v>54.896</v>
      </c>
    </row>
    <row r="107" spans="1:7" x14ac:dyDescent="0.25">
      <c r="A107" s="30"/>
      <c r="B107" s="30"/>
      <c r="C107" s="30"/>
      <c r="D107" s="30"/>
      <c r="F107" s="35">
        <f t="shared" si="5"/>
        <v>-209.9</v>
      </c>
      <c r="G107" s="35">
        <f t="shared" si="6"/>
      </c>
    </row>
    <row r="108" spans="1:7" x14ac:dyDescent="0.25">
      <c r="A108" s="30"/>
      <c r="B108" s="30"/>
      <c r="C108" s="30"/>
      <c r="D108" s="30"/>
      <c r="F108" s="35">
        <f t="shared" si="5"/>
        <v>-211.9</v>
      </c>
      <c r="G108" s="35">
        <f t="shared" si="6"/>
      </c>
    </row>
    <row r="109" spans="1:7" x14ac:dyDescent="0.25">
      <c r="A109" s="30"/>
      <c r="B109" s="30"/>
      <c r="C109" s="30"/>
      <c r="D109" s="30"/>
      <c r="F109" s="35">
        <f t="shared" si="5"/>
        <v>-213.9</v>
      </c>
      <c r="G109" s="35">
        <f t="shared" si="6"/>
      </c>
    </row>
    <row r="110" spans="1:7" x14ac:dyDescent="0.25">
      <c r="A110" s="30"/>
      <c r="B110" s="30"/>
      <c r="C110" s="30"/>
      <c r="D110" s="30"/>
      <c r="F110" s="35">
        <f t="shared" si="5"/>
        <v>-215.9</v>
      </c>
      <c r="G110" s="35">
        <f t="shared" si="6"/>
        <v>54.848</v>
      </c>
    </row>
    <row r="111" spans="1:7" x14ac:dyDescent="0.25">
      <c r="A111" s="30"/>
      <c r="B111" s="30"/>
      <c r="C111" s="30"/>
      <c r="D111" s="30"/>
      <c r="F111" s="35">
        <f t="shared" si="5"/>
        <v>-217.9</v>
      </c>
      <c r="G111" s="35">
        <f t="shared" si="6"/>
      </c>
    </row>
    <row r="112" spans="1:7" x14ac:dyDescent="0.25">
      <c r="A112" s="30"/>
      <c r="B112" s="30"/>
      <c r="C112" s="30"/>
      <c r="D112" s="30"/>
      <c r="F112" s="35">
        <f t="shared" si="5"/>
        <v>-219.9</v>
      </c>
      <c r="G112" s="35">
        <f t="shared" si="6"/>
      </c>
    </row>
    <row r="113" spans="1:7" x14ac:dyDescent="0.25">
      <c r="A113" s="30"/>
      <c r="B113" s="30"/>
      <c r="C113" s="30"/>
      <c r="D113" s="30"/>
      <c r="F113" s="35">
        <f t="shared" si="5"/>
        <v>-221.9</v>
      </c>
      <c r="G113" s="35">
        <f t="shared" si="6"/>
      </c>
    </row>
    <row r="114" spans="1:7" x14ac:dyDescent="0.25">
      <c r="A114" s="30"/>
      <c r="B114" s="30"/>
      <c r="C114" s="30"/>
      <c r="D114" s="30"/>
      <c r="F114" s="35">
        <f t="shared" si="5"/>
        <v>-223.9</v>
      </c>
      <c r="G114" s="35">
        <f t="shared" si="6"/>
        <v>54.904</v>
      </c>
    </row>
    <row r="115" spans="1:7" x14ac:dyDescent="0.25">
      <c r="A115" s="30"/>
      <c r="B115" s="30"/>
      <c r="C115" s="30"/>
      <c r="D115" s="30"/>
      <c r="F115" s="35">
        <f t="shared" si="5"/>
        <v>-225.9</v>
      </c>
      <c r="G115" s="35">
        <f t="shared" si="6"/>
      </c>
    </row>
    <row r="116" spans="1:7" x14ac:dyDescent="0.25">
      <c r="A116" s="30"/>
      <c r="B116" s="30"/>
      <c r="C116" s="30"/>
      <c r="D116" s="30"/>
      <c r="F116" s="35">
        <f t="shared" si="5"/>
        <v>-227.9</v>
      </c>
      <c r="G116" s="35">
        <f t="shared" si="6"/>
      </c>
    </row>
    <row r="117" spans="1:7" x14ac:dyDescent="0.25">
      <c r="A117" s="30"/>
      <c r="B117" s="30"/>
      <c r="C117" s="30"/>
      <c r="D117" s="30"/>
      <c r="F117" s="35">
        <f t="shared" si="5"/>
        <v>-229.9</v>
      </c>
      <c r="G117" s="35">
        <f t="shared" si="6"/>
      </c>
    </row>
    <row r="118" spans="1:7" x14ac:dyDescent="0.25">
      <c r="A118" s="30"/>
      <c r="B118" s="30"/>
      <c r="C118" s="30"/>
      <c r="D118" s="30"/>
      <c r="F118" s="35">
        <f t="shared" si="5"/>
        <v>-231.9</v>
      </c>
      <c r="G118" s="35">
        <f t="shared" si="6"/>
        <v>54.852</v>
      </c>
    </row>
    <row r="119" spans="1:7" x14ac:dyDescent="0.25">
      <c r="A119" s="30"/>
      <c r="B119" s="30"/>
      <c r="C119" s="30"/>
      <c r="D119" s="30"/>
      <c r="F119" s="35">
        <f t="shared" si="5"/>
        <v>-233.9</v>
      </c>
      <c r="G119" s="35">
        <f t="shared" si="6"/>
      </c>
    </row>
    <row r="120" spans="1:7" x14ac:dyDescent="0.25">
      <c r="A120" s="30"/>
      <c r="B120" s="30"/>
      <c r="C120" s="30"/>
      <c r="D120" s="30"/>
      <c r="F120" s="35">
        <f t="shared" si="5"/>
        <v>-235.9</v>
      </c>
      <c r="G120" s="35">
        <f t="shared" si="6"/>
      </c>
    </row>
    <row r="121" spans="1:7" x14ac:dyDescent="0.25">
      <c r="A121" s="30"/>
      <c r="B121" s="30"/>
      <c r="C121" s="30"/>
      <c r="D121" s="30"/>
      <c r="F121" s="35">
        <f t="shared" si="5"/>
        <v>-237.9</v>
      </c>
      <c r="G121" s="35">
        <f t="shared" si="6"/>
      </c>
    </row>
    <row r="122" spans="1:7" x14ac:dyDescent="0.25">
      <c r="A122" s="30"/>
      <c r="B122" s="30"/>
      <c r="C122" s="30"/>
      <c r="D122" s="30"/>
      <c r="F122" s="35">
        <f t="shared" si="5"/>
        <v>-239.9</v>
      </c>
      <c r="G122" s="35">
        <f t="shared" si="6"/>
      </c>
    </row>
    <row r="123" spans="1:7" x14ac:dyDescent="0.25">
      <c r="A123" s="30"/>
      <c r="B123" s="30"/>
      <c r="C123" s="30"/>
      <c r="D123" s="30"/>
      <c r="F123" s="35">
        <f t="shared" si="5"/>
        <v>-241.9</v>
      </c>
      <c r="G123" s="35">
        <f t="shared" si="6"/>
        <v>54.868</v>
      </c>
    </row>
    <row r="124" spans="1:7" x14ac:dyDescent="0.25">
      <c r="A124" s="30"/>
      <c r="B124" s="30"/>
      <c r="C124" s="30"/>
      <c r="D124" s="30"/>
      <c r="F124" s="35">
        <f t="shared" si="5"/>
        <v>-243.9</v>
      </c>
      <c r="G124" s="35">
        <f t="shared" si="6"/>
        <v>54.88</v>
      </c>
    </row>
    <row r="125" spans="1:7" x14ac:dyDescent="0.25">
      <c r="A125" s="30"/>
      <c r="B125" s="30"/>
      <c r="C125" s="30"/>
      <c r="D125" s="30"/>
      <c r="F125" s="35">
        <f t="shared" si="5"/>
        <v>-245.9</v>
      </c>
      <c r="G125" s="35">
        <f t="shared" si="6"/>
      </c>
    </row>
    <row r="126" spans="1:7" x14ac:dyDescent="0.25">
      <c r="A126" s="30"/>
      <c r="B126" s="30"/>
      <c r="C126" s="30"/>
      <c r="D126" s="30"/>
      <c r="F126" s="35">
        <f t="shared" ref="F126:F157" si="7">IF(IF(A126&lt;&gt;"",0-A126,0-B125)=0,"",IF(A126&lt;&gt;"",0-A126,0-B125))</f>
        <v>-247.9</v>
      </c>
      <c r="G126" s="35">
        <f t="shared" ref="G126:G157" si="8">IF(((C125-D125)&lt;&gt;"")*(D125&lt;&gt;""),55+(C125-D125)/5*2,"")</f>
      </c>
    </row>
    <row r="127" spans="1:7" x14ac:dyDescent="0.25">
      <c r="A127" s="30"/>
      <c r="B127" s="30"/>
      <c r="C127" s="30"/>
      <c r="D127" s="30"/>
      <c r="F127" s="35">
        <f t="shared" si="7"/>
        <v>-249.9</v>
      </c>
      <c r="G127" s="35">
        <f t="shared" si="8"/>
        <v>54.928</v>
      </c>
    </row>
    <row r="128" spans="1:7" x14ac:dyDescent="0.25">
      <c r="A128" s="30"/>
      <c r="B128" s="30"/>
      <c r="C128" s="30"/>
      <c r="D128" s="30"/>
      <c r="F128" s="35">
        <f t="shared" si="7"/>
        <v>-251.9</v>
      </c>
      <c r="G128" s="35">
        <f t="shared" si="8"/>
      </c>
    </row>
    <row r="129" spans="1:7" x14ac:dyDescent="0.25">
      <c r="A129" s="30"/>
      <c r="B129" s="30"/>
      <c r="C129" s="30"/>
      <c r="D129" s="30"/>
      <c r="F129" s="35">
        <f t="shared" si="7"/>
        <v>-253.9</v>
      </c>
      <c r="G129" s="35">
        <f t="shared" si="8"/>
      </c>
    </row>
    <row r="130" spans="1:7" x14ac:dyDescent="0.25">
      <c r="A130" s="30"/>
      <c r="B130" s="30"/>
      <c r="C130" s="30"/>
      <c r="D130" s="30"/>
      <c r="F130" s="35">
        <f t="shared" si="7"/>
        <v>-255.9</v>
      </c>
      <c r="G130" s="35">
        <f t="shared" si="8"/>
        <v>54.892</v>
      </c>
    </row>
    <row r="131" spans="1:7" x14ac:dyDescent="0.25">
      <c r="A131" s="30"/>
      <c r="B131" s="30"/>
      <c r="C131" s="30"/>
      <c r="D131" s="30"/>
      <c r="F131" s="35">
        <f t="shared" si="7"/>
        <v>-257.9</v>
      </c>
      <c r="G131" s="35">
        <f t="shared" si="8"/>
      </c>
    </row>
    <row r="132" spans="1:7" x14ac:dyDescent="0.25">
      <c r="A132" s="30"/>
      <c r="B132" s="30"/>
      <c r="C132" s="30"/>
      <c r="D132" s="30"/>
      <c r="F132" s="35">
        <f t="shared" si="7"/>
        <v>-259.9</v>
      </c>
      <c r="G132" s="35">
        <f t="shared" si="8"/>
      </c>
    </row>
    <row r="133" spans="1:7" x14ac:dyDescent="0.25">
      <c r="A133" s="30"/>
      <c r="B133" s="30"/>
      <c r="C133" s="30"/>
      <c r="D133" s="30"/>
      <c r="F133" s="35">
        <f t="shared" si="7"/>
        <v>-261.9</v>
      </c>
      <c r="G133" s="35">
        <f t="shared" si="8"/>
      </c>
    </row>
    <row r="134" spans="1:7" x14ac:dyDescent="0.25">
      <c r="A134" s="30"/>
      <c r="B134" s="30"/>
      <c r="C134" s="30"/>
      <c r="D134" s="30"/>
      <c r="F134" s="35">
        <f t="shared" si="7"/>
        <v>-263.9</v>
      </c>
      <c r="G134" s="35">
        <f t="shared" si="8"/>
      </c>
    </row>
    <row r="135" spans="1:7" x14ac:dyDescent="0.25">
      <c r="A135" s="30"/>
      <c r="B135" s="30"/>
      <c r="C135" s="30"/>
      <c r="D135" s="30"/>
      <c r="F135" s="35">
        <f t="shared" si="7"/>
        <v>-265.9</v>
      </c>
      <c r="G135" s="35">
        <f t="shared" si="8"/>
        <v>54.88</v>
      </c>
    </row>
    <row r="136" spans="1:7" x14ac:dyDescent="0.25">
      <c r="A136" s="30"/>
      <c r="B136" s="30"/>
      <c r="C136" s="30"/>
      <c r="D136" s="30"/>
      <c r="F136" s="35">
        <f t="shared" si="7"/>
        <v>-267.9</v>
      </c>
      <c r="G136" s="35">
        <f t="shared" si="8"/>
      </c>
    </row>
    <row r="137" spans="1:7" x14ac:dyDescent="0.25">
      <c r="A137" s="30"/>
      <c r="B137" s="30"/>
      <c r="C137" s="30"/>
      <c r="D137" s="30"/>
      <c r="F137" s="35">
        <f t="shared" si="7"/>
        <v>-269.9</v>
      </c>
      <c r="G137" s="35">
        <f t="shared" si="8"/>
      </c>
    </row>
    <row r="138" spans="1:7" x14ac:dyDescent="0.25">
      <c r="A138" s="30"/>
      <c r="B138" s="30"/>
      <c r="C138" s="30"/>
      <c r="D138" s="30"/>
      <c r="F138" s="35">
        <f t="shared" si="7"/>
        <v>-271.9</v>
      </c>
      <c r="G138" s="35">
        <f t="shared" si="8"/>
      </c>
    </row>
    <row r="139" spans="1:7" x14ac:dyDescent="0.25">
      <c r="A139" s="30"/>
      <c r="B139" s="30"/>
      <c r="C139" s="30"/>
      <c r="D139" s="30"/>
      <c r="F139" s="35">
        <f t="shared" si="7"/>
        <v>-273.9</v>
      </c>
      <c r="G139" s="35">
        <f t="shared" si="8"/>
        <v>54.872</v>
      </c>
    </row>
    <row r="140" spans="1:7" x14ac:dyDescent="0.25">
      <c r="A140" s="30"/>
      <c r="B140" s="30"/>
      <c r="C140" s="30"/>
      <c r="D140" s="30"/>
      <c r="F140" s="35">
        <f t="shared" si="7"/>
        <v>-275.9</v>
      </c>
      <c r="G140" s="35">
        <f t="shared" si="8"/>
      </c>
    </row>
    <row r="141" spans="1:7" x14ac:dyDescent="0.25">
      <c r="A141" s="30"/>
      <c r="B141" s="30"/>
      <c r="C141" s="30"/>
      <c r="D141" s="30"/>
      <c r="F141" s="35">
        <f t="shared" si="7"/>
        <v>-277.9</v>
      </c>
      <c r="G141" s="35">
        <f t="shared" si="8"/>
      </c>
    </row>
    <row r="142" spans="1:7" x14ac:dyDescent="0.25">
      <c r="A142" s="30"/>
      <c r="B142" s="30"/>
      <c r="C142" s="30"/>
      <c r="D142" s="30"/>
      <c r="F142" s="35">
        <f t="shared" si="7"/>
        <v>-279.9</v>
      </c>
      <c r="G142" s="35">
        <f t="shared" si="8"/>
      </c>
    </row>
    <row r="143" spans="1:7" x14ac:dyDescent="0.25">
      <c r="A143" s="30"/>
      <c r="B143" s="30"/>
      <c r="C143" s="30"/>
      <c r="D143" s="30"/>
      <c r="F143" s="35">
        <f t="shared" si="7"/>
        <v>-281.9</v>
      </c>
      <c r="G143" s="35">
        <f t="shared" si="8"/>
        <v>54.868</v>
      </c>
    </row>
    <row r="144" spans="1:7" x14ac:dyDescent="0.25">
      <c r="A144" s="30"/>
      <c r="B144" s="30"/>
      <c r="C144" s="30"/>
      <c r="D144" s="30"/>
      <c r="F144" s="35">
        <f t="shared" si="7"/>
        <v>-283.9</v>
      </c>
      <c r="G144" s="35">
        <f t="shared" si="8"/>
      </c>
    </row>
    <row r="145" spans="1:7" x14ac:dyDescent="0.25">
      <c r="A145" s="30"/>
      <c r="B145" s="30"/>
      <c r="C145" s="30"/>
      <c r="D145" s="30"/>
      <c r="F145" s="35">
        <f t="shared" si="7"/>
        <v>-285.9</v>
      </c>
      <c r="G145" s="35">
        <f t="shared" si="8"/>
      </c>
    </row>
    <row r="146" spans="1:7" x14ac:dyDescent="0.25">
      <c r="A146" s="30"/>
      <c r="B146" s="30"/>
      <c r="C146" s="30"/>
      <c r="D146" s="30"/>
      <c r="F146" s="35">
        <f t="shared" si="7"/>
        <v>-287.9</v>
      </c>
      <c r="G146" s="35">
        <f t="shared" si="8"/>
      </c>
    </row>
    <row r="147" spans="1:7" x14ac:dyDescent="0.25">
      <c r="A147" s="30"/>
      <c r="B147" s="30"/>
      <c r="C147" s="30"/>
      <c r="D147" s="30"/>
      <c r="F147" s="35">
        <f t="shared" si="7"/>
        <v>-289.9</v>
      </c>
      <c r="G147" s="35">
        <f t="shared" si="8"/>
      </c>
    </row>
    <row r="148" spans="1:7" x14ac:dyDescent="0.25">
      <c r="A148" s="30"/>
      <c r="B148" s="30"/>
      <c r="C148" s="30"/>
      <c r="D148" s="30"/>
      <c r="F148" s="35">
        <f t="shared" si="7"/>
        <v>-291.9</v>
      </c>
      <c r="G148" s="35">
        <f t="shared" si="8"/>
        <v>54.912</v>
      </c>
    </row>
    <row r="149" spans="1:7" x14ac:dyDescent="0.25">
      <c r="A149" s="30"/>
      <c r="B149" s="30"/>
      <c r="C149" s="30"/>
      <c r="D149" s="30"/>
      <c r="F149" s="35">
        <f t="shared" si="7"/>
        <v>-293.9</v>
      </c>
      <c r="G149" s="35">
        <f t="shared" si="8"/>
      </c>
    </row>
    <row r="150" spans="1:7" x14ac:dyDescent="0.25">
      <c r="A150" s="30"/>
      <c r="B150" s="30"/>
      <c r="C150" s="30"/>
      <c r="D150" s="30"/>
      <c r="F150" s="35">
        <f t="shared" si="7"/>
        <v>-295.9</v>
      </c>
      <c r="G150" s="35">
        <f t="shared" si="8"/>
      </c>
    </row>
    <row r="151" spans="1:7" x14ac:dyDescent="0.25">
      <c r="A151" s="30"/>
      <c r="B151" s="30"/>
      <c r="C151" s="30"/>
      <c r="D151" s="30"/>
      <c r="F151" s="35">
        <f t="shared" si="7"/>
        <v>-297.9</v>
      </c>
      <c r="G151" s="35">
        <f t="shared" si="8"/>
      </c>
    </row>
    <row r="152" spans="1:7" x14ac:dyDescent="0.25">
      <c r="A152" s="30"/>
      <c r="B152" s="30"/>
      <c r="C152" s="30"/>
      <c r="D152" s="30"/>
      <c r="F152" s="35">
        <f t="shared" si="7"/>
        <v>-299.9</v>
      </c>
      <c r="G152" s="35">
        <f t="shared" si="8"/>
        <v>54.88</v>
      </c>
    </row>
    <row r="153" spans="1:7" x14ac:dyDescent="0.25">
      <c r="A153" s="30"/>
      <c r="B153" s="30"/>
      <c r="C153" s="30"/>
      <c r="D153" s="30"/>
      <c r="F153" s="35">
        <f t="shared" si="7"/>
        <v>-301.9</v>
      </c>
      <c r="G153" s="35">
        <f t="shared" si="8"/>
      </c>
    </row>
    <row r="154" spans="1:7" x14ac:dyDescent="0.25">
      <c r="A154" s="30"/>
      <c r="B154" s="30"/>
      <c r="C154" s="30"/>
      <c r="D154" s="30"/>
      <c r="F154" s="35">
        <f t="shared" si="7"/>
        <v>-303.9</v>
      </c>
      <c r="G154" s="35">
        <f t="shared" si="8"/>
      </c>
    </row>
    <row r="155" spans="1:7" x14ac:dyDescent="0.25">
      <c r="A155" s="30"/>
      <c r="B155" s="30"/>
      <c r="C155" s="30"/>
      <c r="D155" s="30"/>
      <c r="F155" s="35">
        <f t="shared" si="7"/>
        <v>-305.9</v>
      </c>
      <c r="G155" s="35">
        <f t="shared" si="8"/>
      </c>
    </row>
    <row r="156" spans="1:7" x14ac:dyDescent="0.25">
      <c r="A156" s="30"/>
      <c r="B156" s="30"/>
      <c r="C156" s="30"/>
      <c r="D156" s="30"/>
      <c r="F156" s="35">
        <f t="shared" si="7"/>
        <v>-307.9</v>
      </c>
      <c r="G156" s="35">
        <f t="shared" si="8"/>
      </c>
    </row>
    <row r="157" spans="1:7" x14ac:dyDescent="0.25">
      <c r="A157" s="30"/>
      <c r="B157" s="30"/>
      <c r="C157" s="30"/>
      <c r="D157" s="30"/>
      <c r="F157" s="35">
        <f t="shared" si="7"/>
        <v>-309.9</v>
      </c>
      <c r="G157" s="35">
        <f t="shared" si="8"/>
        <v>54.864</v>
      </c>
    </row>
    <row r="158" spans="1:7" x14ac:dyDescent="0.25">
      <c r="A158" s="30"/>
      <c r="B158" s="30"/>
      <c r="C158" s="30"/>
      <c r="D158" s="30"/>
      <c r="F158" s="35">
        <f t="shared" ref="F158:F182" si="9">IF(IF(A158&lt;&gt;"",0-A158,0-B157)=0,"",IF(A158&lt;&gt;"",0-A158,0-B157))</f>
        <v>-311.9</v>
      </c>
      <c r="G158" s="35">
        <f t="shared" ref="G158:G182" si="10">IF(((C157-D157)&lt;&gt;"")*(D157&lt;&gt;""),55+(C157-D157)/5*2,"")</f>
      </c>
    </row>
    <row r="159" spans="1:7" x14ac:dyDescent="0.25">
      <c r="A159" s="30"/>
      <c r="B159" s="30"/>
      <c r="C159" s="30"/>
      <c r="D159" s="30"/>
      <c r="F159" s="35">
        <f t="shared" si="9"/>
        <v>-313.9</v>
      </c>
      <c r="G159" s="35">
        <f t="shared" si="10"/>
      </c>
    </row>
    <row r="160" spans="1:7" x14ac:dyDescent="0.25">
      <c r="A160" s="30"/>
      <c r="B160" s="30"/>
      <c r="C160" s="30"/>
      <c r="D160" s="30"/>
      <c r="F160" s="35">
        <f t="shared" si="9"/>
        <v>-315.9</v>
      </c>
      <c r="G160" s="35">
        <f t="shared" si="10"/>
      </c>
    </row>
    <row r="161" spans="1:7" x14ac:dyDescent="0.25">
      <c r="A161" s="30"/>
      <c r="B161" s="30"/>
      <c r="C161" s="30"/>
      <c r="D161" s="30"/>
      <c r="F161" s="35">
        <f t="shared" si="9"/>
        <v>-317.9</v>
      </c>
      <c r="G161" s="35">
        <f t="shared" si="10"/>
      </c>
    </row>
    <row r="162" spans="1:7" x14ac:dyDescent="0.25">
      <c r="A162" s="30"/>
      <c r="B162" s="30"/>
      <c r="C162" s="30"/>
      <c r="D162" s="30"/>
      <c r="F162" s="35">
        <f t="shared" si="9"/>
        <v>-319.9</v>
      </c>
      <c r="G162" s="35">
        <f t="shared" si="10"/>
        <v>54.872</v>
      </c>
    </row>
    <row r="163" spans="1:7" x14ac:dyDescent="0.25">
      <c r="A163" s="30"/>
      <c r="B163" s="30"/>
      <c r="C163" s="30"/>
      <c r="D163" s="30"/>
      <c r="F163" s="35">
        <f t="shared" si="9"/>
        <v>-321.9</v>
      </c>
      <c r="G163" s="35">
        <f t="shared" si="10"/>
      </c>
    </row>
    <row r="164" spans="1:7" x14ac:dyDescent="0.25">
      <c r="A164" s="30"/>
      <c r="B164" s="30"/>
      <c r="C164" s="30"/>
      <c r="D164" s="30"/>
      <c r="F164" s="35">
        <f t="shared" si="9"/>
        <v>-323.9</v>
      </c>
      <c r="G164" s="35">
        <f t="shared" si="10"/>
      </c>
    </row>
    <row r="165" spans="1:7" x14ac:dyDescent="0.25">
      <c r="A165" s="30"/>
      <c r="B165" s="30"/>
      <c r="C165" s="30"/>
      <c r="D165" s="30"/>
      <c r="F165" s="35">
        <f t="shared" si="9"/>
        <v>-325.9</v>
      </c>
      <c r="G165" s="35">
        <f t="shared" si="10"/>
      </c>
    </row>
    <row r="166" spans="1:7" x14ac:dyDescent="0.25">
      <c r="A166" s="30"/>
      <c r="B166" s="30"/>
      <c r="C166" s="30"/>
      <c r="D166" s="30"/>
      <c r="F166" s="35">
        <f t="shared" si="9"/>
        <v>-327.9</v>
      </c>
      <c r="G166" s="35">
        <f t="shared" si="10"/>
      </c>
    </row>
    <row r="167" spans="1:7" x14ac:dyDescent="0.25">
      <c r="A167" s="30"/>
      <c r="B167" s="30"/>
      <c r="C167" s="30"/>
      <c r="D167" s="30"/>
      <c r="F167" s="35">
        <f t="shared" si="9"/>
        <v>-329.9</v>
      </c>
      <c r="G167" s="35">
        <f t="shared" si="10"/>
        <v>54.844</v>
      </c>
    </row>
    <row r="168" spans="1:7" x14ac:dyDescent="0.25">
      <c r="A168" s="30"/>
      <c r="B168" s="30"/>
      <c r="C168" s="30"/>
      <c r="D168" s="30"/>
      <c r="F168" s="35">
        <f t="shared" si="9"/>
        <v>-331.9</v>
      </c>
      <c r="G168" s="35">
        <f t="shared" si="10"/>
      </c>
    </row>
    <row r="169" spans="1:7" x14ac:dyDescent="0.25">
      <c r="A169" s="30"/>
      <c r="B169" s="30"/>
      <c r="C169" s="30"/>
      <c r="D169" s="30"/>
      <c r="F169" s="35">
        <f t="shared" si="9"/>
        <v>-333.9</v>
      </c>
      <c r="G169" s="35">
        <f t="shared" si="10"/>
      </c>
    </row>
    <row r="170" spans="1:7" x14ac:dyDescent="0.25">
      <c r="A170" s="30"/>
      <c r="B170" s="30"/>
      <c r="C170" s="30"/>
      <c r="D170" s="30"/>
      <c r="F170" s="35">
        <f t="shared" si="9"/>
        <v>-335.9</v>
      </c>
      <c r="G170" s="35">
        <f t="shared" si="10"/>
      </c>
    </row>
    <row r="171" spans="1:7" x14ac:dyDescent="0.25">
      <c r="A171" s="30"/>
      <c r="B171" s="30"/>
      <c r="C171" s="30"/>
      <c r="D171" s="30"/>
      <c r="F171" s="35">
        <f t="shared" si="9"/>
        <v>-337.9</v>
      </c>
      <c r="G171" s="35">
        <f t="shared" si="10"/>
        <v>54.872</v>
      </c>
    </row>
    <row r="172" spans="1:7" x14ac:dyDescent="0.25">
      <c r="A172" s="30"/>
      <c r="B172" s="30"/>
      <c r="C172" s="30"/>
      <c r="D172" s="30"/>
      <c r="F172" s="35">
        <f t="shared" si="9"/>
        <v>-339.9</v>
      </c>
      <c r="G172" s="35">
        <f t="shared" si="10"/>
      </c>
    </row>
    <row r="173" spans="1:7" x14ac:dyDescent="0.25">
      <c r="A173" s="30"/>
      <c r="B173" s="30"/>
      <c r="C173" s="30"/>
      <c r="D173" s="30"/>
      <c r="F173" s="35">
        <f t="shared" si="9"/>
        <v>-341.9</v>
      </c>
      <c r="G173" s="35">
        <f t="shared" si="10"/>
      </c>
    </row>
    <row r="174" spans="1:7" x14ac:dyDescent="0.25">
      <c r="A174" s="30"/>
      <c r="B174" s="30"/>
      <c r="C174" s="30"/>
      <c r="D174" s="30"/>
      <c r="F174" s="35">
        <f t="shared" si="9"/>
        <v>-343.9</v>
      </c>
      <c r="G174" s="35">
        <f t="shared" si="10"/>
      </c>
    </row>
    <row r="175" spans="1:7" x14ac:dyDescent="0.25">
      <c r="A175" s="30"/>
      <c r="B175" s="30"/>
      <c r="C175" s="30"/>
      <c r="D175" s="30"/>
      <c r="F175" s="35">
        <f t="shared" si="9"/>
        <v>-345.9</v>
      </c>
      <c r="G175" s="35">
        <f t="shared" si="10"/>
        <v>54.832</v>
      </c>
    </row>
    <row r="176" spans="1:7" x14ac:dyDescent="0.25">
      <c r="A176" s="30"/>
      <c r="B176" s="30"/>
      <c r="C176" s="30"/>
      <c r="D176" s="30"/>
      <c r="F176" s="35">
        <f t="shared" si="9"/>
        <v>-347.9</v>
      </c>
      <c r="G176" s="35">
        <f t="shared" si="10"/>
      </c>
    </row>
    <row r="177" spans="1:7" x14ac:dyDescent="0.25">
      <c r="A177" s="30"/>
      <c r="B177" s="30"/>
      <c r="C177" s="30"/>
      <c r="D177" s="30"/>
      <c r="F177" s="35">
        <f t="shared" si="9"/>
        <v>-349.9</v>
      </c>
      <c r="G177" s="35">
        <f t="shared" si="10"/>
      </c>
    </row>
    <row r="178" spans="1:7" x14ac:dyDescent="0.25">
      <c r="A178" s="30"/>
      <c r="B178" s="30"/>
      <c r="C178" s="30"/>
      <c r="D178" s="30"/>
      <c r="F178" s="35">
        <f t="shared" si="9"/>
        <v>-351.9</v>
      </c>
      <c r="G178" s="35">
        <f t="shared" si="10"/>
      </c>
    </row>
    <row r="179" spans="1:7" x14ac:dyDescent="0.25">
      <c r="A179" s="30"/>
      <c r="B179" s="30"/>
      <c r="C179" s="30"/>
      <c r="D179" s="30"/>
      <c r="F179" s="35">
        <f t="shared" si="9"/>
        <v>-353.9</v>
      </c>
      <c r="G179" s="35">
        <f t="shared" si="10"/>
      </c>
    </row>
    <row r="180" spans="1:7" x14ac:dyDescent="0.25">
      <c r="A180" s="30"/>
      <c r="B180" s="30"/>
      <c r="C180" s="30"/>
      <c r="D180" s="30"/>
      <c r="F180" s="35">
        <f t="shared" si="9"/>
        <v>-355.9</v>
      </c>
      <c r="G180" s="35">
        <f t="shared" si="10"/>
        <v>54.908</v>
      </c>
    </row>
    <row r="181" spans="1:7" x14ac:dyDescent="0.25">
      <c r="A181" s="30"/>
      <c r="B181" s="30"/>
      <c r="C181" s="30"/>
      <c r="D181" s="30"/>
      <c r="F181" s="35">
        <f t="shared" si="9"/>
        <v>-357.9</v>
      </c>
      <c r="G181" s="35">
        <f t="shared" si="10"/>
      </c>
    </row>
    <row r="182" spans="1:7" x14ac:dyDescent="0.25">
      <c r="A182" s="30"/>
      <c r="B182" s="30"/>
      <c r="C182" s="30"/>
      <c r="D182" s="30"/>
      <c r="F182" s="35">
        <f t="shared" si="9"/>
        <v>-359.9</v>
      </c>
      <c r="G182" s="35">
        <f t="shared" si="10"/>
        <v>54.832</v>
      </c>
    </row>
    <row r="183" spans="1:7" x14ac:dyDescent="0.25">
      <c r="A183" s="30"/>
      <c r="B183" s="30"/>
      <c r="C183" s="30"/>
      <c r="D183" s="30"/>
      <c r="F183" s="35">
        <f t="shared" ref="F183:F214" si="11">IF(IF(A183&lt;&gt;"",0-A183,0-B182)=0,"",IF(A183&lt;&gt;"",0-A183,0-B182))</f>
        <v>-361.9</v>
      </c>
      <c r="G183" s="35">
        <f t="shared" ref="G183:G214" si="12">IF(((C182-D182)&lt;&gt;"")*(D182&lt;&gt;""),55+(C182-D182)/5*2,"")</f>
      </c>
    </row>
    <row r="184" spans="1:7" x14ac:dyDescent="0.25">
      <c r="A184" s="30"/>
      <c r="B184" s="30"/>
      <c r="C184" s="30"/>
      <c r="D184" s="30"/>
      <c r="F184" s="35">
        <f t="shared" si="11"/>
        <v>-363.9</v>
      </c>
      <c r="G184" s="35">
        <f t="shared" si="12"/>
        <v>54.864</v>
      </c>
    </row>
    <row r="185" spans="1:7" x14ac:dyDescent="0.25">
      <c r="A185" s="30"/>
      <c r="B185" s="30"/>
      <c r="C185" s="30"/>
      <c r="D185" s="30"/>
      <c r="F185" s="35">
        <f t="shared" si="11"/>
        <v>-365.9</v>
      </c>
      <c r="G185" s="35">
        <f t="shared" si="12"/>
      </c>
    </row>
    <row r="186" spans="1:7" x14ac:dyDescent="0.25">
      <c r="A186" s="30"/>
      <c r="B186" s="30"/>
      <c r="C186" s="30"/>
      <c r="D186" s="30"/>
      <c r="F186" s="35">
        <f t="shared" si="11"/>
        <v>-367.9</v>
      </c>
      <c r="G186" s="35">
        <f t="shared" si="12"/>
      </c>
    </row>
    <row r="187" spans="1:7" x14ac:dyDescent="0.25">
      <c r="A187" s="30"/>
      <c r="B187" s="30"/>
      <c r="C187" s="30"/>
      <c r="D187" s="30"/>
      <c r="F187" s="35">
        <f t="shared" si="11"/>
        <v>-369.9</v>
      </c>
      <c r="G187" s="35">
        <f t="shared" si="12"/>
        <v>54.868</v>
      </c>
    </row>
    <row r="188" spans="1:7" x14ac:dyDescent="0.25">
      <c r="A188" s="30"/>
      <c r="B188" s="30"/>
      <c r="C188" s="30"/>
      <c r="D188" s="30"/>
      <c r="F188" s="35">
        <f t="shared" si="11"/>
        <v>-371.9</v>
      </c>
      <c r="G188" s="35">
        <f t="shared" si="12"/>
        <v>54.804</v>
      </c>
    </row>
    <row r="189" spans="1:7" x14ac:dyDescent="0.25">
      <c r="A189" s="30"/>
      <c r="B189" s="30"/>
      <c r="C189" s="30"/>
      <c r="D189" s="30"/>
      <c r="F189" s="35">
        <f t="shared" si="11"/>
        <v>-373.9</v>
      </c>
      <c r="G189" s="35">
        <f t="shared" si="12"/>
      </c>
    </row>
    <row r="190" spans="1:7" x14ac:dyDescent="0.25">
      <c r="A190" s="30"/>
      <c r="B190" s="30"/>
      <c r="C190" s="30"/>
      <c r="D190" s="30"/>
      <c r="F190" s="35">
        <f t="shared" si="11"/>
        <v>-375.9</v>
      </c>
      <c r="G190" s="35">
        <f t="shared" si="12"/>
      </c>
    </row>
    <row r="191" spans="1:7" x14ac:dyDescent="0.25">
      <c r="A191" s="30"/>
      <c r="B191" s="30"/>
      <c r="C191" s="30"/>
      <c r="D191" s="30"/>
      <c r="F191" s="35">
        <f t="shared" si="11"/>
        <v>-377.9</v>
      </c>
      <c r="G191" s="35">
        <f t="shared" si="12"/>
      </c>
    </row>
    <row r="192" spans="1:7" x14ac:dyDescent="0.25">
      <c r="A192" s="30"/>
      <c r="B192" s="30"/>
      <c r="C192" s="30"/>
      <c r="D192" s="30"/>
      <c r="F192" s="35">
        <f t="shared" si="11"/>
        <v>-379.9</v>
      </c>
      <c r="G192" s="35">
        <f t="shared" si="12"/>
      </c>
    </row>
    <row r="193" spans="1:7" x14ac:dyDescent="0.25">
      <c r="A193" s="30"/>
      <c r="B193" s="30"/>
      <c r="C193" s="30"/>
      <c r="D193" s="30"/>
      <c r="F193" s="35">
        <f t="shared" si="11"/>
        <v>-381.9</v>
      </c>
      <c r="G193" s="35">
        <f t="shared" si="12"/>
        <v>54.876</v>
      </c>
    </row>
    <row r="194" spans="1:7" x14ac:dyDescent="0.25">
      <c r="A194" s="30"/>
      <c r="B194" s="30"/>
      <c r="C194" s="30"/>
      <c r="D194" s="30"/>
      <c r="F194" s="35">
        <f t="shared" si="11"/>
        <v>-383.9</v>
      </c>
      <c r="G194" s="35">
        <f t="shared" si="12"/>
      </c>
    </row>
    <row r="195" spans="1:7" x14ac:dyDescent="0.25">
      <c r="A195" s="30"/>
      <c r="B195" s="30"/>
      <c r="C195" s="30"/>
      <c r="D195" s="30"/>
      <c r="F195" s="35">
        <f t="shared" si="11"/>
        <v>-385.9</v>
      </c>
      <c r="G195" s="35">
        <f t="shared" si="12"/>
      </c>
    </row>
    <row r="196" spans="1:7" x14ac:dyDescent="0.25">
      <c r="A196" s="30"/>
      <c r="B196" s="30"/>
      <c r="C196" s="30"/>
      <c r="D196" s="30"/>
      <c r="F196" s="35">
        <f t="shared" si="11"/>
        <v>-387.9</v>
      </c>
      <c r="G196" s="35">
        <f t="shared" si="12"/>
      </c>
    </row>
    <row r="197" spans="1:7" x14ac:dyDescent="0.25">
      <c r="A197" s="30"/>
      <c r="B197" s="30"/>
      <c r="C197" s="30"/>
      <c r="D197" s="30"/>
      <c r="F197" s="35">
        <f t="shared" si="11"/>
        <v>-389.9</v>
      </c>
      <c r="G197" s="35">
        <f t="shared" si="12"/>
      </c>
    </row>
    <row r="198" spans="1:7" x14ac:dyDescent="0.25">
      <c r="A198" s="30"/>
      <c r="B198" s="30"/>
      <c r="C198" s="30"/>
      <c r="D198" s="30"/>
      <c r="F198" s="35">
        <f t="shared" si="11"/>
        <v>-391.9</v>
      </c>
      <c r="G198" s="35">
        <f t="shared" si="12"/>
      </c>
    </row>
    <row r="199" spans="1:7" x14ac:dyDescent="0.25">
      <c r="A199" s="30"/>
      <c r="B199" s="30"/>
      <c r="C199" s="30"/>
      <c r="D199" s="30"/>
      <c r="F199" s="35">
        <f t="shared" si="11"/>
        <v>-393.9</v>
      </c>
      <c r="G199" s="35">
        <f t="shared" si="12"/>
        <v>54.872</v>
      </c>
    </row>
    <row r="200" spans="1:7" x14ac:dyDescent="0.25">
      <c r="A200" s="30"/>
      <c r="B200" s="30"/>
      <c r="C200" s="30"/>
      <c r="D200" s="30"/>
      <c r="F200" s="35">
        <f t="shared" si="11"/>
        <v>-395.9</v>
      </c>
      <c r="G200" s="35">
        <f t="shared" si="12"/>
      </c>
    </row>
    <row r="201" spans="1:7" x14ac:dyDescent="0.25">
      <c r="A201" s="30"/>
      <c r="B201" s="30"/>
      <c r="C201" s="30"/>
      <c r="D201" s="30"/>
      <c r="F201" s="35">
        <f t="shared" si="11"/>
        <v>-397.9</v>
      </c>
      <c r="G201" s="35">
        <f t="shared" si="12"/>
      </c>
    </row>
    <row r="202" spans="1:7" x14ac:dyDescent="0.25">
      <c r="A202" s="30"/>
      <c r="B202" s="30"/>
      <c r="C202" s="30"/>
      <c r="D202" s="30"/>
      <c r="F202" s="35">
        <f t="shared" si="11"/>
        <v>-399.9</v>
      </c>
      <c r="G202" s="35">
        <f t="shared" si="12"/>
        <v>54.884</v>
      </c>
    </row>
    <row r="203" spans="1:7" x14ac:dyDescent="0.25">
      <c r="A203" s="30"/>
      <c r="B203" s="30"/>
      <c r="C203" s="30"/>
      <c r="D203" s="30"/>
      <c r="F203" s="35">
        <f t="shared" si="11"/>
        <v>-401.9</v>
      </c>
      <c r="G203" s="35">
        <f t="shared" si="12"/>
      </c>
    </row>
    <row r="204" spans="1:7" x14ac:dyDescent="0.25">
      <c r="A204" s="30"/>
      <c r="B204" s="30"/>
      <c r="C204" s="30"/>
      <c r="D204" s="30"/>
      <c r="F204" s="35">
        <f t="shared" si="11"/>
        <v>-403.9</v>
      </c>
      <c r="G204" s="35">
        <f t="shared" si="12"/>
      </c>
    </row>
    <row r="205" spans="1:7" x14ac:dyDescent="0.25">
      <c r="A205" s="30"/>
      <c r="B205" s="30"/>
      <c r="C205" s="30"/>
      <c r="D205" s="30"/>
      <c r="F205" s="35">
        <f t="shared" si="11"/>
        <v>-405.9</v>
      </c>
      <c r="G205" s="35">
        <f t="shared" si="12"/>
        <v>54.876</v>
      </c>
    </row>
    <row r="206" spans="1:7" x14ac:dyDescent="0.25">
      <c r="A206" s="30"/>
      <c r="B206" s="30"/>
      <c r="C206" s="30"/>
      <c r="D206" s="30"/>
      <c r="F206" s="35">
        <f t="shared" si="11"/>
        <v>-407.9</v>
      </c>
      <c r="G206" s="35">
        <f t="shared" si="12"/>
      </c>
    </row>
    <row r="207" spans="1:7" x14ac:dyDescent="0.25">
      <c r="A207" s="30"/>
      <c r="B207" s="30"/>
      <c r="C207" s="30"/>
      <c r="D207" s="30"/>
      <c r="F207" s="35">
        <f t="shared" si="11"/>
        <v>-409.9</v>
      </c>
      <c r="G207" s="35">
        <f t="shared" si="12"/>
      </c>
    </row>
    <row r="208" spans="1:7" x14ac:dyDescent="0.25">
      <c r="A208" s="30"/>
      <c r="B208" s="30"/>
      <c r="C208" s="30"/>
      <c r="D208" s="30"/>
      <c r="F208" s="35">
        <f t="shared" si="11"/>
        <v>-411.9</v>
      </c>
      <c r="G208" s="35">
        <f t="shared" si="12"/>
        <v>54.864</v>
      </c>
    </row>
    <row r="209" spans="1:7" x14ac:dyDescent="0.25">
      <c r="A209" s="30"/>
      <c r="B209" s="30"/>
      <c r="C209" s="30"/>
      <c r="D209" s="30"/>
      <c r="F209" s="35">
        <f t="shared" si="11"/>
        <v>-413.9</v>
      </c>
      <c r="G209" s="35">
        <f t="shared" si="12"/>
      </c>
    </row>
    <row r="210" spans="1:7" x14ac:dyDescent="0.25">
      <c r="A210" s="30"/>
      <c r="B210" s="30"/>
      <c r="C210" s="30"/>
      <c r="D210" s="30"/>
      <c r="F210" s="35">
        <f t="shared" si="11"/>
        <v>-415.9</v>
      </c>
      <c r="G210" s="35">
        <f t="shared" si="12"/>
      </c>
    </row>
    <row r="211" spans="1:7" x14ac:dyDescent="0.25">
      <c r="A211" s="30"/>
      <c r="B211" s="30"/>
      <c r="C211" s="30"/>
      <c r="D211" s="30"/>
      <c r="F211" s="35">
        <f t="shared" si="11"/>
        <v>-417.9</v>
      </c>
      <c r="G211" s="35">
        <f t="shared" si="12"/>
      </c>
    </row>
    <row r="212" spans="1:7" x14ac:dyDescent="0.25">
      <c r="A212" s="30"/>
      <c r="B212" s="30"/>
      <c r="C212" s="30"/>
      <c r="D212" s="30"/>
      <c r="F212" s="35">
        <f t="shared" si="11"/>
        <v>-419.9</v>
      </c>
      <c r="G212" s="35">
        <f t="shared" si="12"/>
      </c>
    </row>
    <row r="213" spans="1:7" x14ac:dyDescent="0.25">
      <c r="A213" s="30"/>
      <c r="B213" s="30"/>
      <c r="C213" s="30"/>
      <c r="D213" s="30"/>
      <c r="F213" s="35">
        <f t="shared" si="11"/>
        <v>-421.9</v>
      </c>
      <c r="G213" s="35">
        <f t="shared" si="12"/>
        <v>54.868</v>
      </c>
    </row>
    <row r="214" spans="1:7" x14ac:dyDescent="0.25">
      <c r="A214" s="30"/>
      <c r="B214" s="30"/>
      <c r="C214" s="30"/>
      <c r="D214" s="30"/>
      <c r="F214" s="35">
        <f t="shared" si="11"/>
        <v>-423.9</v>
      </c>
      <c r="G214" s="35">
        <f t="shared" si="12"/>
      </c>
    </row>
    <row r="215" spans="1:7" x14ac:dyDescent="0.25">
      <c r="A215" s="30"/>
      <c r="B215" s="30"/>
      <c r="C215" s="30"/>
      <c r="D215" s="30"/>
      <c r="F215" s="35">
        <f t="shared" ref="F215:F246" si="13">IF(IF(A215&lt;&gt;"",0-A215,0-B214)=0,"",IF(A215&lt;&gt;"",0-A215,0-B214))</f>
        <v>-425.9</v>
      </c>
      <c r="G215" s="35">
        <f t="shared" ref="G215:G246" si="14">IF(((C214-D214)&lt;&gt;"")*(D214&lt;&gt;""),55+(C214-D214)/5*2,"")</f>
        <v>54.932</v>
      </c>
    </row>
    <row r="216" spans="1:7" x14ac:dyDescent="0.25">
      <c r="A216" s="30"/>
      <c r="B216" s="30"/>
      <c r="C216" s="30"/>
      <c r="D216" s="30"/>
      <c r="F216" s="35">
        <f t="shared" si="13"/>
        <v>-427.9</v>
      </c>
      <c r="G216" s="35">
        <f t="shared" si="14"/>
      </c>
    </row>
    <row r="217" spans="1:7" x14ac:dyDescent="0.25">
      <c r="A217" s="30"/>
      <c r="B217" s="30"/>
      <c r="C217" s="30"/>
      <c r="D217" s="30"/>
      <c r="F217" s="35">
        <f t="shared" si="13"/>
        <v>-429.9</v>
      </c>
      <c r="G217" s="35">
        <f t="shared" si="14"/>
        <v>54.8832</v>
      </c>
    </row>
    <row r="218" spans="1:7" x14ac:dyDescent="0.25">
      <c r="A218" s="30"/>
      <c r="B218" s="30"/>
      <c r="C218" s="30"/>
      <c r="D218" s="30"/>
      <c r="F218" s="35">
        <f t="shared" si="13"/>
        <v>-431.9</v>
      </c>
      <c r="G218" s="35">
        <f t="shared" si="14"/>
      </c>
    </row>
    <row r="219" spans="1:7" x14ac:dyDescent="0.25">
      <c r="A219" s="30"/>
      <c r="B219" s="30"/>
      <c r="C219" s="30"/>
      <c r="D219" s="30"/>
      <c r="F219" s="35">
        <f t="shared" si="13"/>
        <v>-433.9</v>
      </c>
      <c r="G219" s="35">
        <f t="shared" si="14"/>
        <v>54.884</v>
      </c>
    </row>
    <row r="220" spans="1:7" x14ac:dyDescent="0.25">
      <c r="A220" s="30"/>
      <c r="B220" s="30"/>
      <c r="C220" s="30"/>
      <c r="D220" s="30"/>
      <c r="F220" s="35">
        <f t="shared" si="13"/>
        <v>-435.9</v>
      </c>
      <c r="G220" s="35">
        <f t="shared" si="14"/>
      </c>
    </row>
    <row r="221" spans="1:7" x14ac:dyDescent="0.25">
      <c r="A221" s="30"/>
      <c r="B221" s="30"/>
      <c r="C221" s="30"/>
      <c r="D221" s="30"/>
      <c r="F221" s="35">
        <f t="shared" si="13"/>
        <v>-437.9</v>
      </c>
      <c r="G221" s="35">
        <f t="shared" si="14"/>
      </c>
    </row>
    <row r="222" spans="1:7" x14ac:dyDescent="0.25">
      <c r="A222" s="30"/>
      <c r="B222" s="30"/>
      <c r="C222" s="30"/>
      <c r="D222" s="30"/>
      <c r="F222" s="35">
        <f t="shared" si="13"/>
        <v>-439.9</v>
      </c>
      <c r="G222" s="35">
        <f t="shared" si="14"/>
      </c>
    </row>
    <row r="223" spans="1:7" x14ac:dyDescent="0.25">
      <c r="A223" s="30"/>
      <c r="B223" s="30"/>
      <c r="C223" s="30"/>
      <c r="D223" s="30"/>
      <c r="F223" s="35">
        <f t="shared" si="13"/>
        <v>-441.9</v>
      </c>
      <c r="G223" s="35">
        <f t="shared" si="14"/>
        <v>54.844</v>
      </c>
    </row>
    <row r="224" spans="1:7" x14ac:dyDescent="0.25">
      <c r="A224" s="30"/>
      <c r="B224" s="30"/>
      <c r="C224" s="30"/>
      <c r="D224" s="30"/>
      <c r="F224" s="35">
        <f t="shared" si="13"/>
        <v>-443.9</v>
      </c>
      <c r="G224" s="35">
        <f t="shared" si="14"/>
      </c>
    </row>
    <row r="225" spans="1:7" x14ac:dyDescent="0.25">
      <c r="A225" s="30"/>
      <c r="B225" s="30"/>
      <c r="C225" s="30"/>
      <c r="D225" s="30"/>
      <c r="F225" s="35">
        <f t="shared" si="13"/>
        <v>-445.9</v>
      </c>
      <c r="G225" s="35">
        <f t="shared" si="14"/>
      </c>
    </row>
    <row r="226" spans="1:7" x14ac:dyDescent="0.25">
      <c r="A226" s="30"/>
      <c r="B226" s="30"/>
      <c r="C226" s="30"/>
      <c r="D226" s="30"/>
      <c r="F226" s="35">
        <f t="shared" si="13"/>
        <v>-447.9</v>
      </c>
      <c r="G226" s="35">
        <f t="shared" si="14"/>
      </c>
    </row>
    <row r="227" spans="1:7" x14ac:dyDescent="0.25">
      <c r="A227" s="30"/>
      <c r="B227" s="30"/>
      <c r="C227" s="30"/>
      <c r="D227" s="30"/>
      <c r="F227" s="35">
        <f t="shared" si="13"/>
        <v>-449.9</v>
      </c>
      <c r="G227" s="35">
        <f t="shared" si="14"/>
        <v>54.9</v>
      </c>
    </row>
    <row r="228" spans="1:7" x14ac:dyDescent="0.25">
      <c r="A228" s="30"/>
      <c r="B228" s="30"/>
      <c r="C228" s="30"/>
      <c r="D228" s="30"/>
      <c r="F228" s="35">
        <f t="shared" si="13"/>
        <v>-451.9</v>
      </c>
      <c r="G228" s="35">
        <f t="shared" si="14"/>
        <v>54.916</v>
      </c>
    </row>
    <row r="229" spans="1:7" x14ac:dyDescent="0.25">
      <c r="A229" s="30"/>
      <c r="B229" s="30"/>
      <c r="C229" s="30"/>
      <c r="D229" s="30"/>
      <c r="F229" s="35">
        <f t="shared" si="13"/>
        <v>-453.9</v>
      </c>
      <c r="G229" s="35">
        <f t="shared" si="14"/>
      </c>
    </row>
    <row r="230" spans="1:7" x14ac:dyDescent="0.25">
      <c r="A230" s="30"/>
      <c r="B230" s="30"/>
      <c r="C230" s="30"/>
      <c r="D230" s="30"/>
      <c r="F230" s="35">
        <f t="shared" si="13"/>
        <v>-455.9</v>
      </c>
      <c r="G230" s="35">
        <f t="shared" si="14"/>
      </c>
    </row>
    <row r="231" spans="1:7" x14ac:dyDescent="0.25">
      <c r="A231" s="30"/>
      <c r="B231" s="30"/>
      <c r="C231" s="30"/>
      <c r="D231" s="30"/>
      <c r="F231" s="35">
        <f t="shared" si="13"/>
        <v>-457.9</v>
      </c>
      <c r="G231" s="35">
        <f t="shared" si="14"/>
        <v>54.832</v>
      </c>
    </row>
    <row r="232" spans="1:7" x14ac:dyDescent="0.25">
      <c r="A232" s="30"/>
      <c r="B232" s="30"/>
      <c r="C232" s="30"/>
      <c r="D232" s="30"/>
      <c r="F232" s="35">
        <f t="shared" si="13"/>
        <v>-459.9</v>
      </c>
      <c r="G232" s="35">
        <f t="shared" si="14"/>
      </c>
    </row>
    <row r="233" spans="1:7" x14ac:dyDescent="0.25">
      <c r="A233" s="30"/>
      <c r="B233" s="30"/>
      <c r="C233" s="30"/>
      <c r="D233" s="30"/>
      <c r="F233" s="35">
        <f t="shared" si="13"/>
        <v>-461.9</v>
      </c>
      <c r="G233" s="35">
        <f t="shared" si="14"/>
      </c>
    </row>
    <row r="234" spans="1:7" x14ac:dyDescent="0.25">
      <c r="A234" s="30"/>
      <c r="B234" s="30"/>
      <c r="C234" s="30"/>
      <c r="D234" s="30"/>
      <c r="F234" s="35">
        <f t="shared" si="13"/>
        <v>-463.9</v>
      </c>
      <c r="G234" s="35">
        <f t="shared" si="14"/>
      </c>
    </row>
    <row r="235" spans="1:7" x14ac:dyDescent="0.25">
      <c r="A235" s="30"/>
      <c r="B235" s="30"/>
      <c r="C235" s="30"/>
      <c r="D235" s="30"/>
      <c r="F235" s="35">
        <f t="shared" si="13"/>
        <v>-465.9</v>
      </c>
      <c r="G235" s="35">
        <f t="shared" si="14"/>
        <v>54.908</v>
      </c>
    </row>
    <row r="236" spans="1:7" x14ac:dyDescent="0.25">
      <c r="A236" s="30"/>
      <c r="B236" s="30"/>
      <c r="C236" s="30"/>
      <c r="D236" s="30"/>
      <c r="F236" s="35">
        <f t="shared" si="13"/>
        <v>-467.9</v>
      </c>
      <c r="G236" s="35">
        <f t="shared" si="14"/>
        <v>54.896</v>
      </c>
    </row>
    <row r="237" spans="1:7" x14ac:dyDescent="0.25">
      <c r="A237" s="30"/>
      <c r="B237" s="30"/>
      <c r="C237" s="30"/>
      <c r="D237" s="30"/>
      <c r="F237" s="35">
        <f t="shared" si="13"/>
        <v>-469.9</v>
      </c>
      <c r="G237" s="35">
        <f t="shared" si="14"/>
      </c>
    </row>
    <row r="238" spans="1:7" x14ac:dyDescent="0.25">
      <c r="A238" s="30"/>
      <c r="B238" s="30"/>
      <c r="C238" s="30"/>
      <c r="D238" s="30"/>
      <c r="F238" s="35">
        <f t="shared" si="13"/>
        <v>-471.9</v>
      </c>
      <c r="G238" s="35">
        <f t="shared" si="14"/>
      </c>
    </row>
    <row r="239" spans="1:7" x14ac:dyDescent="0.25">
      <c r="A239" s="30"/>
      <c r="B239" s="30"/>
      <c r="C239" s="30"/>
      <c r="D239" s="30"/>
      <c r="F239" s="35">
        <f t="shared" si="13"/>
        <v>-473.9</v>
      </c>
      <c r="G239" s="35">
        <f t="shared" si="14"/>
      </c>
    </row>
    <row r="240" spans="1:7" x14ac:dyDescent="0.25">
      <c r="A240" s="30"/>
      <c r="B240" s="30"/>
      <c r="C240" s="30"/>
      <c r="D240" s="30"/>
      <c r="F240" s="35">
        <f t="shared" si="13"/>
        <v>-475.9</v>
      </c>
      <c r="G240" s="35">
        <f t="shared" si="14"/>
      </c>
    </row>
    <row r="241" spans="1:7" x14ac:dyDescent="0.25">
      <c r="A241" s="30"/>
      <c r="B241" s="30"/>
      <c r="C241" s="30"/>
      <c r="D241" s="30"/>
      <c r="F241" s="35">
        <f t="shared" si="13"/>
        <v>-477.9</v>
      </c>
      <c r="G241" s="35">
        <f t="shared" si="14"/>
      </c>
    </row>
    <row r="242" spans="1:7" x14ac:dyDescent="0.25">
      <c r="A242" s="30"/>
      <c r="B242" s="30"/>
      <c r="C242" s="30"/>
      <c r="D242" s="30"/>
      <c r="F242" s="35">
        <f t="shared" si="13"/>
        <v>-479.9</v>
      </c>
      <c r="G242" s="35">
        <f t="shared" si="14"/>
        <v>54.856</v>
      </c>
    </row>
    <row r="243" spans="1:7" x14ac:dyDescent="0.25">
      <c r="A243" s="30"/>
      <c r="B243" s="30"/>
      <c r="C243" s="30"/>
      <c r="D243" s="30"/>
      <c r="F243" s="35">
        <f t="shared" si="13"/>
        <v>-481.9</v>
      </c>
      <c r="G243" s="35">
        <f t="shared" si="14"/>
      </c>
    </row>
    <row r="244" spans="1:7" x14ac:dyDescent="0.25">
      <c r="A244" s="30"/>
      <c r="B244" s="30"/>
      <c r="C244" s="30"/>
      <c r="D244" s="30"/>
      <c r="F244" s="35">
        <f t="shared" si="13"/>
        <v>-483.9</v>
      </c>
      <c r="G244" s="35">
        <f t="shared" si="14"/>
        <v>54.856</v>
      </c>
    </row>
    <row r="245" spans="1:7" x14ac:dyDescent="0.25">
      <c r="A245" s="30"/>
      <c r="B245" s="30"/>
      <c r="C245" s="30"/>
      <c r="D245" s="30"/>
      <c r="F245" s="35">
        <f t="shared" si="13"/>
        <v>-485.9</v>
      </c>
      <c r="G245" s="35">
        <f t="shared" si="14"/>
      </c>
    </row>
    <row r="246" spans="1:7" x14ac:dyDescent="0.25">
      <c r="A246" s="30"/>
      <c r="B246" s="30"/>
      <c r="C246" s="30"/>
      <c r="D246" s="30"/>
      <c r="F246" s="35">
        <f t="shared" si="13"/>
        <v>-487.9</v>
      </c>
      <c r="G246" s="35">
        <f t="shared" si="14"/>
        <v>54.86</v>
      </c>
    </row>
    <row r="247" spans="1:7" x14ac:dyDescent="0.25">
      <c r="A247" s="30"/>
      <c r="B247" s="30"/>
      <c r="C247" s="30"/>
      <c r="D247" s="30"/>
      <c r="F247" s="35">
        <f t="shared" ref="F247:F278" si="15">IF(IF(A247&lt;&gt;"",0-A247,0-B246)=0,"",IF(A247&lt;&gt;"",0-A247,0-B246))</f>
        <v>-489.9</v>
      </c>
      <c r="G247" s="35">
        <f t="shared" ref="G247:G278" si="16">IF(((C246-D246)&lt;&gt;"")*(D246&lt;&gt;""),55+(C246-D246)/5*2,"")</f>
      </c>
    </row>
    <row r="248" spans="1:7" x14ac:dyDescent="0.25">
      <c r="A248" s="30"/>
      <c r="B248" s="30"/>
      <c r="C248" s="30"/>
      <c r="D248" s="30"/>
      <c r="F248" s="35">
        <f t="shared" si="15"/>
        <v>-491.9</v>
      </c>
      <c r="G248" s="35">
        <f t="shared" si="16"/>
        <v>54.872</v>
      </c>
    </row>
    <row r="249" spans="1:7" x14ac:dyDescent="0.25">
      <c r="A249" s="30"/>
      <c r="B249" s="30"/>
      <c r="C249" s="30"/>
      <c r="D249" s="30"/>
      <c r="F249" s="35">
        <f t="shared" si="15"/>
        <v>-493.9</v>
      </c>
      <c r="G249" s="35">
        <f t="shared" si="16"/>
      </c>
    </row>
    <row r="250" spans="1:7" x14ac:dyDescent="0.25">
      <c r="A250" s="30"/>
      <c r="B250" s="30"/>
      <c r="C250" s="30"/>
      <c r="D250" s="30"/>
      <c r="F250" s="35">
        <f t="shared" si="15"/>
        <v>-495.9</v>
      </c>
      <c r="G250" s="35">
        <f t="shared" si="16"/>
      </c>
    </row>
    <row r="251" spans="1:7" x14ac:dyDescent="0.25">
      <c r="A251" s="30"/>
      <c r="B251" s="30"/>
      <c r="C251" s="30"/>
      <c r="D251" s="30"/>
      <c r="F251" s="35">
        <f t="shared" si="15"/>
        <v>-497.9</v>
      </c>
      <c r="G251" s="35">
        <f t="shared" si="16"/>
      </c>
    </row>
    <row r="252" spans="1:7" x14ac:dyDescent="0.25">
      <c r="A252" s="30"/>
      <c r="B252" s="30"/>
      <c r="C252" s="30"/>
      <c r="D252" s="30"/>
      <c r="F252" s="35">
        <f t="shared" si="15"/>
        <v>-499.9</v>
      </c>
      <c r="G252" s="35">
        <f t="shared" si="16"/>
        <v>54.888</v>
      </c>
    </row>
    <row r="253" spans="1:7" x14ac:dyDescent="0.25">
      <c r="A253" s="30"/>
      <c r="B253" s="30"/>
      <c r="C253" s="30"/>
      <c r="D253" s="30"/>
      <c r="F253" s="35">
        <f t="shared" si="15"/>
        <v>-501.9</v>
      </c>
      <c r="G253" s="35">
        <f t="shared" si="16"/>
      </c>
    </row>
    <row r="254" spans="1:7" x14ac:dyDescent="0.25">
      <c r="A254" s="30"/>
      <c r="B254" s="30"/>
      <c r="C254" s="30"/>
      <c r="D254" s="30"/>
      <c r="F254" s="35">
        <f t="shared" si="15"/>
        <v>-503.9</v>
      </c>
      <c r="G254" s="35">
        <f t="shared" si="16"/>
      </c>
    </row>
    <row r="255" spans="1:7" x14ac:dyDescent="0.25">
      <c r="A255" s="30"/>
      <c r="B255" s="30"/>
      <c r="C255" s="30"/>
      <c r="D255" s="30"/>
      <c r="F255" s="35">
        <f t="shared" si="15"/>
        <v>-505.9</v>
      </c>
      <c r="G255" s="35">
        <f t="shared" si="16"/>
      </c>
    </row>
    <row r="256" spans="1:7" x14ac:dyDescent="0.25">
      <c r="A256" s="30"/>
      <c r="B256" s="30"/>
      <c r="C256" s="30"/>
      <c r="D256" s="30"/>
      <c r="F256" s="35">
        <f t="shared" si="15"/>
        <v>-507.9</v>
      </c>
      <c r="G256" s="35">
        <f t="shared" si="16"/>
      </c>
    </row>
    <row r="257" spans="1:7" x14ac:dyDescent="0.25">
      <c r="A257" s="30"/>
      <c r="B257" s="30"/>
      <c r="C257" s="30"/>
      <c r="D257" s="30"/>
      <c r="F257" s="35">
        <f t="shared" si="15"/>
        <v>-509.9</v>
      </c>
      <c r="G257" s="35">
        <f t="shared" si="16"/>
      </c>
    </row>
    <row r="258" spans="1:7" x14ac:dyDescent="0.25">
      <c r="A258" s="30"/>
      <c r="B258" s="30"/>
      <c r="C258" s="30"/>
      <c r="D258" s="30"/>
      <c r="F258" s="35">
        <f t="shared" si="15"/>
        <v>-511.9</v>
      </c>
      <c r="G258" s="35">
        <f t="shared" si="16"/>
      </c>
    </row>
    <row r="259" spans="1:7" x14ac:dyDescent="0.25">
      <c r="A259" s="30"/>
      <c r="B259" s="30"/>
      <c r="C259" s="30"/>
      <c r="D259" s="30"/>
      <c r="F259" s="35">
        <f t="shared" si="15"/>
        <v>-513.9</v>
      </c>
      <c r="G259" s="35">
        <f t="shared" si="16"/>
      </c>
    </row>
    <row r="260" spans="1:7" x14ac:dyDescent="0.25">
      <c r="A260" s="30"/>
      <c r="B260" s="30"/>
      <c r="C260" s="30"/>
      <c r="D260" s="30"/>
      <c r="F260" s="35">
        <f t="shared" si="15"/>
        <v>-515.9</v>
      </c>
      <c r="G260" s="35">
        <f t="shared" si="16"/>
        <v>54.904</v>
      </c>
    </row>
    <row r="261" spans="1:7" x14ac:dyDescent="0.25">
      <c r="A261" s="30"/>
      <c r="B261" s="30"/>
      <c r="C261" s="30"/>
      <c r="D261" s="30"/>
      <c r="F261" s="35">
        <f t="shared" si="15"/>
        <v>-517.9</v>
      </c>
      <c r="G261" s="35">
        <f t="shared" si="16"/>
      </c>
    </row>
    <row r="262" spans="1:7" x14ac:dyDescent="0.25">
      <c r="A262" s="30"/>
      <c r="B262" s="30"/>
      <c r="C262" s="30"/>
      <c r="D262" s="30"/>
      <c r="F262" s="35">
        <f t="shared" si="15"/>
        <v>-519.9</v>
      </c>
      <c r="G262" s="35">
        <f t="shared" si="16"/>
      </c>
    </row>
    <row r="263" spans="1:7" x14ac:dyDescent="0.25">
      <c r="A263" s="30"/>
      <c r="B263" s="30"/>
      <c r="C263" s="30"/>
      <c r="D263" s="30"/>
      <c r="F263" s="35">
        <f t="shared" si="15"/>
        <v>-521.9</v>
      </c>
      <c r="G263" s="35">
        <f t="shared" si="16"/>
        <v>54.908</v>
      </c>
    </row>
    <row r="264" spans="1:7" x14ac:dyDescent="0.25">
      <c r="A264" s="30"/>
      <c r="B264" s="30"/>
      <c r="C264" s="30"/>
      <c r="D264" s="30"/>
      <c r="F264" s="35">
        <f t="shared" si="15"/>
        <v>-523.9</v>
      </c>
      <c r="G264" s="35">
        <f t="shared" si="16"/>
      </c>
    </row>
    <row r="265" spans="1:7" x14ac:dyDescent="0.25">
      <c r="A265" s="30"/>
      <c r="B265" s="30"/>
      <c r="C265" s="30"/>
      <c r="D265" s="30"/>
      <c r="F265" s="35">
        <f t="shared" si="15"/>
        <v>-525.9</v>
      </c>
      <c r="G265" s="35">
        <f t="shared" si="16"/>
        <v>54.896</v>
      </c>
    </row>
    <row r="266" spans="1:7" x14ac:dyDescent="0.25">
      <c r="A266" s="30"/>
      <c r="B266" s="30"/>
      <c r="C266" s="30"/>
      <c r="D266" s="30"/>
      <c r="F266" s="35">
        <f t="shared" si="15"/>
        <v>-527.9</v>
      </c>
      <c r="G266" s="35">
        <f t="shared" si="16"/>
      </c>
    </row>
    <row r="267" spans="1:7" x14ac:dyDescent="0.25">
      <c r="A267" s="30"/>
      <c r="B267" s="30"/>
      <c r="C267" s="30"/>
      <c r="D267" s="30"/>
      <c r="F267" s="35">
        <f t="shared" si="15"/>
        <v>-529.9</v>
      </c>
      <c r="G267" s="35">
        <f t="shared" si="16"/>
      </c>
    </row>
    <row r="268" spans="1:7" x14ac:dyDescent="0.25">
      <c r="A268" s="30"/>
      <c r="B268" s="30"/>
      <c r="C268" s="30"/>
      <c r="D268" s="30"/>
      <c r="F268" s="35">
        <f t="shared" si="15"/>
        <v>-531.9</v>
      </c>
      <c r="G268" s="35">
        <f t="shared" si="16"/>
        <v>54.892</v>
      </c>
    </row>
    <row r="269" spans="1:7" x14ac:dyDescent="0.25">
      <c r="A269" s="30"/>
      <c r="B269" s="30"/>
      <c r="C269" s="30"/>
      <c r="D269" s="30"/>
      <c r="F269" s="35">
        <f t="shared" si="15"/>
        <v>-533.9</v>
      </c>
      <c r="G269" s="35">
        <f t="shared" si="16"/>
      </c>
    </row>
    <row r="270" spans="1:7" x14ac:dyDescent="0.25">
      <c r="A270" s="30"/>
      <c r="B270" s="30"/>
      <c r="C270" s="30"/>
      <c r="D270" s="30"/>
      <c r="F270" s="35">
        <f t="shared" si="15"/>
        <v>-535.9</v>
      </c>
      <c r="G270" s="35">
        <f t="shared" si="16"/>
        <v>54.86</v>
      </c>
    </row>
    <row r="271" spans="1:7" x14ac:dyDescent="0.25">
      <c r="A271" s="30"/>
      <c r="B271" s="30"/>
      <c r="C271" s="30"/>
      <c r="D271" s="30"/>
      <c r="F271" s="35">
        <f t="shared" si="15"/>
        <v>-537.9</v>
      </c>
      <c r="G271" s="35">
        <f t="shared" si="16"/>
      </c>
    </row>
    <row r="272" spans="1:7" x14ac:dyDescent="0.25">
      <c r="A272" s="30"/>
      <c r="B272" s="30"/>
      <c r="C272" s="30"/>
      <c r="D272" s="30"/>
      <c r="F272" s="35">
        <f t="shared" si="15"/>
        <v>-539.9</v>
      </c>
      <c r="G272" s="35">
        <f t="shared" si="16"/>
      </c>
    </row>
    <row r="273" spans="1:7" x14ac:dyDescent="0.25">
      <c r="A273" s="30"/>
      <c r="B273" s="30"/>
      <c r="C273" s="30"/>
      <c r="D273" s="30"/>
      <c r="F273" s="35">
        <f t="shared" si="15"/>
        <v>-541.9</v>
      </c>
      <c r="G273" s="35">
        <f t="shared" si="16"/>
      </c>
    </row>
    <row r="274" spans="1:7" x14ac:dyDescent="0.25">
      <c r="A274" s="30"/>
      <c r="B274" s="30"/>
      <c r="C274" s="30"/>
      <c r="D274" s="30"/>
      <c r="F274" s="35">
        <f t="shared" si="15"/>
        <v>-543.9</v>
      </c>
      <c r="G274" s="35">
        <f t="shared" si="16"/>
        <v>54.824</v>
      </c>
    </row>
    <row r="275" spans="1:7" x14ac:dyDescent="0.25">
      <c r="A275" s="30"/>
      <c r="B275" s="30"/>
      <c r="C275" s="30"/>
      <c r="D275" s="30"/>
      <c r="F275" s="35">
        <f t="shared" si="15"/>
        <v>-545.9</v>
      </c>
      <c r="G275" s="35">
        <f t="shared" si="16"/>
      </c>
    </row>
    <row r="276" spans="1:7" x14ac:dyDescent="0.25">
      <c r="A276" s="30"/>
      <c r="B276" s="30"/>
      <c r="C276" s="30"/>
      <c r="D276" s="30"/>
      <c r="F276" s="35">
        <f t="shared" si="15"/>
        <v>-547.9</v>
      </c>
      <c r="G276" s="35">
        <f t="shared" si="16"/>
      </c>
    </row>
    <row r="277" spans="1:7" x14ac:dyDescent="0.25">
      <c r="A277" s="30"/>
      <c r="B277" s="30"/>
      <c r="C277" s="30"/>
      <c r="D277" s="30"/>
      <c r="F277" s="35">
        <f t="shared" si="15"/>
        <v>-549.9</v>
      </c>
      <c r="G277" s="35">
        <f t="shared" si="16"/>
      </c>
    </row>
    <row r="278" spans="1:7" x14ac:dyDescent="0.25">
      <c r="A278" s="30"/>
      <c r="B278" s="30"/>
      <c r="C278" s="30"/>
      <c r="D278" s="30"/>
      <c r="F278" s="35">
        <f t="shared" si="15"/>
        <v>-551.9</v>
      </c>
      <c r="G278" s="35">
        <f t="shared" si="16"/>
        <v>54.872</v>
      </c>
    </row>
    <row r="279" spans="1:7" x14ac:dyDescent="0.25">
      <c r="A279" s="30"/>
      <c r="B279" s="30"/>
      <c r="C279" s="30"/>
      <c r="D279" s="30"/>
      <c r="F279" s="35">
        <f t="shared" ref="F279:F310" si="17">IF(IF(A279&lt;&gt;"",0-A279,0-B278)=0,"",IF(A279&lt;&gt;"",0-A279,0-B278))</f>
        <v>-553.9</v>
      </c>
      <c r="G279" s="35">
        <f t="shared" ref="G279:G310" si="18">IF(((C278-D278)&lt;&gt;"")*(D278&lt;&gt;""),55+(C278-D278)/5*2,"")</f>
      </c>
    </row>
    <row r="280" spans="1:7" x14ac:dyDescent="0.25">
      <c r="A280" s="30"/>
      <c r="B280" s="30"/>
      <c r="C280" s="30"/>
      <c r="D280" s="30"/>
      <c r="F280" s="35">
        <f t="shared" si="17"/>
        <v>-555.9</v>
      </c>
      <c r="G280" s="35">
        <f t="shared" si="18"/>
        <v>54.864</v>
      </c>
    </row>
    <row r="281" spans="1:7" x14ac:dyDescent="0.25">
      <c r="A281" s="30"/>
      <c r="B281" s="30"/>
      <c r="C281" s="30"/>
      <c r="D281" s="30"/>
      <c r="F281" s="35">
        <f t="shared" si="17"/>
        <v>-557.9</v>
      </c>
      <c r="G281" s="35">
        <f t="shared" si="18"/>
      </c>
    </row>
    <row r="282" spans="1:7" x14ac:dyDescent="0.25">
      <c r="A282" s="30"/>
      <c r="B282" s="30"/>
      <c r="C282" s="30"/>
      <c r="D282" s="30"/>
      <c r="F282" s="35">
        <f t="shared" si="17"/>
        <v>-559.9</v>
      </c>
      <c r="G282" s="35">
        <f t="shared" si="18"/>
      </c>
    </row>
    <row r="283" spans="1:7" x14ac:dyDescent="0.25">
      <c r="A283" s="30"/>
      <c r="B283" s="30"/>
      <c r="C283" s="30"/>
      <c r="D283" s="30"/>
      <c r="F283" s="35">
        <f t="shared" si="17"/>
        <v>-561.9</v>
      </c>
      <c r="G283" s="35">
        <f t="shared" si="18"/>
        <v>54.872</v>
      </c>
    </row>
    <row r="284" spans="1:7" x14ac:dyDescent="0.25">
      <c r="A284" s="30"/>
      <c r="B284" s="30"/>
      <c r="C284" s="30"/>
      <c r="D284" s="30"/>
      <c r="F284" s="35">
        <f t="shared" si="17"/>
        <v>-563.9</v>
      </c>
      <c r="G284" s="35">
        <f t="shared" si="18"/>
      </c>
    </row>
    <row r="285" spans="1:7" x14ac:dyDescent="0.25">
      <c r="A285" s="30"/>
      <c r="B285" s="30"/>
      <c r="C285" s="30"/>
      <c r="D285" s="30"/>
      <c r="F285" s="35">
        <f t="shared" si="17"/>
        <v>-565.9</v>
      </c>
      <c r="G285" s="35">
        <f t="shared" si="18"/>
      </c>
    </row>
    <row r="286" spans="1:7" x14ac:dyDescent="0.25">
      <c r="A286" s="30"/>
      <c r="B286" s="30"/>
      <c r="C286" s="30"/>
      <c r="D286" s="30"/>
      <c r="F286" s="35">
        <f t="shared" si="17"/>
        <v>-567.9</v>
      </c>
      <c r="G286" s="35">
        <f t="shared" si="18"/>
        <v>54.82</v>
      </c>
    </row>
    <row r="287" spans="1:7" x14ac:dyDescent="0.25">
      <c r="A287" s="30"/>
      <c r="B287" s="30"/>
      <c r="C287" s="30"/>
      <c r="D287" s="30"/>
      <c r="F287" s="35">
        <f t="shared" si="17"/>
        <v>-569.9</v>
      </c>
      <c r="G287" s="35">
        <f t="shared" si="18"/>
        <v>54.816</v>
      </c>
    </row>
    <row r="288" spans="1:7" x14ac:dyDescent="0.25">
      <c r="A288" s="30"/>
      <c r="B288" s="30"/>
      <c r="C288" s="30"/>
      <c r="D288" s="30"/>
      <c r="F288" s="35">
        <f t="shared" si="17"/>
        <v>-571.9</v>
      </c>
      <c r="G288" s="35">
        <f t="shared" si="18"/>
      </c>
    </row>
    <row r="289" spans="1:7" x14ac:dyDescent="0.25">
      <c r="A289" s="30"/>
      <c r="B289" s="30"/>
      <c r="C289" s="30"/>
      <c r="D289" s="30"/>
      <c r="F289" s="35">
        <f t="shared" si="17"/>
        <v>-573.9</v>
      </c>
      <c r="G289" s="35">
        <f t="shared" si="18"/>
      </c>
    </row>
    <row r="290" spans="1:7" x14ac:dyDescent="0.25">
      <c r="A290" s="30"/>
      <c r="B290" s="30"/>
      <c r="C290" s="30"/>
      <c r="D290" s="30"/>
      <c r="F290" s="35">
        <f t="shared" si="17"/>
        <v>-575.9</v>
      </c>
      <c r="G290" s="35">
        <f t="shared" si="18"/>
        <v>54.868</v>
      </c>
    </row>
    <row r="291" spans="1:7" x14ac:dyDescent="0.25">
      <c r="A291" s="30"/>
      <c r="B291" s="30"/>
      <c r="C291" s="30"/>
      <c r="D291" s="30"/>
      <c r="F291" s="35">
        <f t="shared" si="17"/>
        <v>-577.9</v>
      </c>
      <c r="G291" s="35">
        <f t="shared" si="18"/>
      </c>
    </row>
    <row r="292" spans="1:7" x14ac:dyDescent="0.25">
      <c r="A292" s="30"/>
      <c r="B292" s="30"/>
      <c r="C292" s="30"/>
      <c r="D292" s="30"/>
      <c r="F292" s="35">
        <f t="shared" si="17"/>
        <v>-579.9</v>
      </c>
      <c r="G292" s="35">
        <f t="shared" si="18"/>
      </c>
    </row>
    <row r="293" spans="1:7" x14ac:dyDescent="0.25">
      <c r="A293" s="30"/>
      <c r="B293" s="30"/>
      <c r="C293" s="30"/>
      <c r="D293" s="30"/>
      <c r="F293" s="35">
        <f t="shared" si="17"/>
        <v>-581.9</v>
      </c>
      <c r="G293" s="35">
        <f t="shared" si="18"/>
      </c>
    </row>
    <row r="294" spans="1:7" x14ac:dyDescent="0.25">
      <c r="A294" s="30"/>
      <c r="B294" s="30"/>
      <c r="C294" s="30"/>
      <c r="D294" s="30"/>
      <c r="F294" s="35">
        <f t="shared" si="17"/>
        <v>-583.9</v>
      </c>
      <c r="G294" s="35">
        <f t="shared" si="18"/>
        <v>54.88</v>
      </c>
    </row>
    <row r="295" spans="1:7" x14ac:dyDescent="0.25">
      <c r="A295" s="30"/>
      <c r="B295" s="30"/>
      <c r="C295" s="30"/>
      <c r="D295" s="30"/>
      <c r="F295" s="35">
        <f t="shared" si="17"/>
        <v>-585.9</v>
      </c>
      <c r="G295" s="35">
        <f t="shared" si="18"/>
      </c>
    </row>
    <row r="296" spans="1:7" x14ac:dyDescent="0.25">
      <c r="A296" s="30"/>
      <c r="B296" s="30"/>
      <c r="C296" s="30"/>
      <c r="D296" s="30"/>
      <c r="F296" s="35">
        <f t="shared" si="17"/>
        <v>-587.9</v>
      </c>
      <c r="G296" s="35">
        <f t="shared" si="18"/>
      </c>
    </row>
    <row r="297" spans="1:7" x14ac:dyDescent="0.25">
      <c r="A297" s="30"/>
      <c r="B297" s="30"/>
      <c r="C297" s="30"/>
      <c r="D297" s="30"/>
      <c r="F297" s="35">
        <f t="shared" si="17"/>
        <v>-589.9</v>
      </c>
      <c r="G297" s="35">
        <f t="shared" si="18"/>
      </c>
    </row>
    <row r="298" spans="1:7" x14ac:dyDescent="0.25">
      <c r="A298" s="30"/>
      <c r="B298" s="30"/>
      <c r="C298" s="30"/>
      <c r="D298" s="30"/>
      <c r="F298" s="35">
        <f t="shared" si="17"/>
        <v>-591.9</v>
      </c>
      <c r="G298" s="35">
        <f t="shared" si="18"/>
        <v>54.852</v>
      </c>
    </row>
    <row r="299" spans="1:7" x14ac:dyDescent="0.25">
      <c r="A299" s="30"/>
      <c r="B299" s="30"/>
      <c r="C299" s="30"/>
      <c r="D299" s="30"/>
      <c r="F299" s="35">
        <f t="shared" si="17"/>
        <v>-593.9</v>
      </c>
      <c r="G299" s="35">
        <f t="shared" si="18"/>
      </c>
    </row>
    <row r="300" spans="1:7" x14ac:dyDescent="0.25">
      <c r="A300" s="30"/>
      <c r="B300" s="30"/>
      <c r="C300" s="30"/>
      <c r="D300" s="30"/>
      <c r="F300" s="35">
        <f t="shared" si="17"/>
        <v>-595.9</v>
      </c>
      <c r="G300" s="35">
        <f t="shared" si="18"/>
      </c>
    </row>
    <row r="301" spans="1:7" x14ac:dyDescent="0.25">
      <c r="A301" s="30"/>
      <c r="B301" s="30"/>
      <c r="C301" s="30"/>
      <c r="D301" s="30"/>
      <c r="F301" s="35">
        <f t="shared" si="17"/>
        <v>-597.9</v>
      </c>
      <c r="G301" s="35">
        <f t="shared" si="18"/>
      </c>
    </row>
    <row r="302" spans="1:7" x14ac:dyDescent="0.25">
      <c r="A302" s="30"/>
      <c r="B302" s="30"/>
      <c r="C302" s="30"/>
      <c r="D302" s="30"/>
      <c r="F302" s="35">
        <f t="shared" si="17"/>
        <v>-599.9</v>
      </c>
      <c r="G302" s="35">
        <f t="shared" si="18"/>
      </c>
    </row>
    <row r="303" spans="1:7" x14ac:dyDescent="0.25">
      <c r="A303" s="30"/>
      <c r="B303" s="30"/>
      <c r="C303" s="30"/>
      <c r="D303" s="30"/>
      <c r="F303" s="35">
        <f t="shared" si="17"/>
        <v>-601.9</v>
      </c>
      <c r="G303" s="35">
        <f t="shared" si="18"/>
        <v>54.776</v>
      </c>
    </row>
    <row r="304" spans="1:7" x14ac:dyDescent="0.25">
      <c r="A304" s="30"/>
      <c r="B304" s="30"/>
      <c r="C304" s="30"/>
      <c r="D304" s="30"/>
      <c r="F304" s="35">
        <f t="shared" si="17"/>
        <v>-603.9</v>
      </c>
      <c r="G304" s="35">
        <f t="shared" si="18"/>
      </c>
    </row>
    <row r="305" spans="1:7" x14ac:dyDescent="0.25">
      <c r="A305" s="30"/>
      <c r="B305" s="30"/>
      <c r="C305" s="30"/>
      <c r="D305" s="30"/>
      <c r="F305" s="35">
        <f t="shared" si="17"/>
        <v>-605.9</v>
      </c>
      <c r="G305" s="35">
        <f t="shared" si="18"/>
      </c>
    </row>
    <row r="306" spans="1:7" x14ac:dyDescent="0.25">
      <c r="A306" s="30"/>
      <c r="B306" s="30"/>
      <c r="C306" s="30"/>
      <c r="D306" s="30"/>
      <c r="F306" s="35">
        <f t="shared" si="17"/>
        <v>-607.9</v>
      </c>
      <c r="G306" s="35">
        <f t="shared" si="18"/>
        <v>54.864</v>
      </c>
    </row>
    <row r="307" spans="1:7" x14ac:dyDescent="0.25">
      <c r="A307" s="30"/>
      <c r="B307" s="30"/>
      <c r="C307" s="30"/>
      <c r="D307" s="30"/>
      <c r="F307" s="35">
        <f t="shared" si="17"/>
        <v>-609.9</v>
      </c>
      <c r="G307" s="35">
        <f t="shared" si="18"/>
      </c>
    </row>
    <row r="308" spans="1:7" x14ac:dyDescent="0.25">
      <c r="A308" s="30"/>
      <c r="B308" s="30"/>
      <c r="C308" s="30"/>
      <c r="D308" s="30"/>
      <c r="F308" s="35">
        <f t="shared" si="17"/>
        <v>-611.9</v>
      </c>
      <c r="G308" s="35">
        <f t="shared" si="18"/>
      </c>
    </row>
    <row r="309" spans="1:7" x14ac:dyDescent="0.25">
      <c r="A309" s="30"/>
      <c r="B309" s="30"/>
      <c r="C309" s="30"/>
      <c r="D309" s="30"/>
      <c r="F309" s="35">
        <f t="shared" si="17"/>
        <v>-613.9</v>
      </c>
      <c r="G309" s="35">
        <f t="shared" si="18"/>
        <v>54.844</v>
      </c>
    </row>
    <row r="310" spans="1:7" x14ac:dyDescent="0.25">
      <c r="A310" s="30"/>
      <c r="B310" s="30"/>
      <c r="C310" s="30"/>
      <c r="D310" s="30"/>
      <c r="F310" s="35">
        <f t="shared" si="17"/>
        <v>-615.9</v>
      </c>
      <c r="G310" s="35">
        <f t="shared" si="18"/>
      </c>
    </row>
    <row r="311" spans="1:7" x14ac:dyDescent="0.25">
      <c r="A311" s="30"/>
      <c r="B311" s="30"/>
      <c r="C311" s="30"/>
      <c r="D311" s="30"/>
      <c r="F311" s="35">
        <f t="shared" ref="F311:F342" si="19">IF(IF(A311&lt;&gt;"",0-A311,0-B310)=0,"",IF(A311&lt;&gt;"",0-A311,0-B310))</f>
        <v>-617.9</v>
      </c>
      <c r="G311" s="35">
        <f t="shared" ref="G311:G342" si="20">IF(((C310-D310)&lt;&gt;"")*(D310&lt;&gt;""),55+(C310-D310)/5*2,"")</f>
      </c>
    </row>
    <row r="312" spans="1:7" x14ac:dyDescent="0.25">
      <c r="A312" s="30"/>
      <c r="B312" s="30"/>
      <c r="C312" s="30"/>
      <c r="D312" s="30"/>
      <c r="F312" s="35">
        <f t="shared" si="19"/>
        <v>-619.9</v>
      </c>
      <c r="G312" s="35">
        <f t="shared" si="20"/>
      </c>
    </row>
    <row r="313" spans="1:7" x14ac:dyDescent="0.25">
      <c r="A313" s="30"/>
      <c r="B313" s="30"/>
      <c r="C313" s="30"/>
      <c r="D313" s="30"/>
      <c r="F313" s="35">
        <f t="shared" si="19"/>
        <v>-621.9</v>
      </c>
      <c r="G313" s="35">
        <f t="shared" si="20"/>
        <v>54.912</v>
      </c>
    </row>
    <row r="314" spans="1:7" x14ac:dyDescent="0.25">
      <c r="A314" s="30"/>
      <c r="B314" s="30"/>
      <c r="C314" s="30"/>
      <c r="D314" s="30"/>
      <c r="F314" s="35">
        <f t="shared" si="19"/>
        <v>-623.9</v>
      </c>
      <c r="G314" s="35">
        <f t="shared" si="20"/>
      </c>
    </row>
    <row r="315" spans="1:7" x14ac:dyDescent="0.25">
      <c r="A315" s="30"/>
      <c r="B315" s="30"/>
      <c r="C315" s="30"/>
      <c r="D315" s="30"/>
      <c r="F315" s="35">
        <f t="shared" si="19"/>
        <v>-625.9</v>
      </c>
      <c r="G315" s="35">
        <f t="shared" si="20"/>
      </c>
    </row>
    <row r="316" spans="1:7" x14ac:dyDescent="0.25">
      <c r="A316" s="30"/>
      <c r="B316" s="30"/>
      <c r="C316" s="30"/>
      <c r="D316" s="30"/>
      <c r="F316" s="35">
        <f t="shared" si="19"/>
        <v>-627.9</v>
      </c>
      <c r="G316" s="35">
        <f t="shared" si="20"/>
      </c>
    </row>
    <row r="317" spans="1:7" x14ac:dyDescent="0.25">
      <c r="A317" s="30"/>
      <c r="B317" s="30"/>
      <c r="C317" s="30"/>
      <c r="D317" s="30"/>
      <c r="F317" s="35">
        <f t="shared" si="19"/>
        <v>-629.9</v>
      </c>
      <c r="G317" s="35">
        <f t="shared" si="20"/>
        <v>54.86</v>
      </c>
    </row>
    <row r="318" spans="1:7" x14ac:dyDescent="0.25">
      <c r="A318" s="30"/>
      <c r="B318" s="30"/>
      <c r="C318" s="30"/>
      <c r="D318" s="30"/>
      <c r="F318" s="35">
        <f t="shared" si="19"/>
        <v>-631.9</v>
      </c>
      <c r="G318" s="35">
        <f t="shared" si="20"/>
      </c>
    </row>
    <row r="319" spans="1:7" x14ac:dyDescent="0.25">
      <c r="A319" s="30"/>
      <c r="B319" s="30"/>
      <c r="C319" s="30"/>
      <c r="D319" s="30"/>
      <c r="F319" s="35">
        <f t="shared" si="19"/>
        <v>-633.9</v>
      </c>
      <c r="G319" s="35">
        <f t="shared" si="20"/>
        <v>54.896</v>
      </c>
    </row>
    <row r="320" spans="1:7" x14ac:dyDescent="0.25">
      <c r="A320" s="30"/>
      <c r="B320" s="30"/>
      <c r="C320" s="30"/>
      <c r="D320" s="30"/>
      <c r="F320" s="35">
        <f t="shared" si="19"/>
        <v>-635.9</v>
      </c>
      <c r="G320" s="35">
        <f t="shared" si="20"/>
      </c>
    </row>
    <row r="321" spans="1:7" x14ac:dyDescent="0.25">
      <c r="A321" s="30"/>
      <c r="B321" s="30"/>
      <c r="C321" s="30"/>
      <c r="D321" s="30"/>
      <c r="F321" s="35">
        <f t="shared" si="19"/>
        <v>-637.9</v>
      </c>
      <c r="G321" s="35">
        <f t="shared" si="20"/>
        <v>54.868</v>
      </c>
    </row>
    <row r="322" spans="1:7" x14ac:dyDescent="0.25">
      <c r="A322" s="30"/>
      <c r="B322" s="30"/>
      <c r="C322" s="30"/>
      <c r="D322" s="30"/>
      <c r="F322" s="35">
        <f t="shared" si="19"/>
        <v>-639.9</v>
      </c>
      <c r="G322" s="35">
        <f t="shared" si="20"/>
      </c>
    </row>
    <row r="323" spans="1:7" x14ac:dyDescent="0.25">
      <c r="A323" s="30"/>
      <c r="B323" s="30"/>
      <c r="C323" s="30"/>
      <c r="D323" s="30"/>
      <c r="F323" s="35">
        <f t="shared" si="19"/>
        <v>-641.9</v>
      </c>
      <c r="G323" s="35">
        <f t="shared" si="20"/>
      </c>
    </row>
    <row r="324" spans="1:7" x14ac:dyDescent="0.25">
      <c r="A324" s="30"/>
      <c r="B324" s="30"/>
      <c r="C324" s="30"/>
      <c r="D324" s="30"/>
      <c r="F324" s="35">
        <f t="shared" si="19"/>
        <v>-643.9</v>
      </c>
      <c r="G324" s="35">
        <f t="shared" si="20"/>
      </c>
    </row>
    <row r="325" spans="1:7" x14ac:dyDescent="0.25">
      <c r="A325" s="30"/>
      <c r="B325" s="30"/>
      <c r="C325" s="30"/>
      <c r="D325" s="30"/>
      <c r="F325" s="35">
        <f t="shared" si="19"/>
        <v>-645.9</v>
      </c>
      <c r="G325" s="35">
        <f t="shared" si="20"/>
        <v>54.876</v>
      </c>
    </row>
    <row r="326" spans="1:7" x14ac:dyDescent="0.25">
      <c r="A326" s="30"/>
      <c r="B326" s="30"/>
      <c r="C326" s="30"/>
      <c r="D326" s="30"/>
      <c r="F326" s="35">
        <f t="shared" si="19"/>
        <v>-647.9</v>
      </c>
      <c r="G326" s="35">
        <f t="shared" si="20"/>
      </c>
    </row>
    <row r="327" spans="1:7" x14ac:dyDescent="0.25">
      <c r="A327" s="30"/>
      <c r="B327" s="30"/>
      <c r="C327" s="30"/>
      <c r="D327" s="30"/>
      <c r="F327" s="35">
        <f t="shared" si="19"/>
        <v>-649.9</v>
      </c>
      <c r="G327" s="35">
        <f t="shared" si="20"/>
      </c>
    </row>
    <row r="328" spans="1:7" x14ac:dyDescent="0.25">
      <c r="A328" s="30"/>
      <c r="B328" s="30"/>
      <c r="C328" s="30"/>
      <c r="D328" s="30"/>
      <c r="F328" s="35">
        <f t="shared" si="19"/>
        <v>-651.9</v>
      </c>
      <c r="G328" s="35">
        <f t="shared" si="20"/>
        <v>54.868</v>
      </c>
    </row>
    <row r="329" spans="1:7" x14ac:dyDescent="0.25">
      <c r="A329" s="30"/>
      <c r="B329" s="30"/>
      <c r="C329" s="30"/>
      <c r="D329" s="30"/>
      <c r="F329" s="35">
        <f t="shared" si="19"/>
        <v>-653.9</v>
      </c>
      <c r="G329" s="35">
        <f t="shared" si="20"/>
        <v>54.832</v>
      </c>
    </row>
    <row r="330" spans="1:7" x14ac:dyDescent="0.25">
      <c r="A330" s="30"/>
      <c r="B330" s="30"/>
      <c r="C330" s="30"/>
      <c r="D330" s="30"/>
      <c r="F330" s="35">
        <f t="shared" si="19"/>
        <v>-655.9</v>
      </c>
      <c r="G330" s="35">
        <f t="shared" si="20"/>
        <v>54.864</v>
      </c>
    </row>
    <row r="331" spans="1:7" x14ac:dyDescent="0.25">
      <c r="A331" s="30"/>
      <c r="B331" s="30"/>
      <c r="C331" s="30"/>
      <c r="D331" s="30"/>
      <c r="F331" s="35">
        <f t="shared" si="19"/>
        <v>-657.9</v>
      </c>
      <c r="G331" s="35">
        <f t="shared" si="20"/>
        <v>54.88</v>
      </c>
    </row>
    <row r="332" spans="1:7" x14ac:dyDescent="0.25">
      <c r="A332" s="30"/>
      <c r="B332" s="30"/>
      <c r="C332" s="30"/>
      <c r="D332" s="30"/>
      <c r="F332" s="35">
        <f t="shared" si="19"/>
        <v>-659.9</v>
      </c>
      <c r="G332" s="35">
        <f t="shared" si="20"/>
        <v>54.888</v>
      </c>
    </row>
    <row r="333" spans="1:7" x14ac:dyDescent="0.25">
      <c r="A333" s="30"/>
      <c r="B333" s="30"/>
      <c r="C333" s="30"/>
      <c r="D333" s="30"/>
      <c r="F333" s="35">
        <f t="shared" si="19"/>
        <v>-661.9</v>
      </c>
      <c r="G333" s="35">
        <f t="shared" si="20"/>
      </c>
    </row>
    <row r="334" spans="1:7" x14ac:dyDescent="0.25">
      <c r="A334" s="30"/>
      <c r="B334" s="30"/>
      <c r="C334" s="30"/>
      <c r="D334" s="30"/>
      <c r="F334" s="35">
        <f t="shared" si="19"/>
        <v>-663.9</v>
      </c>
      <c r="G334" s="35">
        <f t="shared" si="20"/>
      </c>
    </row>
    <row r="335" spans="1:7" x14ac:dyDescent="0.25">
      <c r="A335" s="30"/>
      <c r="B335" s="30"/>
      <c r="C335" s="30"/>
      <c r="D335" s="30"/>
      <c r="F335" s="35">
        <f t="shared" si="19"/>
        <v>-665.9</v>
      </c>
      <c r="G335" s="35">
        <f t="shared" si="20"/>
        <v>54.892</v>
      </c>
    </row>
    <row r="336" spans="1:7" x14ac:dyDescent="0.25">
      <c r="A336" s="30"/>
      <c r="B336" s="30"/>
      <c r="C336" s="30"/>
      <c r="D336" s="30"/>
      <c r="F336" s="35">
        <f t="shared" si="19"/>
        <v>-667.9</v>
      </c>
      <c r="G336" s="35">
        <f t="shared" si="20"/>
      </c>
    </row>
    <row r="337" spans="1:7" x14ac:dyDescent="0.25">
      <c r="A337" s="30"/>
      <c r="B337" s="30"/>
      <c r="C337" s="30"/>
      <c r="D337" s="30"/>
      <c r="F337" s="35">
        <f t="shared" si="19"/>
        <v>-669.9</v>
      </c>
      <c r="G337" s="35">
        <f t="shared" si="20"/>
      </c>
    </row>
    <row r="338" spans="1:7" x14ac:dyDescent="0.25">
      <c r="A338" s="30"/>
      <c r="B338" s="30"/>
      <c r="C338" s="30"/>
      <c r="D338" s="30"/>
      <c r="F338" s="35">
        <f t="shared" si="19"/>
        <v>-671.9</v>
      </c>
      <c r="G338" s="35">
        <f t="shared" si="20"/>
        <v>54.876</v>
      </c>
    </row>
    <row r="339" spans="1:7" x14ac:dyDescent="0.25">
      <c r="A339" s="30"/>
      <c r="B339" s="30"/>
      <c r="C339" s="30"/>
      <c r="D339" s="30"/>
      <c r="F339" s="35">
        <f t="shared" si="19"/>
        <v>-673.9</v>
      </c>
      <c r="G339" s="35">
        <f t="shared" si="20"/>
        <v>54.872</v>
      </c>
    </row>
    <row r="340" spans="1:7" x14ac:dyDescent="0.25">
      <c r="A340" s="30"/>
      <c r="B340" s="30"/>
      <c r="C340" s="30"/>
      <c r="D340" s="30"/>
      <c r="F340" s="35">
        <f t="shared" si="19"/>
        <v>-675.9</v>
      </c>
      <c r="G340" s="35">
        <f t="shared" si="20"/>
        <v>54.9</v>
      </c>
    </row>
    <row r="341" spans="1:7" x14ac:dyDescent="0.25">
      <c r="A341" s="30"/>
      <c r="B341" s="30"/>
      <c r="C341" s="30"/>
      <c r="D341" s="30"/>
      <c r="F341" s="35">
        <f t="shared" si="19"/>
        <v>-677.9</v>
      </c>
      <c r="G341" s="35">
        <f t="shared" si="20"/>
        <v>54.82</v>
      </c>
    </row>
    <row r="342" spans="1:7" x14ac:dyDescent="0.25">
      <c r="A342" s="30"/>
      <c r="B342" s="30"/>
      <c r="C342" s="30"/>
      <c r="D342" s="30"/>
      <c r="F342" s="35">
        <f t="shared" si="19"/>
      </c>
      <c r="G342" s="35">
        <f t="shared" si="20"/>
      </c>
    </row>
    <row r="343" spans="1:7" x14ac:dyDescent="0.25">
      <c r="A343" s="30"/>
      <c r="B343" s="30"/>
      <c r="C343" s="30"/>
      <c r="D343" s="30"/>
      <c r="F343" s="35">
        <f t="shared" ref="F343:F373" si="21">IF(IF(A343&lt;&gt;"",0-A343,0-B342)=0,"",IF(A343&lt;&gt;"",0-A343,0-B342))</f>
      </c>
      <c r="G343" s="35">
        <f t="shared" ref="G343:G373" si="22">IF(((C342-D342)&lt;&gt;"")*(D342&lt;&gt;""),55+(C342-D342)/5*2,"")</f>
      </c>
    </row>
    <row r="344" spans="1:7" x14ac:dyDescent="0.25">
      <c r="A344" s="30"/>
      <c r="B344" s="30"/>
      <c r="C344" s="30"/>
      <c r="D344" s="30"/>
      <c r="F344" s="35">
        <f t="shared" si="21"/>
      </c>
      <c r="G344" s="35">
        <f t="shared" si="22"/>
      </c>
    </row>
    <row r="345" spans="1:7" x14ac:dyDescent="0.25">
      <c r="A345" s="30"/>
      <c r="B345" s="30"/>
      <c r="C345" s="30"/>
      <c r="D345" s="30"/>
      <c r="F345" s="35">
        <f t="shared" si="21"/>
      </c>
      <c r="G345" s="35">
        <f t="shared" si="22"/>
      </c>
    </row>
    <row r="346" spans="1:7" x14ac:dyDescent="0.25">
      <c r="A346" s="30"/>
      <c r="B346" s="30"/>
      <c r="C346" s="30"/>
      <c r="D346" s="30"/>
      <c r="F346" s="35">
        <f t="shared" si="21"/>
      </c>
      <c r="G346" s="35">
        <f t="shared" si="22"/>
      </c>
    </row>
    <row r="347" spans="1:7" x14ac:dyDescent="0.25">
      <c r="A347" s="30"/>
      <c r="B347" s="30"/>
      <c r="C347" s="30"/>
      <c r="D347" s="30"/>
      <c r="F347" s="35">
        <f t="shared" si="21"/>
      </c>
      <c r="G347" s="35">
        <f t="shared" si="22"/>
      </c>
    </row>
    <row r="348" spans="1:7" x14ac:dyDescent="0.25">
      <c r="A348" s="30"/>
      <c r="B348" s="30"/>
      <c r="C348" s="30"/>
      <c r="D348" s="30"/>
      <c r="F348" s="35">
        <f t="shared" si="21"/>
      </c>
      <c r="G348" s="35">
        <f t="shared" si="22"/>
      </c>
    </row>
    <row r="349" spans="1:7" x14ac:dyDescent="0.25">
      <c r="A349" s="30"/>
      <c r="B349" s="30"/>
      <c r="C349" s="30"/>
      <c r="D349" s="30"/>
      <c r="F349" s="35">
        <f t="shared" si="21"/>
      </c>
      <c r="G349" s="35">
        <f t="shared" si="22"/>
      </c>
    </row>
    <row r="350" spans="1:7" x14ac:dyDescent="0.25">
      <c r="A350" s="30"/>
      <c r="B350" s="30"/>
      <c r="C350" s="30"/>
      <c r="D350" s="30"/>
      <c r="F350" s="35">
        <f t="shared" si="21"/>
      </c>
      <c r="G350" s="35">
        <f t="shared" si="22"/>
      </c>
    </row>
    <row r="351" spans="1:7" x14ac:dyDescent="0.25">
      <c r="A351" s="30"/>
      <c r="B351" s="30"/>
      <c r="C351" s="30"/>
      <c r="D351" s="30"/>
      <c r="F351" s="35">
        <f t="shared" si="21"/>
      </c>
      <c r="G351" s="35">
        <f t="shared" si="22"/>
      </c>
    </row>
    <row r="352" spans="1:7" x14ac:dyDescent="0.25">
      <c r="A352" s="30"/>
      <c r="B352" s="30"/>
      <c r="C352" s="30"/>
      <c r="D352" s="30"/>
      <c r="F352" s="35">
        <f t="shared" si="21"/>
      </c>
      <c r="G352" s="35">
        <f t="shared" si="22"/>
      </c>
    </row>
    <row r="353" spans="1:7" x14ac:dyDescent="0.25">
      <c r="A353" s="30"/>
      <c r="B353" s="30"/>
      <c r="C353" s="30"/>
      <c r="D353" s="30"/>
      <c r="F353" s="35">
        <f t="shared" si="21"/>
      </c>
      <c r="G353" s="35">
        <f t="shared" si="22"/>
      </c>
    </row>
    <row r="354" spans="1:7" x14ac:dyDescent="0.25">
      <c r="A354" s="30"/>
      <c r="B354" s="30"/>
      <c r="C354" s="30"/>
      <c r="D354" s="30"/>
      <c r="F354" s="35">
        <f t="shared" si="21"/>
      </c>
      <c r="G354" s="35">
        <f t="shared" si="22"/>
      </c>
    </row>
    <row r="355" spans="1:7" x14ac:dyDescent="0.25">
      <c r="A355" s="30"/>
      <c r="B355" s="30"/>
      <c r="C355" s="30"/>
      <c r="D355" s="30"/>
      <c r="F355" s="35">
        <f t="shared" si="21"/>
      </c>
      <c r="G355" s="35">
        <f t="shared" si="22"/>
      </c>
    </row>
    <row r="356" spans="1:7" x14ac:dyDescent="0.25">
      <c r="A356" s="30"/>
      <c r="B356" s="30"/>
      <c r="C356" s="30"/>
      <c r="D356" s="30"/>
      <c r="F356" s="35">
        <f t="shared" si="21"/>
      </c>
      <c r="G356" s="35">
        <f t="shared" si="22"/>
      </c>
    </row>
    <row r="357" spans="1:7" x14ac:dyDescent="0.25">
      <c r="A357" s="30"/>
      <c r="B357" s="30"/>
      <c r="C357" s="30"/>
      <c r="D357" s="30"/>
      <c r="F357" s="35">
        <f t="shared" si="21"/>
      </c>
      <c r="G357" s="35">
        <f t="shared" si="22"/>
      </c>
    </row>
    <row r="358" spans="1:7" x14ac:dyDescent="0.25">
      <c r="A358" s="30"/>
      <c r="B358" s="30"/>
      <c r="C358" s="30"/>
      <c r="D358" s="30"/>
      <c r="F358" s="35">
        <f t="shared" si="21"/>
      </c>
      <c r="G358" s="35">
        <f t="shared" si="22"/>
      </c>
    </row>
    <row r="359" spans="1:7" x14ac:dyDescent="0.25">
      <c r="A359" s="30"/>
      <c r="B359" s="30"/>
      <c r="C359" s="30"/>
      <c r="D359" s="30"/>
      <c r="F359" s="35">
        <f t="shared" si="21"/>
      </c>
      <c r="G359" s="35">
        <f t="shared" si="22"/>
      </c>
    </row>
    <row r="360" spans="1:7" x14ac:dyDescent="0.25">
      <c r="A360" s="30"/>
      <c r="B360" s="30"/>
      <c r="C360" s="30"/>
      <c r="D360" s="30"/>
      <c r="F360" s="35">
        <f t="shared" si="21"/>
      </c>
      <c r="G360" s="35">
        <f t="shared" si="22"/>
      </c>
    </row>
    <row r="361" spans="1:7" x14ac:dyDescent="0.25">
      <c r="A361" s="30"/>
      <c r="B361" s="30"/>
      <c r="C361" s="30"/>
      <c r="D361" s="30"/>
      <c r="F361" s="35">
        <f t="shared" si="21"/>
      </c>
      <c r="G361" s="35">
        <f t="shared" si="22"/>
      </c>
    </row>
    <row r="362" spans="1:7" x14ac:dyDescent="0.25">
      <c r="A362" s="30"/>
      <c r="B362" s="30"/>
      <c r="C362" s="30"/>
      <c r="D362" s="30"/>
      <c r="F362" s="35">
        <f t="shared" si="21"/>
      </c>
      <c r="G362" s="35">
        <f t="shared" si="22"/>
      </c>
    </row>
    <row r="363" spans="1:7" x14ac:dyDescent="0.25">
      <c r="A363" s="30"/>
      <c r="B363" s="30"/>
      <c r="C363" s="30"/>
      <c r="D363" s="30"/>
      <c r="F363" s="35">
        <f t="shared" si="21"/>
      </c>
      <c r="G363" s="35">
        <f t="shared" si="22"/>
      </c>
    </row>
    <row r="364" spans="1:7" x14ac:dyDescent="0.25">
      <c r="A364" s="30"/>
      <c r="B364" s="30"/>
      <c r="C364" s="30"/>
      <c r="D364" s="30"/>
      <c r="F364" s="35">
        <f t="shared" si="21"/>
      </c>
      <c r="G364" s="35">
        <f t="shared" si="22"/>
      </c>
    </row>
    <row r="365" spans="1:7" x14ac:dyDescent="0.25">
      <c r="A365" s="30"/>
      <c r="B365" s="30"/>
      <c r="C365" s="30"/>
      <c r="D365" s="30"/>
      <c r="F365" s="35">
        <f t="shared" si="21"/>
      </c>
      <c r="G365" s="35">
        <f t="shared" si="22"/>
      </c>
    </row>
    <row r="366" spans="1:7" x14ac:dyDescent="0.25">
      <c r="A366" s="30"/>
      <c r="B366" s="30"/>
      <c r="C366" s="30"/>
      <c r="D366" s="30"/>
      <c r="F366" s="35">
        <f t="shared" si="21"/>
      </c>
      <c r="G366" s="35">
        <f t="shared" si="22"/>
      </c>
    </row>
    <row r="367" spans="1:7" x14ac:dyDescent="0.25">
      <c r="A367" s="30"/>
      <c r="B367" s="30"/>
      <c r="C367" s="30"/>
      <c r="D367" s="30"/>
      <c r="F367" s="35">
        <f t="shared" si="21"/>
      </c>
      <c r="G367" s="35">
        <f t="shared" si="22"/>
      </c>
    </row>
    <row r="368" spans="1:7" x14ac:dyDescent="0.25">
      <c r="A368" s="30"/>
      <c r="B368" s="30"/>
      <c r="C368" s="30"/>
      <c r="D368" s="30"/>
      <c r="F368" s="35">
        <f t="shared" si="21"/>
      </c>
      <c r="G368" s="35">
        <f t="shared" si="22"/>
      </c>
    </row>
    <row r="369" spans="1:7" x14ac:dyDescent="0.25">
      <c r="A369" s="30"/>
      <c r="B369" s="30"/>
      <c r="C369" s="30"/>
      <c r="D369" s="30"/>
      <c r="F369" s="35">
        <f t="shared" si="21"/>
      </c>
      <c r="G369" s="35">
        <f t="shared" si="22"/>
      </c>
    </row>
    <row r="370" spans="1:7" x14ac:dyDescent="0.25">
      <c r="A370" s="30"/>
      <c r="B370" s="30"/>
      <c r="C370" s="30"/>
      <c r="D370" s="30"/>
      <c r="F370" s="35">
        <f t="shared" si="21"/>
      </c>
      <c r="G370" s="35">
        <f t="shared" si="22"/>
      </c>
    </row>
    <row r="371" spans="1:7" x14ac:dyDescent="0.25">
      <c r="A371" s="30"/>
      <c r="B371" s="30"/>
      <c r="C371" s="30"/>
      <c r="D371" s="30"/>
      <c r="F371" s="35">
        <f t="shared" si="21"/>
      </c>
      <c r="G371" s="35">
        <f t="shared" si="22"/>
      </c>
    </row>
    <row r="372" spans="1:7" x14ac:dyDescent="0.25">
      <c r="A372" s="30"/>
      <c r="B372" s="30"/>
      <c r="C372" s="30"/>
      <c r="D372" s="30"/>
      <c r="F372" s="35">
        <f t="shared" si="21"/>
      </c>
      <c r="G372" s="35">
        <f t="shared" si="22"/>
      </c>
    </row>
    <row r="373" spans="1:7" x14ac:dyDescent="0.25">
      <c r="A373" s="30"/>
      <c r="B373" s="30"/>
      <c r="C373" s="30"/>
      <c r="D373" s="30"/>
      <c r="F373" s="35">
        <f t="shared" si="21"/>
      </c>
      <c r="G373" s="35">
        <f t="shared" si="22"/>
      </c>
    </row>
  </sheetData>
  <mergeCells count="1">
    <mergeCell ref="I3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1"/>
  <sheetViews>
    <sheetView workbookViewId="0" zoomScale="85" zoomScaleNormal="85">
      <selection activeCell="U7" sqref="U7"/>
    </sheetView>
  </sheetViews>
  <sheetFormatPr defaultRowHeight="15.6" outlineLevelRow="0" outlineLevelCol="0" x14ac:dyDescent="0" defaultColWidth="7" customHeight="1"/>
  <cols>
    <col min="1" max="1" width="7.5" style="17" customWidth="1"/>
    <col min="2" max="2" width="8.5" style="17" customWidth="1"/>
    <col min="3" max="3" width="7" style="17" customWidth="1"/>
    <col min="4" max="4" width="12.5" style="17" customWidth="1"/>
    <col min="5" max="6" width="7.5" style="17" customWidth="1"/>
    <col min="7" max="7" width="7" style="17" customWidth="1"/>
    <col min="8" max="8" width="12.5" style="17" customWidth="1"/>
    <col min="9" max="9" width="8.1" style="17" customWidth="1"/>
    <col min="10" max="10" width="8.5" style="17" customWidth="1"/>
    <col min="11" max="11" width="7" style="17" customWidth="1"/>
    <col min="12" max="16" width="7" style="2" customWidth="1"/>
    <col min="17" max="17" width="12.1" style="1" customWidth="1"/>
    <col min="18" max="19" width="12.1" style="2" customWidth="1"/>
    <col min="20" max="20" width="12.1" style="37" customWidth="1"/>
    <col min="21" max="22" width="12.1" style="2" customWidth="1"/>
    <col min="23" max="16384" width="7" style="17" customWidth="1"/>
  </cols>
  <sheetData>
    <row r="1" spans="1:22" x14ac:dyDescent="0.25">
      <c r="A1" s="38" t="s">
        <v>26</v>
      </c>
      <c r="B1" s="39"/>
      <c r="C1" s="39"/>
      <c r="D1" s="40"/>
      <c r="E1" s="38" t="s">
        <v>27</v>
      </c>
      <c r="F1" s="39"/>
      <c r="G1" s="39"/>
      <c r="H1" s="40"/>
      <c r="I1" s="38" t="s">
        <v>28</v>
      </c>
      <c r="J1" s="39"/>
      <c r="K1" s="39"/>
      <c r="L1" s="38" t="s">
        <v>29</v>
      </c>
      <c r="M1" s="39"/>
      <c r="N1" s="39"/>
      <c r="O1" s="39"/>
      <c r="P1" s="39"/>
      <c r="Q1" s="41" t="s">
        <v>30</v>
      </c>
      <c r="R1" s="6"/>
      <c r="S1" s="7"/>
      <c r="T1" s="42" t="s">
        <v>31</v>
      </c>
      <c r="U1" s="6"/>
      <c r="V1" s="7"/>
    </row>
    <row r="2" spans="1:22" x14ac:dyDescent="0.25">
      <c r="A2" s="38"/>
      <c r="B2" s="39"/>
      <c r="C2" s="39"/>
      <c r="D2" s="40"/>
      <c r="E2" s="38"/>
      <c r="F2" s="39"/>
      <c r="G2" s="39"/>
      <c r="H2" s="40"/>
      <c r="I2" s="38"/>
      <c r="J2" s="39"/>
      <c r="K2" s="39"/>
      <c r="L2" s="38"/>
      <c r="M2" s="39"/>
      <c r="N2" s="39"/>
      <c r="O2" s="39"/>
      <c r="P2" s="39"/>
      <c r="Q2" s="41"/>
      <c r="R2" s="6"/>
      <c r="S2" s="7"/>
      <c r="T2" s="42"/>
      <c r="U2" s="6"/>
      <c r="V2" s="7"/>
    </row>
    <row r="3" spans="1:22" x14ac:dyDescent="0.25">
      <c r="A3" s="43" t="s">
        <v>4</v>
      </c>
      <c r="B3" s="44" t="s">
        <v>5</v>
      </c>
      <c r="C3" s="44"/>
      <c r="D3" s="44" t="s">
        <v>32</v>
      </c>
      <c r="E3" s="43" t="s">
        <v>4</v>
      </c>
      <c r="F3" s="44" t="s">
        <v>5</v>
      </c>
      <c r="G3" s="44"/>
      <c r="H3" s="44" t="s">
        <v>33</v>
      </c>
      <c r="I3" s="43" t="s">
        <v>4</v>
      </c>
      <c r="J3" s="44" t="s">
        <v>5</v>
      </c>
      <c r="K3" s="44"/>
      <c r="L3" s="43" t="s">
        <v>34</v>
      </c>
      <c r="M3" s="44" t="s">
        <v>35</v>
      </c>
      <c r="N3" s="45" t="s">
        <v>36</v>
      </c>
      <c r="O3" s="44" t="s">
        <v>5</v>
      </c>
      <c r="P3" s="44"/>
      <c r="Q3" s="46" t="s">
        <v>6</v>
      </c>
      <c r="R3" s="11" t="s">
        <v>5</v>
      </c>
      <c r="S3" s="11"/>
      <c r="T3" s="47" t="s">
        <v>6</v>
      </c>
      <c r="U3" s="11" t="s">
        <v>5</v>
      </c>
      <c r="V3" s="11"/>
    </row>
    <row r="4" spans="1:22" x14ac:dyDescent="0.25">
      <c r="A4" s="43"/>
      <c r="B4" s="48">
        <f t="array" ref="B4">-INDEX(A:A,ROUNDUP(ROW(A8)/2,0))</f>
        <v>0</v>
      </c>
      <c r="C4" s="48">
        <v>61</v>
      </c>
      <c r="D4" s="49">
        <f>IF(A5&lt;&gt;"",A5-0,"")</f>
      </c>
      <c r="E4" s="43"/>
      <c r="F4" s="48">
        <f t="array" ref="F4">-INDEX(E:E,ROUNDUP(ROW(E7)/2,0))</f>
        <v>0</v>
      </c>
      <c r="G4" s="48">
        <v>65</v>
      </c>
      <c r="H4" s="50">
        <f>E5</f>
        <v>0</v>
      </c>
      <c r="I4" s="17"/>
      <c r="J4" s="48">
        <f t="array" ref="J4">-INDEX(I:I,ROUNDUP(ROW(I7)/2,0))</f>
        <v>-32.91</v>
      </c>
      <c r="K4" s="48">
        <v>65</v>
      </c>
      <c r="L4" s="43"/>
      <c r="M4" s="44"/>
      <c r="N4" s="45"/>
      <c r="O4" s="48">
        <f t="array" ref="O4">-INDEX(N:N,ROUNDUP(ROW(N8)/2,0))</f>
        <v>0</v>
      </c>
      <c r="P4" s="48">
        <f>70-2*N5/120</f>
        <v>68.75</v>
      </c>
      <c r="Q4" s="51">
        <f t="array" ref="Q4">IF(MOD(ROW()-8,4)=0,"",IF(MOD(ROW()-8,4)=1,INDEX(A:A,7+INT((ROW()-8)/4)*2)-INDEX(A:A,6+INT((ROW()-8)/4)*2),IF(MOD(ROW()-8,4)=2,INDEX(A:A,7+INT((ROW()-8)/4)*2),INDEX(A:A,8+INT((ROW()-8)/4)*2))))</f>
      </c>
      <c r="R4" s="14">
        <f>B4</f>
        <v>0</v>
      </c>
      <c r="S4" s="14">
        <f>C4</f>
        <v>61</v>
      </c>
      <c r="T4" s="13">
        <f t="array" ref="T4">IF(MOD(ROW()-8,4)=0,"",IF(MOD(ROW()-8,4)=1,INDEX(E:E,7+INT((ROW()-8)/4)*2)-INDEX(E:E,6+INT((ROW()-8)/4)*2),IF(MOD(ROW()-8,4)=2,INDEX(E:E,7+INT((ROW()-8)/4)*2),INDEX(E:E,8+INT((ROW()-8)/4)*2))))</f>
      </c>
      <c r="U4" s="14">
        <f>F4</f>
        <v>0</v>
      </c>
      <c r="V4" s="14">
        <f>G4</f>
        <v>65</v>
      </c>
    </row>
    <row r="5" spans="1:22" x14ac:dyDescent="0.25">
      <c r="A5" s="52"/>
      <c r="B5" s="48">
        <f t="array" ref="B5">-INDEX(A:A,ROUNDUP(ROW(A9)/2,0))</f>
        <v>0</v>
      </c>
      <c r="C5" s="48">
        <v>61</v>
      </c>
      <c r="D5" s="53"/>
      <c r="E5" s="17"/>
      <c r="F5" s="48">
        <f t="array" ref="F5">-INDEX(E:E,ROUNDUP(ROW(E9)/2,0))</f>
        <v>0</v>
      </c>
      <c r="G5" s="48">
        <v>65</v>
      </c>
      <c r="H5" s="50"/>
      <c r="J5" s="48">
        <f t="array" ref="J5">-INDEX(I:I,ROUNDUP(ROW(I8)/2,0))</f>
        <v>-32.91</v>
      </c>
      <c r="K5" s="48">
        <v>68</v>
      </c>
      <c r="L5" s="49">
        <v>0</v>
      </c>
      <c r="M5" s="54">
        <v>6</v>
      </c>
      <c r="N5" s="55">
        <v>75</v>
      </c>
      <c r="O5" s="48">
        <f t="array" ref="O5">-INDEX(M:M,ROUNDUP(ROW(M9)/2,0))</f>
        <v>-6</v>
      </c>
      <c r="P5" s="48">
        <f>70-2*N5/120</f>
        <v>68.75</v>
      </c>
      <c r="Q5" s="51">
        <f t="array" ref="Q5">IF(MOD(ROW()-8,4)=0,"",IF(MOD(ROW()-8,4)=1,INDEX(A:A,7+INT((ROW()-8)/4)*2)-INDEX(A:A,6+INT((ROW()-8)/4)*2),IF(MOD(ROW()-8,4)=2,INDEX(A:A,7+INT((ROW()-8)/4)*2),INDEX(A:A,8+INT((ROW()-8)/4)*2))))</f>
        <v>0</v>
      </c>
      <c r="R5" s="14">
        <f>IF(R6&lt;R4,(R6+R4)/2-0.3,0)</f>
        <v>0</v>
      </c>
      <c r="S5" s="14">
        <f>C5-IF(LEN(TEXT(Q5,"0"))=1,2.51,IF(LEN(TEXT(Q5,"0"))=2,2.62,2.82))</f>
        <v>58.49</v>
      </c>
      <c r="T5" s="13">
        <f t="array" ref="T5">IF(MOD(ROW()-8,4)=0,"",IF(MOD(ROW()-8,4)=1,INDEX(E:E,7+INT((ROW()-8)/4)*2)-INDEX(E:E,6+INT((ROW()-8)/4)*2),IF(MOD(ROW()-8,4)=2,INDEX(E:E,7+INT((ROW()-8)/4)*2),INDEX(E:E,8+INT((ROW()-8)/4)*2))))</f>
        <v>0</v>
      </c>
      <c r="U5" s="14">
        <f>IF(U6&lt;U4,(U6+U4)/2-0.3,0)</f>
        <v>0</v>
      </c>
      <c r="V5" s="14">
        <f>G5-IF(LEN(TEXT(T5,"0"))=1,2.53,IF(LEN(TEXT(T5,"0"))=2,2.65,2.85))</f>
        <v>62.47</v>
      </c>
    </row>
    <row r="6" spans="1:22" x14ac:dyDescent="0.25">
      <c r="A6" s="17"/>
      <c r="B6" s="48">
        <f t="array" ref="B6">-INDEX(A:A,ROUNDUP(ROW(A10)/2,0))</f>
        <v>0</v>
      </c>
      <c r="C6" s="48">
        <v>57</v>
      </c>
      <c r="D6" s="56">
        <f>IF(A7&lt;&gt;"",A7-A6,"")</f>
        <v>29.04</v>
      </c>
      <c r="E6" s="17"/>
      <c r="F6" s="48">
        <f t="array" ref="F6">-INDEX(E:E,ROUNDUP(ROW(E10)/2,0))</f>
        <v>0</v>
      </c>
      <c r="G6" s="48">
        <v>61</v>
      </c>
      <c r="H6" s="50">
        <f>IF(E7&lt;&gt;"",E7-E6,"")</f>
        <v>2.1</v>
      </c>
      <c r="J6" s="48"/>
      <c r="K6" s="48"/>
      <c r="L6" s="57"/>
      <c r="M6" s="58"/>
      <c r="N6" s="59"/>
      <c r="O6" s="48">
        <f t="array" ref="O6">IF(OR(L6=0,L6="",M6=0,M6="",N6=0,N6=""),"",-INDEX(M:M,ROUNDUP(ROW(M10)/2,0)))</f>
      </c>
      <c r="P6" s="48">
        <f>IF(OR(L6=0,L6="",M6=0,M6="",N6=0,N6=""),"",70-2*N6/120)</f>
      </c>
      <c r="Q6" s="51">
        <f t="array" ref="Q6">IF(MOD(ROW()-8,4)=0,"",IF(MOD(ROW()-8,4)=1,INDEX(A:A,7+INT((ROW()-8)/4)*2)-INDEX(A:A,6+INT((ROW()-8)/4)*2),IF(MOD(ROW()-8,4)=2,INDEX(A:A,7+INT((ROW()-8)/4)*2),INDEX(A:A,8+INT((ROW()-8)/4)*2))))</f>
        <v>0</v>
      </c>
      <c r="R6" s="14">
        <f>B6</f>
        <v>0</v>
      </c>
      <c r="S6" s="14">
        <f>C6-IF(LEN(TEXT(Q6,"0"))=1,0.5,IF(LEN(TEXT(Q6,"0"))=2,0.61,0.81))</f>
        <v>56.5</v>
      </c>
      <c r="T6" s="13">
        <f t="array" ref="T6">IF(MOD(ROW()-8,4)=0,"",IF(MOD(ROW()-8,4)=1,INDEX(E:E,7+INT((ROW()-8)/4)*2)-INDEX(E:E,6+INT((ROW()-8)/4)*2),IF(MOD(ROW()-8,4)=2,INDEX(E:E,7+INT((ROW()-8)/4)*2),INDEX(E:E,8+INT((ROW()-8)/4)*2))))</f>
        <v>0</v>
      </c>
      <c r="U6" s="14">
        <f>F6</f>
        <v>0</v>
      </c>
      <c r="V6" s="14">
        <f>G6-IF(LEN(TEXT(T6,"0"))=1,0.5,IF(LEN(TEXT(T6,"0"))=2,0.61,0.81))</f>
        <v>60.5</v>
      </c>
    </row>
    <row r="7" spans="1:22" x14ac:dyDescent="0.25">
      <c r="A7" s="17"/>
      <c r="B7" s="48">
        <f t="array" ref="B7">-INDEX(A:A,ROUNDUP(ROW(A11)/2,0))</f>
        <v>-32.91</v>
      </c>
      <c r="C7" s="48">
        <v>57</v>
      </c>
      <c r="D7" s="53"/>
      <c r="E7" s="17"/>
      <c r="F7" s="48">
        <f t="array" ref="F7">-INDEX(E:E,ROUNDUP(ROW(E11)/2,0))</f>
        <v>0</v>
      </c>
      <c r="G7" s="48">
        <v>61</v>
      </c>
      <c r="H7" s="50"/>
      <c r="J7" s="48">
        <f>-I4</f>
        <v>-32.91</v>
      </c>
      <c r="K7" s="48">
        <v>66.5</v>
      </c>
      <c r="L7" s="17"/>
      <c r="M7" s="17"/>
      <c r="N7" s="17"/>
      <c r="O7" s="48">
        <f t="array" ref="O7">IF(OR(L6=0,L6="",M6=0,M6="",N6=0,N6=""),"",-INDEX(M:M,ROUNDUP(ROW(M11)/2,0)))</f>
      </c>
      <c r="P7" s="48">
        <f>IF(OR(L6=0,L6="",M6=0,M6="",N6=0,N6=""),"",70-2*N6/120)</f>
      </c>
      <c r="Q7" s="51">
        <f t="array" ref="Q7">IF(MOD(ROW()-8,4)=0,"",IF(MOD(ROW()-8,4)=1,INDEX(A:A,7+INT((ROW()-8)/4)*2)-INDEX(A:A,6+INT((ROW()-8)/4)*2),IF(MOD(ROW()-8,4)=2,INDEX(A:A,7+INT((ROW()-8)/4)*2),INDEX(A:A,8+INT((ROW()-8)/4)*2))))</f>
        <v>32.91</v>
      </c>
      <c r="R7" s="14">
        <f>B7-0.6</f>
        <v>-33.51</v>
      </c>
      <c r="S7" s="14">
        <f>C7-IF(LEN(TEXT(Q7,"0"))=1,0.5,IF(LEN(TEXT(Q7,"0"))=2,0.61,0.81))</f>
        <v>56.39</v>
      </c>
      <c r="T7" s="13">
        <f t="array" ref="T7">IF(MOD(ROW()-8,4)=0,"",IF(MOD(ROW()-8,4)=1,INDEX(E:E,7+INT((ROW()-8)/4)*2)-INDEX(E:E,6+INT((ROW()-8)/4)*2),IF(MOD(ROW()-8,4)=2,INDEX(E:E,7+INT((ROW()-8)/4)*2),INDEX(E:E,8+INT((ROW()-8)/4)*2))))</f>
        <v>0</v>
      </c>
      <c r="U7" s="14">
        <f>F7-0.6</f>
        <v>-0.6</v>
      </c>
      <c r="V7" s="14">
        <f>G7-IF(LEN(TEXT(T7,"0"))=1,0.5,IF(LEN(TEXT(T7,"0"))=2,0.61,0.81))</f>
        <v>60.5</v>
      </c>
    </row>
    <row r="8" spans="1:22" x14ac:dyDescent="0.25">
      <c r="A8" s="17"/>
      <c r="B8" s="48">
        <f t="array" ref="B8">-INDEX(A:A,ROUNDUP(ROW(A12)/2,0))</f>
        <v>-32.91</v>
      </c>
      <c r="C8" s="48">
        <v>61</v>
      </c>
      <c r="D8" s="56">
        <f t="shared" ref="D8" si="0">IF(A9&lt;&gt;"",A9-A8,"")</f>
        <v>21.9200000000001</v>
      </c>
      <c r="E8" s="17"/>
      <c r="F8" s="48">
        <f t="array" ref="F8">-INDEX(E:E,ROUNDUP(ROW(E12)/2,0))</f>
        <v>0</v>
      </c>
      <c r="G8" s="48">
        <v>65</v>
      </c>
      <c r="H8" s="50">
        <f t="shared" ref="H8" si="1">IF(E9&lt;&gt;"",E9-E8,"")</f>
        <v>1.06999999999999</v>
      </c>
      <c r="J8" s="48">
        <f>-(I4-0.5)</f>
        <v>-32.41</v>
      </c>
      <c r="K8" s="48">
        <v>66</v>
      </c>
      <c r="L8" s="17"/>
      <c r="M8" s="17"/>
      <c r="N8" s="17"/>
      <c r="O8" s="48">
        <f>O7</f>
      </c>
      <c r="P8" s="48">
        <f>IF(OR(L6=0,L6="",M6=0,M6="",N6=0,N6=""),"",70+70-P7)</f>
      </c>
      <c r="Q8" s="51">
        <f t="array" ref="Q8">IF(MOD(ROW()-8,4)=0,"",IF(MOD(ROW()-8,4)=1,INDEX(A:A,7+INT((ROW()-8)/4)*2)-INDEX(A:A,6+INT((ROW()-8)/4)*2),IF(MOD(ROW()-8,4)=2,INDEX(A:A,7+INT((ROW()-8)/4)*2),INDEX(A:A,8+INT((ROW()-8)/4)*2))))</f>
      </c>
      <c r="R8" s="14">
        <f>B8</f>
        <v>-32.91</v>
      </c>
      <c r="S8" s="14">
        <f>C8</f>
        <v>61</v>
      </c>
      <c r="T8" s="13">
        <f t="array" ref="T8">IF(MOD(ROW()-8,4)=0,"",IF(MOD(ROW()-8,4)=1,INDEX(E:E,7+INT((ROW()-8)/4)*2)-INDEX(E:E,6+INT((ROW()-8)/4)*2),IF(MOD(ROW()-8,4)=2,INDEX(E:E,7+INT((ROW()-8)/4)*2),INDEX(E:E,8+INT((ROW()-8)/4)*2))))</f>
      </c>
      <c r="U8" s="14">
        <f>F8</f>
        <v>0</v>
      </c>
      <c r="V8" s="14">
        <f>G8</f>
        <v>65</v>
      </c>
    </row>
    <row r="9" spans="1:22" x14ac:dyDescent="0.25">
      <c r="A9" s="17"/>
      <c r="B9" s="48">
        <f t="array" ref="B9">-INDEX(A:A,ROUNDUP(ROW(A13)/2,0))</f>
        <v>-61.95</v>
      </c>
      <c r="C9" s="48">
        <v>61</v>
      </c>
      <c r="D9" s="53"/>
      <c r="E9" s="17"/>
      <c r="F9" s="48">
        <f t="array" ref="F9">-INDEX(E:E,ROUNDUP(ROW(E13)/2,0))</f>
        <v>-2.1</v>
      </c>
      <c r="G9" s="48">
        <v>65</v>
      </c>
      <c r="H9" s="50"/>
      <c r="J9" s="48">
        <f>-(I4-0.5)</f>
        <v>-32.41</v>
      </c>
      <c r="K9" s="48">
        <v>67</v>
      </c>
      <c r="L9" s="17"/>
      <c r="M9" s="17"/>
      <c r="N9" s="17"/>
      <c r="O9" s="48">
        <f>O6</f>
      </c>
      <c r="P9" s="48">
        <f>IF(OR(L6=0,L6="",M6=0,M6="",N6=0,N6=""),"",70+70-P6)</f>
      </c>
      <c r="Q9" s="51">
        <f t="array" ref="Q9">IF(MOD(ROW()-8,4)=0,"",IF(MOD(ROW()-8,4)=1,INDEX(A:A,7+INT((ROW()-8)/4)*2)-INDEX(A:A,6+INT((ROW()-8)/4)*2),IF(MOD(ROW()-8,4)=2,INDEX(A:A,7+INT((ROW()-8)/4)*2),INDEX(A:A,8+INT((ROW()-8)/4)*2))))</f>
        <v>29.04</v>
      </c>
      <c r="R9" s="14">
        <f>IF(R10&lt;R8,(R10+R8)/2-0.3,0)</f>
        <v>-47.73</v>
      </c>
      <c r="S9" s="14">
        <f>C9-IF(LEN(TEXT(Q9,"0"))=1,2.51,IF(LEN(TEXT(Q9,"0"))=2,2.62,2.82))</f>
        <v>58.38</v>
      </c>
      <c r="T9" s="13">
        <f t="array" ref="T9">IF(MOD(ROW()-8,4)=0,"",IF(MOD(ROW()-8,4)=1,INDEX(E:E,7+INT((ROW()-8)/4)*2)-INDEX(E:E,6+INT((ROW()-8)/4)*2),IF(MOD(ROW()-8,4)=2,INDEX(E:E,7+INT((ROW()-8)/4)*2),INDEX(E:E,8+INT((ROW()-8)/4)*2))))</f>
        <v>2.1</v>
      </c>
      <c r="U9" s="14">
        <f>IF(U10&lt;U8,(U10+U8)/2-0.3,0)</f>
        <v>-1.35</v>
      </c>
      <c r="V9" s="14">
        <f>G9-IF(LEN(TEXT(T9,"0"))=1,2.53,IF(LEN(TEXT(T9,"0"))=2,2.65,2.85))</f>
        <v>62.47</v>
      </c>
    </row>
    <row r="10" spans="1:22" x14ac:dyDescent="0.25">
      <c r="A10" s="17"/>
      <c r="B10" s="48">
        <f t="array" ref="B10">-INDEX(A:A,ROUNDUP(ROW(A14)/2,0))</f>
        <v>-61.95</v>
      </c>
      <c r="C10" s="48">
        <v>57</v>
      </c>
      <c r="D10" s="56">
        <f t="shared" ref="D10" si="2">IF(A11&lt;&gt;"",A11-A10,"")</f>
      </c>
      <c r="E10" s="17"/>
      <c r="F10" s="48">
        <f t="array" ref="F10">-INDEX(E:E,ROUNDUP(ROW(E14)/2,0))</f>
        <v>-2.1</v>
      </c>
      <c r="G10" s="48">
        <v>61</v>
      </c>
      <c r="H10" s="50">
        <f t="shared" ref="H10" si="3">IF(E11&lt;&gt;"",E11-E10,"")</f>
        <v>0.550000000000011</v>
      </c>
      <c r="J10" s="48">
        <f>J7</f>
        <v>-32.91</v>
      </c>
      <c r="K10" s="48">
        <f>K7</f>
        <v>66.5</v>
      </c>
      <c r="L10" s="17"/>
      <c r="M10" s="17"/>
      <c r="N10" s="17"/>
      <c r="O10" s="48">
        <f>O5</f>
        <v>-6</v>
      </c>
      <c r="P10" s="48">
        <f>70+70-P5</f>
        <v>71.25</v>
      </c>
      <c r="Q10" s="51">
        <f t="array" ref="Q10">IF(MOD(ROW()-8,4)=0,"",IF(MOD(ROW()-8,4)=1,INDEX(A:A,7+INT((ROW()-8)/4)*2)-INDEX(A:A,6+INT((ROW()-8)/4)*2),IF(MOD(ROW()-8,4)=2,INDEX(A:A,7+INT((ROW()-8)/4)*2),INDEX(A:A,8+INT((ROW()-8)/4)*2))))</f>
        <v>61.95</v>
      </c>
      <c r="R10" s="14">
        <f>B10</f>
        <v>-61.95</v>
      </c>
      <c r="S10" s="14">
        <f t="shared" ref="S10:S11" si="4">C10-IF(LEN(TEXT(Q10,"0"))=1,0.5,IF(LEN(TEXT(Q10,"0"))=2,0.61,0.81))</f>
        <v>56.39</v>
      </c>
      <c r="T10" s="13">
        <f t="array" ref="T10">IF(MOD(ROW()-8,4)=0,"",IF(MOD(ROW()-8,4)=1,INDEX(E:E,7+INT((ROW()-8)/4)*2)-INDEX(E:E,6+INT((ROW()-8)/4)*2),IF(MOD(ROW()-8,4)=2,INDEX(E:E,7+INT((ROW()-8)/4)*2),INDEX(E:E,8+INT((ROW()-8)/4)*2))))</f>
        <v>2.1</v>
      </c>
      <c r="U10" s="14">
        <f>F10</f>
        <v>-2.1</v>
      </c>
      <c r="V10" s="14">
        <f>G10-IF(LEN(TEXT(T10,"0"))=1,0.5,IF(LEN(TEXT(T10,"0"))=2,0.61,0.81))</f>
        <v>60.5</v>
      </c>
    </row>
    <row r="11" spans="1:22" x14ac:dyDescent="0.25">
      <c r="A11" s="17"/>
      <c r="B11" s="48">
        <f t="array" ref="B11">-INDEX(A:A,ROUNDUP(ROW(A15)/2,0))</f>
        <v>-550.16</v>
      </c>
      <c r="C11" s="48">
        <v>57</v>
      </c>
      <c r="D11" s="53"/>
      <c r="E11" s="17"/>
      <c r="F11" s="48">
        <f t="array" ref="F11">-INDEX(E:E,ROUNDUP(ROW(E15)/2,0))</f>
        <v>-120.98</v>
      </c>
      <c r="G11" s="48">
        <v>61</v>
      </c>
      <c r="H11" s="50"/>
      <c r="J11" s="48"/>
      <c r="K11" s="48"/>
      <c r="L11" s="17"/>
      <c r="M11" s="17"/>
      <c r="N11" s="17"/>
      <c r="O11" s="48">
        <f>O4</f>
        <v>0</v>
      </c>
      <c r="P11" s="48">
        <f>70+70-P4</f>
        <v>71.25</v>
      </c>
      <c r="Q11" s="51">
        <f t="array" ref="Q11">IF(MOD(ROW()-8,4)=0,"",IF(MOD(ROW()-8,4)=1,INDEX(A:A,7+INT((ROW()-8)/4)*2)-INDEX(A:A,6+INT((ROW()-8)/4)*2),IF(MOD(ROW()-8,4)=2,INDEX(A:A,7+INT((ROW()-8)/4)*2),INDEX(A:A,8+INT((ROW()-8)/4)*2))))</f>
        <v>550.16</v>
      </c>
      <c r="R11" s="14">
        <f>B11-0.6</f>
        <v>-550.76</v>
      </c>
      <c r="S11" s="14">
        <f t="shared" si="4"/>
        <v>56.19</v>
      </c>
      <c r="T11" s="13">
        <f t="array" ref="T11">IF(MOD(ROW()-8,4)=0,"",IF(MOD(ROW()-8,4)=1,INDEX(E:E,7+INT((ROW()-8)/4)*2)-INDEX(E:E,6+INT((ROW()-8)/4)*2),IF(MOD(ROW()-8,4)=2,INDEX(E:E,7+INT((ROW()-8)/4)*2),INDEX(E:E,8+INT((ROW()-8)/4)*2))))</f>
        <v>120.98</v>
      </c>
      <c r="U11" s="14">
        <f>F11-0.6</f>
        <v>-121.58</v>
      </c>
      <c r="V11" s="14">
        <f>G11-IF(LEN(TEXT(T11,"0"))=1,0.5,IF(LEN(TEXT(T11,"0"))=2,0.61,0.81))</f>
        <v>60.19</v>
      </c>
    </row>
    <row r="12" spans="1:22" x14ac:dyDescent="0.25">
      <c r="A12" s="17"/>
      <c r="B12" s="48">
        <f t="array" ref="B12">-INDEX(A:A,ROUNDUP(ROW(A16)/2,0))</f>
        <v>-550.16</v>
      </c>
      <c r="C12" s="48">
        <v>61</v>
      </c>
      <c r="D12" s="56">
        <f t="shared" ref="D12" si="5">IF(A13&lt;&gt;"",A13-A12,"")</f>
      </c>
      <c r="E12" s="17"/>
      <c r="F12" s="48">
        <f t="array" ref="F12">-INDEX(E:E,ROUNDUP(ROW(E16)/2,0))</f>
        <v>-120.98</v>
      </c>
      <c r="G12" s="48">
        <v>65</v>
      </c>
      <c r="H12" s="50">
        <f t="shared" ref="H12" si="6">IF(E13&lt;&gt;"",E13-E12,"")</f>
        <v>2.5</v>
      </c>
      <c r="J12" s="48">
        <f>-(I4+0.2)</f>
        <v>-33.11</v>
      </c>
      <c r="K12" s="48">
        <v>66.2</v>
      </c>
      <c r="L12" s="17"/>
      <c r="M12" s="17"/>
      <c r="N12" s="17"/>
      <c r="Q12" s="51">
        <f t="array" ref="Q12">IF(MOD(ROW()-8,4)=0,"",IF(MOD(ROW()-8,4)=1,INDEX(A:A,7+INT((ROW()-8)/4)*2)-INDEX(A:A,6+INT((ROW()-8)/4)*2),IF(MOD(ROW()-8,4)=2,INDEX(A:A,7+INT((ROW()-8)/4)*2),INDEX(A:A,8+INT((ROW()-8)/4)*2))))</f>
      </c>
      <c r="R12" s="14">
        <f>B12</f>
        <v>-550.16</v>
      </c>
      <c r="S12" s="14">
        <f>C12</f>
        <v>61</v>
      </c>
      <c r="T12" s="13">
        <f t="array" ref="T12">IF(MOD(ROW()-8,4)=0,"",IF(MOD(ROW()-8,4)=1,INDEX(E:E,7+INT((ROW()-8)/4)*2)-INDEX(E:E,6+INT((ROW()-8)/4)*2),IF(MOD(ROW()-8,4)=2,INDEX(E:E,7+INT((ROW()-8)/4)*2),INDEX(E:E,8+INT((ROW()-8)/4)*2))))</f>
      </c>
      <c r="U12" s="14">
        <f>F12</f>
        <v>-120.98</v>
      </c>
      <c r="V12" s="14">
        <f>G12</f>
        <v>65</v>
      </c>
    </row>
    <row r="13" spans="1:22" x14ac:dyDescent="0.25">
      <c r="A13" s="17"/>
      <c r="B13" s="48">
        <f t="array" ref="B13">-INDEX(A:A,ROUNDUP(ROW(A17)/2,0))</f>
        <v>-572.08</v>
      </c>
      <c r="C13" s="48">
        <v>61</v>
      </c>
      <c r="D13" s="53"/>
      <c r="E13" s="17"/>
      <c r="F13" s="48">
        <f t="array" ref="F13">-INDEX(E:E,ROUNDUP(ROW(E17)/2,0))</f>
        <v>-122.05</v>
      </c>
      <c r="G13" s="48">
        <v>65</v>
      </c>
      <c r="H13" s="50"/>
      <c r="J13" s="48">
        <f>-(I4+0.2)</f>
        <v>-33.11</v>
      </c>
      <c r="K13" s="48">
        <v>66.8</v>
      </c>
      <c r="L13" s="17"/>
      <c r="M13" s="17"/>
      <c r="N13" s="17"/>
      <c r="P13" s="17"/>
      <c r="Q13" s="51">
        <f t="array" ref="Q13">IF(MOD(ROW()-8,4)=0,"",IF(MOD(ROW()-8,4)=1,INDEX(A:A,7+INT((ROW()-8)/4)*2)-INDEX(A:A,6+INT((ROW()-8)/4)*2),IF(MOD(ROW()-8,4)=2,INDEX(A:A,7+INT((ROW()-8)/4)*2),INDEX(A:A,8+INT((ROW()-8)/4)*2))))</f>
        <v>21.9200000000001</v>
      </c>
      <c r="R13" s="14">
        <f>IF(R14&lt;R12,(R14+R12)/2-0.3,0)</f>
        <v>-561.42</v>
      </c>
      <c r="S13" s="14">
        <f>C13-IF(LEN(TEXT(Q13,"0"))=1,2.51,IF(LEN(TEXT(Q13,"0"))=2,2.62,2.82))</f>
        <v>58.38</v>
      </c>
      <c r="T13" s="13">
        <f t="array" ref="T13">IF(MOD(ROW()-8,4)=0,"",IF(MOD(ROW()-8,4)=1,INDEX(E:E,7+INT((ROW()-8)/4)*2)-INDEX(E:E,6+INT((ROW()-8)/4)*2),IF(MOD(ROW()-8,4)=2,INDEX(E:E,7+INT((ROW()-8)/4)*2),INDEX(E:E,8+INT((ROW()-8)/4)*2))))</f>
        <v>1.06999999999999</v>
      </c>
      <c r="U13" s="14">
        <f>IF(U14&lt;U12,(U14+U12)/2-0.3,0)</f>
        <v>-121.815</v>
      </c>
      <c r="V13" s="14">
        <f>G13-IF(LEN(TEXT(T13,"0"))=1,2.53,IF(LEN(TEXT(T13,"0"))=2,2.65,2.85))</f>
        <v>62.47</v>
      </c>
    </row>
    <row r="14" spans="1:22" x14ac:dyDescent="0.25">
      <c r="A14" s="17"/>
      <c r="B14" s="48">
        <f t="array" ref="B14">-INDEX(A:A,ROUNDUP(ROW(A18)/2,0))</f>
        <v>-572.08</v>
      </c>
      <c r="C14" s="48">
        <v>57</v>
      </c>
      <c r="D14" s="56">
        <f t="shared" ref="D14" si="7">IF(A15&lt;&gt;"",A15-A14,"")</f>
      </c>
      <c r="E14" s="17"/>
      <c r="F14" s="48">
        <f t="array" ref="F14">-INDEX(E:E,ROUNDUP(ROW(E18)/2,0))</f>
        <v>-122.05</v>
      </c>
      <c r="G14" s="48">
        <v>61</v>
      </c>
      <c r="H14" s="50">
        <f t="shared" ref="H14" si="8">IF(E15&lt;&gt;"",E15-E14,"")</f>
        <v>4.5</v>
      </c>
      <c r="J14" s="48"/>
      <c r="K14" s="48"/>
      <c r="L14" s="17"/>
      <c r="M14" s="17"/>
      <c r="N14" s="17"/>
      <c r="O14" s="17"/>
      <c r="P14" s="17"/>
      <c r="Q14" s="51">
        <f t="array" ref="Q14">IF(MOD(ROW()-8,4)=0,"",IF(MOD(ROW()-8,4)=1,INDEX(A:A,7+INT((ROW()-8)/4)*2)-INDEX(A:A,6+INT((ROW()-8)/4)*2),IF(MOD(ROW()-8,4)=2,INDEX(A:A,7+INT((ROW()-8)/4)*2),INDEX(A:A,8+INT((ROW()-8)/4)*2))))</f>
        <v>572.08</v>
      </c>
      <c r="R14" s="14">
        <f>B14</f>
        <v>-572.08</v>
      </c>
      <c r="S14" s="14">
        <f t="shared" ref="S14:S15" si="9">C14-IF(LEN(TEXT(Q14,"0"))=1,0.5,IF(LEN(TEXT(Q14,"0"))=2,0.61,0.81))</f>
        <v>56.19</v>
      </c>
      <c r="T14" s="13">
        <f t="array" ref="T14">IF(MOD(ROW()-8,4)=0,"",IF(MOD(ROW()-8,4)=1,INDEX(E:E,7+INT((ROW()-8)/4)*2)-INDEX(E:E,6+INT((ROW()-8)/4)*2),IF(MOD(ROW()-8,4)=2,INDEX(E:E,7+INT((ROW()-8)/4)*2),INDEX(E:E,8+INT((ROW()-8)/4)*2))))</f>
        <v>122.05</v>
      </c>
      <c r="U14" s="14">
        <f>F14</f>
        <v>-122.05</v>
      </c>
      <c r="V14" s="14">
        <f>G14-IF(LEN(TEXT(T14,"0"))=1,0.5,IF(LEN(TEXT(T14,"0"))=2,0.61,0.81))</f>
        <v>60.19</v>
      </c>
    </row>
    <row r="15" spans="1:22" x14ac:dyDescent="0.25">
      <c r="A15" s="17"/>
      <c r="B15" s="48">
        <f t="array" ref="B15">-INDEX(A:A,ROUNDUP(ROW(A19)/2,0))</f>
        <v>0</v>
      </c>
      <c r="C15" s="48">
        <v>57</v>
      </c>
      <c r="D15" s="53"/>
      <c r="E15" s="17"/>
      <c r="F15" s="48">
        <f t="array" ref="F15">-INDEX(E:E,ROUNDUP(ROW(E19)/2,0))</f>
        <v>-423.25</v>
      </c>
      <c r="G15" s="48">
        <v>61</v>
      </c>
      <c r="H15" s="50"/>
      <c r="J15" s="48">
        <f>-(I4+0.4)</f>
        <v>-33.31</v>
      </c>
      <c r="K15" s="48">
        <v>66.3</v>
      </c>
      <c r="L15" s="17"/>
      <c r="M15" s="17"/>
      <c r="N15" s="17"/>
      <c r="O15" s="17"/>
      <c r="P15" s="17"/>
      <c r="Q15" s="51">
        <f t="array" ref="Q15">IF(MOD(ROW()-8,4)=0,"",IF(MOD(ROW()-8,4)=1,INDEX(A:A,7+INT((ROW()-8)/4)*2)-INDEX(A:A,6+INT((ROW()-8)/4)*2),IF(MOD(ROW()-8,4)=2,INDEX(A:A,7+INT((ROW()-8)/4)*2),INDEX(A:A,8+INT((ROW()-8)/4)*2))))</f>
        <v>0</v>
      </c>
      <c r="R15" s="14">
        <f>B15-0.6</f>
        <v>-0.6</v>
      </c>
      <c r="S15" s="14">
        <f t="shared" si="9"/>
        <v>56.5</v>
      </c>
      <c r="T15" s="13">
        <f t="array" ref="T15">IF(MOD(ROW()-8,4)=0,"",IF(MOD(ROW()-8,4)=1,INDEX(E:E,7+INT((ROW()-8)/4)*2)-INDEX(E:E,6+INT((ROW()-8)/4)*2),IF(MOD(ROW()-8,4)=2,INDEX(E:E,7+INT((ROW()-8)/4)*2),INDEX(E:E,8+INT((ROW()-8)/4)*2))))</f>
        <v>423.25</v>
      </c>
      <c r="U15" s="14">
        <f>F15-0.6</f>
        <v>-423.85</v>
      </c>
      <c r="V15" s="14">
        <f>G15-IF(LEN(TEXT(T15,"0"))=1,0.5,IF(LEN(TEXT(T15,"0"))=2,0.61,0.81))</f>
        <v>60.19</v>
      </c>
    </row>
    <row r="16" spans="1:22" x14ac:dyDescent="0.25">
      <c r="A16" s="17"/>
      <c r="B16" s="48">
        <f t="array" ref="B16">-INDEX(A:A,ROUNDUP(ROW(A20)/2,0))</f>
        <v>0</v>
      </c>
      <c r="C16" s="48">
        <v>61</v>
      </c>
      <c r="D16" s="56">
        <f t="shared" ref="D16" si="10">IF(A17&lt;&gt;"",A17-A16,"")</f>
      </c>
      <c r="E16" s="17"/>
      <c r="F16" s="48">
        <f t="array" ref="F16">-INDEX(E:E,ROUNDUP(ROW(E20)/2,0))</f>
        <v>-423.25</v>
      </c>
      <c r="G16" s="48">
        <v>65</v>
      </c>
      <c r="H16" s="50">
        <f t="shared" ref="H16" si="11">IF(E17&lt;&gt;"",E17-E16,"")</f>
        <v>1.19999999999993</v>
      </c>
      <c r="J16" s="48">
        <f>-(I4+0.4)</f>
        <v>-33.31</v>
      </c>
      <c r="K16" s="48">
        <v>66.7</v>
      </c>
      <c r="L16" s="17"/>
      <c r="M16" s="17"/>
      <c r="N16" s="17"/>
      <c r="O16" s="17"/>
      <c r="P16" s="17"/>
      <c r="Q16" s="51">
        <f t="array" ref="Q16">IF(MOD(ROW()-8,4)=0,"",IF(MOD(ROW()-8,4)=1,INDEX(A:A,7+INT((ROW()-8)/4)*2)-INDEX(A:A,6+INT((ROW()-8)/4)*2),IF(MOD(ROW()-8,4)=2,INDEX(A:A,7+INT((ROW()-8)/4)*2),INDEX(A:A,8+INT((ROW()-8)/4)*2))))</f>
      </c>
      <c r="R16" s="14">
        <f>B16</f>
        <v>0</v>
      </c>
      <c r="S16" s="14">
        <f>C16</f>
        <v>61</v>
      </c>
      <c r="T16" s="13">
        <f t="array" ref="T16">IF(MOD(ROW()-8,4)=0,"",IF(MOD(ROW()-8,4)=1,INDEX(E:E,7+INT((ROW()-8)/4)*2)-INDEX(E:E,6+INT((ROW()-8)/4)*2),IF(MOD(ROW()-8,4)=2,INDEX(E:E,7+INT((ROW()-8)/4)*2),INDEX(E:E,8+INT((ROW()-8)/4)*2))))</f>
      </c>
      <c r="U16" s="14">
        <f>F16</f>
        <v>-423.25</v>
      </c>
      <c r="V16" s="14">
        <f>G16</f>
        <v>65</v>
      </c>
    </row>
    <row r="17" spans="1:22" x14ac:dyDescent="0.25">
      <c r="A17" s="17"/>
      <c r="B17" s="48">
        <f t="array" ref="B17">-INDEX(A:A,ROUNDUP(ROW(A21)/2,0))</f>
        <v>0</v>
      </c>
      <c r="C17" s="48">
        <v>61</v>
      </c>
      <c r="D17" s="53"/>
      <c r="E17" s="17"/>
      <c r="F17" s="48">
        <f t="array" ref="F17">-INDEX(E:E,ROUNDUP(ROW(E21)/2,0))</f>
        <v>-423.8</v>
      </c>
      <c r="G17" s="48">
        <v>65</v>
      </c>
      <c r="H17" s="50"/>
      <c r="I17" s="5" t="s">
        <v>37</v>
      </c>
      <c r="J17" s="6"/>
      <c r="K17" s="7"/>
      <c r="L17" s="17"/>
      <c r="M17" s="17"/>
      <c r="N17" s="17"/>
      <c r="O17" s="17"/>
      <c r="P17" s="17"/>
      <c r="Q17" s="51">
        <f t="array" ref="Q17">IF(MOD(ROW()-8,4)=0,"",IF(MOD(ROW()-8,4)=1,INDEX(A:A,7+INT((ROW()-8)/4)*2)-INDEX(A:A,6+INT((ROW()-8)/4)*2),IF(MOD(ROW()-8,4)=2,INDEX(A:A,7+INT((ROW()-8)/4)*2),INDEX(A:A,8+INT((ROW()-8)/4)*2))))</f>
        <v>0</v>
      </c>
      <c r="R17" s="14">
        <f>IF(R18&lt;R16,(R18+R16)/2-0.3,0)</f>
        <v>0</v>
      </c>
      <c r="S17" s="14">
        <f t="shared" ref="S17" si="12">C17-IF(LEN(TEXT(Q17,"0"))=1,2.51,IF(LEN(TEXT(Q17,"0"))=2,2.62,2.82))</f>
        <v>58.49</v>
      </c>
      <c r="T17" s="13">
        <f t="array" ref="T17">IF(MOD(ROW()-8,4)=0,"",IF(MOD(ROW()-8,4)=1,INDEX(E:E,7+INT((ROW()-8)/4)*2)-INDEX(E:E,6+INT((ROW()-8)/4)*2),IF(MOD(ROW()-8,4)=2,INDEX(E:E,7+INT((ROW()-8)/4)*2),INDEX(E:E,8+INT((ROW()-8)/4)*2))))</f>
        <v>0.550000000000011</v>
      </c>
      <c r="U17" s="14">
        <f>IF(U18&lt;U16,(U18+U16)/2-0.3,0)</f>
        <v>-423.825</v>
      </c>
      <c r="V17" s="14">
        <f>G17-IF(LEN(TEXT(T17,"0"))=1,2.53,IF(LEN(TEXT(T17,"0"))=2,2.65,2.85))</f>
        <v>62.47</v>
      </c>
    </row>
    <row r="18" spans="1:22" x14ac:dyDescent="0.25">
      <c r="A18" s="17"/>
      <c r="B18" s="48">
        <f t="array" ref="B18">-INDEX(A:A,ROUNDUP(ROW(A22)/2,0))</f>
        <v>0</v>
      </c>
      <c r="C18" s="48">
        <v>57</v>
      </c>
      <c r="D18" s="56">
        <f t="shared" ref="D18" si="13">IF(A19&lt;&gt;"",A19-A18,"")</f>
      </c>
      <c r="E18" s="17"/>
      <c r="F18" s="48">
        <f t="array" ref="F18">-INDEX(E:E,ROUNDUP(ROW(E22)/2,0))</f>
        <v>-423.8</v>
      </c>
      <c r="G18" s="48">
        <v>61</v>
      </c>
      <c r="H18" s="50">
        <f t="shared" ref="H18" si="14">IF(E19&lt;&gt;"",E19-E18,"")</f>
        <v>0.800000000000068</v>
      </c>
      <c r="I18" s="5"/>
      <c r="J18" s="6"/>
      <c r="K18" s="7"/>
      <c r="L18" s="17"/>
      <c r="M18" s="17"/>
      <c r="N18" s="17"/>
      <c r="O18" s="17"/>
      <c r="P18" s="17"/>
      <c r="Q18" s="51">
        <f t="array" ref="Q18">IF(MOD(ROW()-8,4)=0,"",IF(MOD(ROW()-8,4)=1,INDEX(A:A,7+INT((ROW()-8)/4)*2)-INDEX(A:A,6+INT((ROW()-8)/4)*2),IF(MOD(ROW()-8,4)=2,INDEX(A:A,7+INT((ROW()-8)/4)*2),INDEX(A:A,8+INT((ROW()-8)/4)*2))))</f>
        <v>0</v>
      </c>
      <c r="R18" s="14">
        <f>B18</f>
        <v>0</v>
      </c>
      <c r="S18" s="14">
        <f t="shared" ref="S18:S19" si="15">C18-IF(LEN(TEXT(Q18,"0"))=1,0.5,IF(LEN(TEXT(Q18,"0"))=2,0.61,0.81))</f>
        <v>56.5</v>
      </c>
      <c r="T18" s="13">
        <f t="array" ref="T18">IF(MOD(ROW()-8,4)=0,"",IF(MOD(ROW()-8,4)=1,INDEX(E:E,7+INT((ROW()-8)/4)*2)-INDEX(E:E,6+INT((ROW()-8)/4)*2),IF(MOD(ROW()-8,4)=2,INDEX(E:E,7+INT((ROW()-8)/4)*2),INDEX(E:E,8+INT((ROW()-8)/4)*2))))</f>
        <v>423.8</v>
      </c>
      <c r="U18" s="14">
        <f>F18</f>
        <v>-423.8</v>
      </c>
      <c r="V18" s="14">
        <f>G18-IF(LEN(TEXT(T18,"0"))=1,0.5,IF(LEN(TEXT(T18,"0"))=2,0.61,0.81))</f>
        <v>60.19</v>
      </c>
    </row>
    <row r="19" spans="1:22" x14ac:dyDescent="0.25">
      <c r="A19" s="17"/>
      <c r="B19" s="48">
        <f t="array" ref="B19">-INDEX(A:A,ROUNDUP(ROW(A23)/2,0))</f>
        <v>0</v>
      </c>
      <c r="C19" s="48">
        <v>57</v>
      </c>
      <c r="D19" s="53"/>
      <c r="E19" s="17"/>
      <c r="F19" s="48">
        <f t="array" ref="F19">-INDEX(E:E,ROUNDUP(ROW(E23)/2,0))</f>
        <v>-511.9</v>
      </c>
      <c r="G19" s="48">
        <v>61</v>
      </c>
      <c r="H19" s="50"/>
      <c r="I19" s="10" t="s">
        <v>6</v>
      </c>
      <c r="J19" s="11" t="s">
        <v>5</v>
      </c>
      <c r="K19" s="60"/>
      <c r="L19" s="17"/>
      <c r="M19" s="17"/>
      <c r="N19" s="17"/>
      <c r="O19" s="17"/>
      <c r="P19" s="17"/>
      <c r="Q19" s="51">
        <f t="array" ref="Q19">IF(MOD(ROW()-8,4)=0,"",IF(MOD(ROW()-8,4)=1,INDEX(A:A,7+INT((ROW()-8)/4)*2)-INDEX(A:A,6+INT((ROW()-8)/4)*2),IF(MOD(ROW()-8,4)=2,INDEX(A:A,7+INT((ROW()-8)/4)*2),INDEX(A:A,8+INT((ROW()-8)/4)*2))))</f>
        <v>0</v>
      </c>
      <c r="R19" s="14">
        <f>B19-0.6</f>
        <v>-0.6</v>
      </c>
      <c r="S19" s="14">
        <f t="shared" si="15"/>
        <v>56.5</v>
      </c>
      <c r="T19" s="13">
        <f t="array" ref="T19">IF(MOD(ROW()-8,4)=0,"",IF(MOD(ROW()-8,4)=1,INDEX(E:E,7+INT((ROW()-8)/4)*2)-INDEX(E:E,6+INT((ROW()-8)/4)*2),IF(MOD(ROW()-8,4)=2,INDEX(E:E,7+INT((ROW()-8)/4)*2),INDEX(E:E,8+INT((ROW()-8)/4)*2))))</f>
        <v>511.9</v>
      </c>
      <c r="U19" s="14">
        <f>F19-0.6</f>
        <v>-512.5</v>
      </c>
      <c r="V19" s="14">
        <f>G19-IF(LEN(TEXT(T19,"0"))=1,0.5,IF(LEN(TEXT(T19,"0"))=2,0.61,0.81))</f>
        <v>60.19</v>
      </c>
    </row>
    <row r="20" spans="1:22" x14ac:dyDescent="0.25">
      <c r="A20" s="17"/>
      <c r="B20" s="48">
        <f t="array" ref="B20">-INDEX(A:A,ROUNDUP(ROW(A24)/2,0))</f>
        <v>0</v>
      </c>
      <c r="C20" s="48">
        <v>61</v>
      </c>
      <c r="D20" s="56">
        <f t="shared" ref="D20" si="16">IF(A21&lt;&gt;"",A21-A20,"")</f>
      </c>
      <c r="E20" s="17"/>
      <c r="F20" s="48">
        <f t="array" ref="F20">-INDEX(E:E,ROUNDUP(ROW(E24)/2,0))</f>
        <v>-511.9</v>
      </c>
      <c r="G20" s="48">
        <v>65</v>
      </c>
      <c r="H20" s="50">
        <f t="shared" ref="H20:H26" si="17">IF(E21&lt;&gt;"",E21-E20,"")</f>
      </c>
      <c r="I20" s="17" t="str">
        <f>IF(I4&lt;&gt;"",(TEXT(I4,"0.00")&amp;"m"),"")</f>
        <v>32.91m</v>
      </c>
      <c r="J20" s="14">
        <f>-(I4+1.1)</f>
        <v>-34.01</v>
      </c>
      <c r="K20" s="14">
        <f>65-IF(LEN(TEXT(I4,"0"))=1,0.25,IF(LEN(TEXT(I4,"0"))=2,0.35,0.55))</f>
        <v>64.65</v>
      </c>
      <c r="L20" s="17"/>
      <c r="M20" s="17"/>
      <c r="N20" s="17"/>
      <c r="O20" s="17"/>
      <c r="P20" s="17"/>
      <c r="Q20" s="51">
        <f t="array" ref="Q20">IF(MOD(ROW()-8,4)=0,"",IF(MOD(ROW()-8,4)=1,INDEX(A:A,7+INT((ROW()-8)/4)*2)-INDEX(A:A,6+INT((ROW()-8)/4)*2),IF(MOD(ROW()-8,4)=2,INDEX(A:A,7+INT((ROW()-8)/4)*2),INDEX(A:A,8+INT((ROW()-8)/4)*2))))</f>
      </c>
      <c r="R20" s="14">
        <f>B20</f>
        <v>0</v>
      </c>
      <c r="S20" s="14">
        <f>C20</f>
        <v>61</v>
      </c>
      <c r="T20" s="13">
        <f t="array" ref="T20">IF(MOD(ROW()-8,4)=0,"",IF(MOD(ROW()-8,4)=1,INDEX(E:E,7+INT((ROW()-8)/4)*2)-INDEX(E:E,6+INT((ROW()-8)/4)*2),IF(MOD(ROW()-8,4)=2,INDEX(E:E,7+INT((ROW()-8)/4)*2),INDEX(E:E,8+INT((ROW()-8)/4)*2))))</f>
      </c>
      <c r="U20" s="14">
        <f>F20</f>
        <v>-511.9</v>
      </c>
      <c r="V20" s="14">
        <f>G20</f>
        <v>65</v>
      </c>
    </row>
    <row r="21" spans="1:22" x14ac:dyDescent="0.25">
      <c r="A21" s="17"/>
      <c r="B21" s="48">
        <f t="array" ref="B21">-INDEX(A:A,ROUNDUP(ROW(A25)/2,0))</f>
        <v>0</v>
      </c>
      <c r="C21" s="48">
        <v>61</v>
      </c>
      <c r="D21" s="53"/>
      <c r="E21" s="17"/>
      <c r="F21" s="48">
        <f t="array" ref="F21">-INDEX(E:E,ROUNDUP(ROW(E25)/2,0))</f>
        <v>-514.4</v>
      </c>
      <c r="G21" s="48">
        <v>65</v>
      </c>
      <c r="H21" s="50"/>
      <c r="I21" s="61"/>
      <c r="J21" s="50">
        <f>-I4</f>
        <v>-32.91</v>
      </c>
      <c r="K21" s="50">
        <v>57</v>
      </c>
      <c r="L21" s="17"/>
      <c r="M21" s="17"/>
      <c r="N21" s="17"/>
      <c r="O21" s="17"/>
      <c r="P21" s="17"/>
      <c r="Q21" s="51">
        <f t="array" ref="Q21">IF(MOD(ROW()-8,4)=0,"",IF(MOD(ROW()-8,4)=1,INDEX(A:A,7+INT((ROW()-8)/4)*2)-INDEX(A:A,6+INT((ROW()-8)/4)*2),IF(MOD(ROW()-8,4)=2,INDEX(A:A,7+INT((ROW()-8)/4)*2),INDEX(A:A,8+INT((ROW()-8)/4)*2))))</f>
        <v>0</v>
      </c>
      <c r="R21" s="14">
        <f>IF(R22&lt;R20,(R22+R20)/2-0.3,0)</f>
        <v>0</v>
      </c>
      <c r="S21" s="14">
        <f t="shared" ref="S21" si="18">C21-IF(LEN(TEXT(Q21,"0"))=1,2.51,IF(LEN(TEXT(Q21,"0"))=2,2.62,2.82))</f>
        <v>58.49</v>
      </c>
      <c r="T21" s="13">
        <f t="array" ref="T21">IF(MOD(ROW()-8,4)=0,"",IF(MOD(ROW()-8,4)=1,INDEX(E:E,7+INT((ROW()-8)/4)*2)-INDEX(E:E,6+INT((ROW()-8)/4)*2),IF(MOD(ROW()-8,4)=2,INDEX(E:E,7+INT((ROW()-8)/4)*2),INDEX(E:E,8+INT((ROW()-8)/4)*2))))</f>
        <v>2.5</v>
      </c>
      <c r="U21" s="14">
        <f>IF(U22&lt;U20,(U22+U20)/2-0.3,0)</f>
        <v>-513.45</v>
      </c>
      <c r="V21" s="14">
        <f>G21-IF(LEN(TEXT(T21,"0"))=1,2.53,IF(LEN(TEXT(T21,"0"))=2,2.65,2.85))</f>
        <v>62.47</v>
      </c>
    </row>
    <row r="22" spans="1:22" x14ac:dyDescent="0.25">
      <c r="A22" s="17"/>
      <c r="B22" s="48">
        <f t="array" ref="B22">-INDEX(A:A,ROUNDUP(ROW(A26)/2,0))</f>
        <v>0</v>
      </c>
      <c r="C22" s="48">
        <v>57</v>
      </c>
      <c r="D22" s="56">
        <f t="shared" ref="D22" si="19">IF(A23&lt;&gt;"",A23-A22,"")</f>
      </c>
      <c r="E22" s="17"/>
      <c r="F22" s="48">
        <f t="array" ref="F22">-INDEX(E:E,ROUNDUP(ROW(E26)/2,0))</f>
        <v>-514.4</v>
      </c>
      <c r="G22" s="48">
        <v>61</v>
      </c>
      <c r="H22" s="17">
        <f t="shared" si="17"/>
      </c>
      <c r="I22" s="62"/>
      <c r="J22" s="50">
        <f>-I4</f>
        <v>-32.91</v>
      </c>
      <c r="K22" s="50">
        <v>61</v>
      </c>
      <c r="L22" s="17"/>
      <c r="M22" s="17"/>
      <c r="N22" s="17"/>
      <c r="O22" s="17"/>
      <c r="P22" s="17"/>
      <c r="Q22" s="51">
        <f t="array" ref="Q22">IF(MOD(ROW()-8,4)=0,"",IF(MOD(ROW()-8,4)=1,INDEX(A:A,7+INT((ROW()-8)/4)*2)-INDEX(A:A,6+INT((ROW()-8)/4)*2),IF(MOD(ROW()-8,4)=2,INDEX(A:A,7+INT((ROW()-8)/4)*2),INDEX(A:A,8+INT((ROW()-8)/4)*2))))</f>
        <v>0</v>
      </c>
      <c r="R22" s="14">
        <f>B22</f>
        <v>0</v>
      </c>
      <c r="S22" s="14">
        <f t="shared" ref="S22:S23" si="20">C22-IF(LEN(TEXT(Q22,"0"))=1,0.5,IF(LEN(TEXT(Q22,"0"))=2,0.61,0.81))</f>
        <v>56.5</v>
      </c>
      <c r="T22" s="13">
        <f t="array" ref="T22">IF(MOD(ROW()-8,4)=0,"",IF(MOD(ROW()-8,4)=1,INDEX(E:E,7+INT((ROW()-8)/4)*2)-INDEX(E:E,6+INT((ROW()-8)/4)*2),IF(MOD(ROW()-8,4)=2,INDEX(E:E,7+INT((ROW()-8)/4)*2),INDEX(E:E,8+INT((ROW()-8)/4)*2))))</f>
        <v>514.4</v>
      </c>
      <c r="U22" s="14">
        <f>F22</f>
        <v>-514.4</v>
      </c>
      <c r="V22" s="14">
        <f>G22-IF(LEN(TEXT(T22,"0"))=1,0.5,IF(LEN(TEXT(T22,"0"))=2,0.61,0.81))</f>
        <v>60.19</v>
      </c>
    </row>
    <row r="23" spans="1:22" x14ac:dyDescent="0.25">
      <c r="A23" s="17"/>
      <c r="B23" s="48">
        <f t="array" ref="B23">-INDEX(A:A,ROUNDUP(ROW(A27)/2,0))</f>
        <v>0</v>
      </c>
      <c r="C23" s="48">
        <v>57</v>
      </c>
      <c r="D23" s="53"/>
      <c r="E23" s="17"/>
      <c r="F23" s="48">
        <f t="array" ref="F23">-INDEX(E:E,ROUNDUP(ROW(E27)/2,0))</f>
        <v>-563.9</v>
      </c>
      <c r="G23" s="48">
        <v>61</v>
      </c>
      <c r="I23" s="50" t="str">
        <f>IF(I4&lt;&gt;"",(TEXT(I4,"0.00")),"")</f>
        <v>32.91</v>
      </c>
      <c r="J23" s="50">
        <f>-I23-0.6</f>
        <v>-33.51</v>
      </c>
      <c r="K23" s="50">
        <v>56.5</v>
      </c>
      <c r="L23" s="17"/>
      <c r="M23" s="17"/>
      <c r="N23" s="17"/>
      <c r="O23" s="17"/>
      <c r="P23" s="17"/>
      <c r="Q23" s="51">
        <f t="array" ref="Q23">IF(MOD(ROW()-8,4)=0,"",IF(MOD(ROW()-8,4)=1,INDEX(A:A,7+INT((ROW()-8)/4)*2)-INDEX(A:A,6+INT((ROW()-8)/4)*2),IF(MOD(ROW()-8,4)=2,INDEX(A:A,7+INT((ROW()-8)/4)*2),INDEX(A:A,8+INT((ROW()-8)/4)*2))))</f>
        <v>0</v>
      </c>
      <c r="R23" s="14">
        <f>B23-0.6</f>
        <v>-0.6</v>
      </c>
      <c r="S23" s="14">
        <f t="shared" si="20"/>
        <v>56.5</v>
      </c>
      <c r="T23" s="13">
        <f t="array" ref="T23">IF(MOD(ROW()-8,4)=0,"",IF(MOD(ROW()-8,4)=1,INDEX(E:E,7+INT((ROW()-8)/4)*2)-INDEX(E:E,6+INT((ROW()-8)/4)*2),IF(MOD(ROW()-8,4)=2,INDEX(E:E,7+INT((ROW()-8)/4)*2),INDEX(E:E,8+INT((ROW()-8)/4)*2))))</f>
        <v>563.9</v>
      </c>
      <c r="U23" s="14">
        <f>F23-0.6</f>
        <v>-564.5</v>
      </c>
      <c r="V23" s="14">
        <f>G23-IF(LEN(TEXT(T23,"0"))=1,0.5,IF(LEN(TEXT(T23,"0"))=2,0.61,0.81))</f>
        <v>60.19</v>
      </c>
    </row>
    <row r="24" spans="1:22" x14ac:dyDescent="0.25">
      <c r="A24" s="17"/>
      <c r="B24" s="48">
        <f t="array" ref="B24">-INDEX(A:A,ROUNDUP(ROW(A28)/2,0))</f>
        <v>0</v>
      </c>
      <c r="C24" s="48">
        <v>61</v>
      </c>
      <c r="D24" s="56">
        <f t="shared" ref="D24" si="21">IF(A25&lt;&gt;"",A25-A24,"")</f>
      </c>
      <c r="E24" s="17"/>
      <c r="F24" s="48">
        <f t="array" ref="F24">-INDEX(E:E,ROUNDUP(ROW(E28)/2,0))</f>
        <v>-563.9</v>
      </c>
      <c r="G24" s="48">
        <v>65</v>
      </c>
      <c r="H24" s="17">
        <f t="shared" si="17"/>
      </c>
      <c r="I24" s="63">
        <f>A5-I4</f>
        <v>-32.91</v>
      </c>
      <c r="J24" s="50">
        <f>-(A5+I4)/2-0.3</f>
        <v>-16.755</v>
      </c>
      <c r="K24" s="50">
        <f>57-IF(LEN(TEXT(I24,"0"))=1,0.5,IF(LEN(TEXT(I24,"0"))=2,0.61,0.81))</f>
        <v>56.19</v>
      </c>
      <c r="L24" s="17"/>
      <c r="M24" s="17"/>
      <c r="N24" s="17"/>
      <c r="O24" s="17"/>
      <c r="P24" s="17"/>
      <c r="Q24" s="51">
        <f t="array" ref="Q24">IF(MOD(ROW()-8,4)=0,"",IF(MOD(ROW()-8,4)=1,INDEX(A:A,7+INT((ROW()-8)/4)*2)-INDEX(A:A,6+INT((ROW()-8)/4)*2),IF(MOD(ROW()-8,4)=2,INDEX(A:A,7+INT((ROW()-8)/4)*2),INDEX(A:A,8+INT((ROW()-8)/4)*2))))</f>
      </c>
      <c r="R24" s="14">
        <f>B24</f>
        <v>0</v>
      </c>
      <c r="S24" s="14">
        <f>C24</f>
        <v>61</v>
      </c>
      <c r="T24" s="13">
        <f t="array" ref="T24">IF(MOD(ROW()-8,4)=0,"",IF(MOD(ROW()-8,4)=1,INDEX(E:E,7+INT((ROW()-8)/4)*2)-INDEX(E:E,6+INT((ROW()-8)/4)*2),IF(MOD(ROW()-8,4)=2,INDEX(E:E,7+INT((ROW()-8)/4)*2),INDEX(E:E,8+INT((ROW()-8)/4)*2))))</f>
      </c>
      <c r="U24" s="14">
        <f>F24</f>
        <v>-563.9</v>
      </c>
      <c r="V24" s="14">
        <f>G24</f>
        <v>65</v>
      </c>
    </row>
    <row r="25" spans="1:22" x14ac:dyDescent="0.25">
      <c r="A25" s="17"/>
      <c r="B25" s="48">
        <f t="array" ref="B25">-INDEX(A:A,ROUNDUP(ROW(A29)/2,0))</f>
        <v>0</v>
      </c>
      <c r="C25" s="48">
        <v>61</v>
      </c>
      <c r="D25" s="53"/>
      <c r="E25" s="17"/>
      <c r="F25" s="48">
        <f t="array" ref="F25">-INDEX(E:E,ROUNDUP(ROW(E29)/2,0))</f>
        <v>-568.4</v>
      </c>
      <c r="G25" s="48">
        <v>65</v>
      </c>
      <c r="L25" s="17"/>
      <c r="M25" s="17"/>
      <c r="N25" s="17"/>
      <c r="O25" s="17"/>
      <c r="P25" s="17"/>
      <c r="Q25" s="51">
        <f t="array" ref="Q25">IF(MOD(ROW()-8,4)=0,"",IF(MOD(ROW()-8,4)=1,INDEX(A:A,7+INT((ROW()-8)/4)*2)-INDEX(A:A,6+INT((ROW()-8)/4)*2),IF(MOD(ROW()-8,4)=2,INDEX(A:A,7+INT((ROW()-8)/4)*2),INDEX(A:A,8+INT((ROW()-8)/4)*2))))</f>
        <v>0</v>
      </c>
      <c r="R25" s="14">
        <f>IF(R26&lt;R24,(R26+R24)/2-0.3,0)</f>
        <v>0</v>
      </c>
      <c r="S25" s="14">
        <f t="shared" ref="S25" si="22">C25-IF(LEN(TEXT(Q25,"0"))=1,2.51,IF(LEN(TEXT(Q25,"0"))=2,2.62,2.82))</f>
        <v>58.49</v>
      </c>
      <c r="T25" s="13">
        <f t="array" ref="T25">IF(MOD(ROW()-8,4)=0,"",IF(MOD(ROW()-8,4)=1,INDEX(E:E,7+INT((ROW()-8)/4)*2)-INDEX(E:E,6+INT((ROW()-8)/4)*2),IF(MOD(ROW()-8,4)=2,INDEX(E:E,7+INT((ROW()-8)/4)*2),INDEX(E:E,8+INT((ROW()-8)/4)*2))))</f>
        <v>4.5</v>
      </c>
      <c r="U25" s="14">
        <f>IF(U26&lt;U24,(U26+U24)/2-0.3,0)</f>
        <v>-566.45</v>
      </c>
      <c r="V25" s="14">
        <f>G25-IF(LEN(TEXT(T25,"0"))=1,2.53,IF(LEN(TEXT(T25,"0"))=2,2.65,2.85))</f>
        <v>62.47</v>
      </c>
    </row>
    <row r="26" spans="1:22" x14ac:dyDescent="0.25">
      <c r="A26" s="17"/>
      <c r="B26" s="48">
        <f t="array" ref="B26">-INDEX(A:A,ROUNDUP(ROW(A30)/2,0))</f>
        <v>0</v>
      </c>
      <c r="C26" s="48">
        <v>57</v>
      </c>
      <c r="D26" s="56">
        <f t="shared" ref="D26" si="23">IF(A27&lt;&gt;"",A27-A26,"")</f>
      </c>
      <c r="E26" s="17"/>
      <c r="F26" s="48">
        <f t="array" ref="F26">-INDEX(E:E,ROUNDUP(ROW(E30)/2,0))</f>
        <v>-568.4</v>
      </c>
      <c r="G26" s="48">
        <v>61</v>
      </c>
      <c r="H26" s="17">
        <f t="shared" si="17"/>
      </c>
      <c r="L26" s="17"/>
      <c r="M26" s="17"/>
      <c r="N26" s="17"/>
      <c r="O26" s="17"/>
      <c r="P26" s="17"/>
      <c r="Q26" s="51">
        <f t="array" ref="Q26">IF(MOD(ROW()-8,4)=0,"",IF(MOD(ROW()-8,4)=1,INDEX(A:A,7+INT((ROW()-8)/4)*2)-INDEX(A:A,6+INT((ROW()-8)/4)*2),IF(MOD(ROW()-8,4)=2,INDEX(A:A,7+INT((ROW()-8)/4)*2),INDEX(A:A,8+INT((ROW()-8)/4)*2))))</f>
        <v>0</v>
      </c>
      <c r="R26" s="14">
        <f>B26</f>
        <v>0</v>
      </c>
      <c r="S26" s="14">
        <f t="shared" ref="S26:S27" si="24">C26-IF(LEN(TEXT(Q26,"0"))=1,0.5,IF(LEN(TEXT(Q26,"0"))=2,0.61,0.81))</f>
        <v>56.5</v>
      </c>
      <c r="T26" s="13">
        <f t="array" ref="T26">IF(MOD(ROW()-8,4)=0,"",IF(MOD(ROW()-8,4)=1,INDEX(E:E,7+INT((ROW()-8)/4)*2)-INDEX(E:E,6+INT((ROW()-8)/4)*2),IF(MOD(ROW()-8,4)=2,INDEX(E:E,7+INT((ROW()-8)/4)*2),INDEX(E:E,8+INT((ROW()-8)/4)*2))))</f>
        <v>568.4</v>
      </c>
      <c r="U26" s="14">
        <f>F26</f>
        <v>-568.4</v>
      </c>
      <c r="V26" s="14">
        <f>G26-IF(LEN(TEXT(T26,"0"))=1,0.5,IF(LEN(TEXT(T26,"0"))=2,0.61,0.81))</f>
        <v>60.19</v>
      </c>
    </row>
    <row r="27" spans="1:22" x14ac:dyDescent="0.25">
      <c r="A27" s="17"/>
      <c r="B27" s="48">
        <f t="array" ref="B27">-INDEX(A:A,ROUNDUP(ROW(A31)/2,0))</f>
        <v>0</v>
      </c>
      <c r="C27" s="48">
        <v>57</v>
      </c>
      <c r="D27" s="53"/>
      <c r="E27" s="17"/>
      <c r="F27" s="48">
        <f t="array" ref="F27">-INDEX(E:E,ROUNDUP(ROW(E31)/2,0))</f>
        <v>-648.7</v>
      </c>
      <c r="G27" s="48">
        <v>61</v>
      </c>
      <c r="L27" s="17"/>
      <c r="M27" s="17"/>
      <c r="N27" s="17"/>
      <c r="O27" s="17"/>
      <c r="P27" s="17"/>
      <c r="Q27" s="51">
        <f t="array" ref="Q27">IF(MOD(ROW()-8,4)=0,"",IF(MOD(ROW()-8,4)=1,INDEX(A:A,7+INT((ROW()-8)/4)*2)-INDEX(A:A,6+INT((ROW()-8)/4)*2),IF(MOD(ROW()-8,4)=2,INDEX(A:A,7+INT((ROW()-8)/4)*2),INDEX(A:A,8+INT((ROW()-8)/4)*2))))</f>
        <v>0</v>
      </c>
      <c r="R27" s="14">
        <f>B27-0.6</f>
        <v>-0.6</v>
      </c>
      <c r="S27" s="14">
        <f t="shared" si="24"/>
        <v>56.5</v>
      </c>
      <c r="T27" s="13">
        <f t="array" ref="T27">IF(MOD(ROW()-8,4)=0,"",IF(MOD(ROW()-8,4)=1,INDEX(E:E,7+INT((ROW()-8)/4)*2)-INDEX(E:E,6+INT((ROW()-8)/4)*2),IF(MOD(ROW()-8,4)=2,INDEX(E:E,7+INT((ROW()-8)/4)*2),INDEX(E:E,8+INT((ROW()-8)/4)*2))))</f>
        <v>648.7</v>
      </c>
      <c r="U27" s="14">
        <f>F27-0.6</f>
        <v>-649.3</v>
      </c>
      <c r="V27" s="14">
        <f>G27-IF(LEN(TEXT(T27,"0"))=1,0.5,IF(LEN(TEXT(T27,"0"))=2,0.61,0.81))</f>
        <v>60.19</v>
      </c>
    </row>
    <row r="28" spans="1:22" x14ac:dyDescent="0.25">
      <c r="A28" s="17"/>
      <c r="B28" s="48">
        <f t="array" ref="B28">-INDEX(A:A,ROUNDUP(ROW(A32)/2,0))</f>
        <v>0</v>
      </c>
      <c r="C28" s="48">
        <v>61</v>
      </c>
      <c r="D28" s="56">
        <f>IF(A29&lt;&gt;"",A29-A28,"")</f>
      </c>
      <c r="E28" s="17"/>
      <c r="F28" s="48">
        <f t="array" ref="F28">-INDEX(E:E,ROUNDUP(ROW(E32)/2,0))</f>
        <v>-648.7</v>
      </c>
      <c r="G28" s="48">
        <v>65</v>
      </c>
      <c r="L28" s="17"/>
      <c r="M28" s="17"/>
      <c r="N28" s="17"/>
      <c r="O28" s="17"/>
      <c r="P28" s="17"/>
      <c r="Q28" s="51">
        <f t="array" ref="Q28">IF(MOD(ROW()-8,4)=0,"",IF(MOD(ROW()-8,4)=1,INDEX(A:A,7+INT((ROW()-8)/4)*2)-INDEX(A:A,6+INT((ROW()-8)/4)*2),IF(MOD(ROW()-8,4)=2,INDEX(A:A,7+INT((ROW()-8)/4)*2),INDEX(A:A,8+INT((ROW()-8)/4)*2))))</f>
      </c>
      <c r="R28" s="14">
        <f>B28</f>
        <v>0</v>
      </c>
      <c r="S28" s="14">
        <f>C28</f>
        <v>61</v>
      </c>
      <c r="T28" s="13">
        <f t="array" ref="T28">IF(MOD(ROW()-8,4)=0,"",IF(MOD(ROW()-8,4)=1,INDEX(E:E,7+INT((ROW()-8)/4)*2)-INDEX(E:E,6+INT((ROW()-8)/4)*2),IF(MOD(ROW()-8,4)=2,INDEX(E:E,7+INT((ROW()-8)/4)*2),INDEX(E:E,8+INT((ROW()-8)/4)*2))))</f>
      </c>
      <c r="U28" s="14">
        <f>F28</f>
        <v>-648.7</v>
      </c>
      <c r="V28" s="14">
        <f>G28</f>
        <v>65</v>
      </c>
    </row>
    <row r="29" spans="1:22" x14ac:dyDescent="0.25">
      <c r="A29" s="17"/>
      <c r="B29" s="48">
        <f t="array" ref="B29">-INDEX(A:A,ROUNDUP(ROW(A33)/2,0))</f>
        <v>0</v>
      </c>
      <c r="C29" s="48">
        <v>61</v>
      </c>
      <c r="D29" s="53"/>
      <c r="E29" s="17"/>
      <c r="F29" s="48">
        <f t="array" ref="F29">-INDEX(E:E,ROUNDUP(ROW(E33)/2,0))</f>
        <v>-649.9</v>
      </c>
      <c r="G29" s="48">
        <v>65</v>
      </c>
      <c r="L29" s="17"/>
      <c r="M29" s="17"/>
      <c r="N29" s="17"/>
      <c r="O29" s="17"/>
      <c r="P29" s="17"/>
      <c r="Q29" s="51">
        <f t="array" ref="Q29">IF(MOD(ROW()-8,4)=0,"",IF(MOD(ROW()-8,4)=1,INDEX(A:A,7+INT((ROW()-8)/4)*2)-INDEX(A:A,6+INT((ROW()-8)/4)*2),IF(MOD(ROW()-8,4)=2,INDEX(A:A,7+INT((ROW()-8)/4)*2),INDEX(A:A,8+INT((ROW()-8)/4)*2))))</f>
        <v>0</v>
      </c>
      <c r="R29" s="14">
        <f>IF(R30&lt;R28,(R30+R28)/2-0.3,0)</f>
        <v>0</v>
      </c>
      <c r="S29" s="14">
        <f t="shared" ref="S29" si="25">C29-IF(LEN(TEXT(Q29,"0"))=1,2.51,IF(LEN(TEXT(Q29,"0"))=2,2.62,2.82))</f>
        <v>58.49</v>
      </c>
      <c r="T29" s="13">
        <f t="array" ref="T29">IF(MOD(ROW()-8,4)=0,"",IF(MOD(ROW()-8,4)=1,INDEX(E:E,7+INT((ROW()-8)/4)*2)-INDEX(E:E,6+INT((ROW()-8)/4)*2),IF(MOD(ROW()-8,4)=2,INDEX(E:E,7+INT((ROW()-8)/4)*2),INDEX(E:E,8+INT((ROW()-8)/4)*2))))</f>
        <v>1.19999999999993</v>
      </c>
      <c r="U29" s="14">
        <f>IF(U30&lt;U28,(U30+U28)/2-0.3,0)</f>
        <v>-649.6</v>
      </c>
      <c r="V29" s="14">
        <f>G29-IF(LEN(TEXT(T29,"0"))=1,2.53,IF(LEN(TEXT(T29,"0"))=2,2.65,2.85))</f>
        <v>62.47</v>
      </c>
    </row>
    <row r="30" spans="1:22" x14ac:dyDescent="0.25">
      <c r="A30" s="17"/>
      <c r="B30" s="48">
        <f t="array" ref="B30">-INDEX(A:A,ROUNDUP(ROW(A34)/2,0))</f>
        <v>0</v>
      </c>
      <c r="C30" s="48">
        <v>57</v>
      </c>
      <c r="D30" s="56">
        <f>IF(A31&lt;&gt;"",A31-A30,"")</f>
      </c>
      <c r="E30" s="17"/>
      <c r="F30" s="48">
        <f t="array" ref="F30">-INDEX(E:E,ROUNDUP(ROW(E34)/2,0))</f>
        <v>-649.9</v>
      </c>
      <c r="G30" s="48">
        <v>61</v>
      </c>
      <c r="L30" s="17"/>
      <c r="M30" s="17"/>
      <c r="N30" s="17"/>
      <c r="O30" s="17"/>
      <c r="P30" s="17"/>
      <c r="Q30" s="51">
        <f t="array" ref="Q30">IF(MOD(ROW()-8,4)=0,"",IF(MOD(ROW()-8,4)=1,INDEX(A:A,7+INT((ROW()-8)/4)*2)-INDEX(A:A,6+INT((ROW()-8)/4)*2),IF(MOD(ROW()-8,4)=2,INDEX(A:A,7+INT((ROW()-8)/4)*2),INDEX(A:A,8+INT((ROW()-8)/4)*2))))</f>
        <v>0</v>
      </c>
      <c r="R30" s="14">
        <f>B30</f>
        <v>0</v>
      </c>
      <c r="S30" s="14">
        <f t="shared" ref="S30:S31" si="26">C30-IF(LEN(TEXT(Q30,"0"))=1,0.5,IF(LEN(TEXT(Q30,"0"))=2,0.61,0.81))</f>
        <v>56.5</v>
      </c>
      <c r="T30" s="13">
        <f t="array" ref="T30">IF(MOD(ROW()-8,4)=0,"",IF(MOD(ROW()-8,4)=1,INDEX(E:E,7+INT((ROW()-8)/4)*2)-INDEX(E:E,6+INT((ROW()-8)/4)*2),IF(MOD(ROW()-8,4)=2,INDEX(E:E,7+INT((ROW()-8)/4)*2),INDEX(E:E,8+INT((ROW()-8)/4)*2))))</f>
        <v>649.9</v>
      </c>
      <c r="U30" s="14">
        <f>F30</f>
        <v>-649.9</v>
      </c>
      <c r="V30" s="14">
        <f>G30-IF(LEN(TEXT(T30,"0"))=1,0.5,IF(LEN(TEXT(T30,"0"))=2,0.61,0.81))</f>
        <v>60.19</v>
      </c>
    </row>
    <row r="31" spans="1:22" x14ac:dyDescent="0.25">
      <c r="A31" s="17"/>
      <c r="B31" s="48">
        <f t="array" ref="B31">-INDEX(A:A,ROUNDUP(ROW(A35)/2,0))</f>
        <v>0</v>
      </c>
      <c r="C31" s="48">
        <v>57</v>
      </c>
      <c r="D31" s="53"/>
      <c r="E31" s="17"/>
      <c r="F31" s="48">
        <f t="array" ref="F31">-INDEX(E:E,ROUNDUP(ROW(E35)/2,0))</f>
        <v>-653.4</v>
      </c>
      <c r="G31" s="48">
        <v>61</v>
      </c>
      <c r="L31" s="17"/>
      <c r="M31" s="17"/>
      <c r="N31" s="17"/>
      <c r="O31" s="17"/>
      <c r="P31" s="17"/>
      <c r="Q31" s="51">
        <f t="array" ref="Q31">IF(MOD(ROW()-8,4)=0,"",IF(MOD(ROW()-8,4)=1,INDEX(A:A,7+INT((ROW()-8)/4)*2)-INDEX(A:A,6+INT((ROW()-8)/4)*2),IF(MOD(ROW()-8,4)=2,INDEX(A:A,7+INT((ROW()-8)/4)*2),INDEX(A:A,8+INT((ROW()-8)/4)*2))))</f>
        <v>0</v>
      </c>
      <c r="R31" s="14">
        <f>B31-0.6</f>
        <v>-0.6</v>
      </c>
      <c r="S31" s="14">
        <f t="shared" si="26"/>
        <v>56.5</v>
      </c>
      <c r="T31" s="13">
        <f t="array" ref="T31">IF(MOD(ROW()-8,4)=0,"",IF(MOD(ROW()-8,4)=1,INDEX(E:E,7+INT((ROW()-8)/4)*2)-INDEX(E:E,6+INT((ROW()-8)/4)*2),IF(MOD(ROW()-8,4)=2,INDEX(E:E,7+INT((ROW()-8)/4)*2),INDEX(E:E,8+INT((ROW()-8)/4)*2))))</f>
        <v>653.4</v>
      </c>
      <c r="U31" s="14">
        <f>F31-0.6</f>
        <v>-654</v>
      </c>
      <c r="V31" s="14">
        <f>G31-IF(LEN(TEXT(T31,"0"))=1,0.5,IF(LEN(TEXT(T31,"0"))=2,0.61,0.81))</f>
        <v>60.19</v>
      </c>
    </row>
    <row r="32" spans="1:22" x14ac:dyDescent="0.25">
      <c r="A32" s="17"/>
      <c r="B32" s="48">
        <f t="array" ref="B32">-INDEX(A:A,ROUNDUP(ROW(A36)/2,0))</f>
        <v>0</v>
      </c>
      <c r="C32" s="48">
        <v>61</v>
      </c>
      <c r="D32" s="56">
        <f>IF(A33&lt;&gt;"",A33-A32,"")</f>
      </c>
      <c r="E32" s="17"/>
      <c r="F32" s="48">
        <f t="array" ref="F32">-INDEX(E:E,ROUNDUP(ROW(E36)/2,0))</f>
        <v>-653.4</v>
      </c>
      <c r="G32" s="48">
        <v>65</v>
      </c>
      <c r="L32" s="17"/>
      <c r="M32" s="17"/>
      <c r="N32" s="17"/>
      <c r="O32" s="17"/>
      <c r="P32" s="17"/>
      <c r="Q32" s="51">
        <f t="array" ref="Q32">IF(MOD(ROW()-8,4)=0,"",IF(MOD(ROW()-8,4)=1,INDEX(A:A,7+INT((ROW()-8)/4)*2)-INDEX(A:A,6+INT((ROW()-8)/4)*2),IF(MOD(ROW()-8,4)=2,INDEX(A:A,7+INT((ROW()-8)/4)*2),INDEX(A:A,8+INT((ROW()-8)/4)*2))))</f>
      </c>
      <c r="R32" s="14">
        <f>B32</f>
        <v>0</v>
      </c>
      <c r="S32" s="14">
        <f>C32</f>
        <v>61</v>
      </c>
      <c r="T32" s="13">
        <f t="array" ref="T32">IF(MOD(ROW()-8,4)=0,"",IF(MOD(ROW()-8,4)=1,INDEX(E:E,7+INT((ROW()-8)/4)*2)-INDEX(E:E,6+INT((ROW()-8)/4)*2),IF(MOD(ROW()-8,4)=2,INDEX(E:E,7+INT((ROW()-8)/4)*2),INDEX(E:E,8+INT((ROW()-8)/4)*2))))</f>
      </c>
      <c r="U32" s="14">
        <f>F32</f>
        <v>-653.4</v>
      </c>
      <c r="V32" s="14">
        <f>G32</f>
        <v>65</v>
      </c>
    </row>
    <row r="33" spans="1:22" x14ac:dyDescent="0.25">
      <c r="A33" s="17"/>
      <c r="B33" s="48">
        <f t="array" ref="B33">-INDEX(A:A,ROUNDUP(ROW(A37)/2,0))</f>
        <v>0</v>
      </c>
      <c r="C33" s="48">
        <v>61</v>
      </c>
      <c r="D33" s="53"/>
      <c r="E33" s="17"/>
      <c r="F33" s="48">
        <f t="array" ref="F33">-INDEX(E:E,ROUNDUP(ROW(E37)/2,0))</f>
        <v>-654.2</v>
      </c>
      <c r="G33" s="48">
        <v>65</v>
      </c>
      <c r="L33" s="17"/>
      <c r="M33" s="17"/>
      <c r="N33" s="17"/>
      <c r="O33" s="17"/>
      <c r="P33" s="17"/>
      <c r="Q33" s="51">
        <f t="array" ref="Q33">IF(MOD(ROW()-8,4)=0,"",IF(MOD(ROW()-8,4)=1,INDEX(A:A,7+INT((ROW()-8)/4)*2)-INDEX(A:A,6+INT((ROW()-8)/4)*2),IF(MOD(ROW()-8,4)=2,INDEX(A:A,7+INT((ROW()-8)/4)*2),INDEX(A:A,8+INT((ROW()-8)/4)*2))))</f>
        <v>0</v>
      </c>
      <c r="R33" s="14">
        <f>IF(R34&lt;R32,(R34+R32)/2-0.3,0)</f>
        <v>0</v>
      </c>
      <c r="S33" s="14">
        <f t="shared" ref="S33" si="27">C33-IF(LEN(TEXT(Q33,"0"))=1,2.51,IF(LEN(TEXT(Q33,"0"))=2,2.62,2.82))</f>
        <v>58.49</v>
      </c>
      <c r="T33" s="13">
        <f t="array" ref="T33">IF(MOD(ROW()-8,4)=0,"",IF(MOD(ROW()-8,4)=1,INDEX(E:E,7+INT((ROW()-8)/4)*2)-INDEX(E:E,6+INT((ROW()-8)/4)*2),IF(MOD(ROW()-8,4)=2,INDEX(E:E,7+INT((ROW()-8)/4)*2),INDEX(E:E,8+INT((ROW()-8)/4)*2))))</f>
        <v>0.800000000000068</v>
      </c>
      <c r="U33" s="14">
        <f>IF(U34&lt;U32,(U34+U32)/2-0.3,0)</f>
        <v>-654.1</v>
      </c>
      <c r="V33" s="14">
        <f>G33</f>
        <v>65</v>
      </c>
    </row>
    <row r="34" spans="1:22" x14ac:dyDescent="0.25">
      <c r="A34" s="17"/>
      <c r="B34" s="48">
        <f t="array" ref="B34">-INDEX(A:A,ROUNDUP(ROW(A38)/2,0))</f>
        <v>0</v>
      </c>
      <c r="C34" s="48">
        <v>57</v>
      </c>
      <c r="D34" s="56">
        <f>IF(A35&lt;&gt;"",A35-A34,"")</f>
      </c>
      <c r="E34" s="17"/>
      <c r="F34" s="48">
        <f t="array" ref="F34">-INDEX(E:E,ROUNDUP(ROW(E38)/2,0))</f>
        <v>-654.2</v>
      </c>
      <c r="G34" s="48">
        <v>61</v>
      </c>
      <c r="L34" s="17"/>
      <c r="M34" s="17"/>
      <c r="N34" s="17"/>
      <c r="O34" s="17"/>
      <c r="P34" s="17"/>
      <c r="Q34" s="51">
        <f t="array" ref="Q34">IF(MOD(ROW()-8,4)=0,"",IF(MOD(ROW()-8,4)=1,INDEX(A:A,7+INT((ROW()-8)/4)*2)-INDEX(A:A,6+INT((ROW()-8)/4)*2),IF(MOD(ROW()-8,4)=2,INDEX(A:A,7+INT((ROW()-8)/4)*2),INDEX(A:A,8+INT((ROW()-8)/4)*2))))</f>
        <v>0</v>
      </c>
      <c r="R34" s="14">
        <f>B34</f>
        <v>0</v>
      </c>
      <c r="S34" s="14">
        <f t="shared" ref="S34:S35" si="28">C34-IF(LEN(TEXT(Q34,"0"))=1,0.5,IF(LEN(TEXT(Q34,"0"))=2,0.61,0.81))</f>
        <v>56.5</v>
      </c>
      <c r="T34" s="13">
        <f t="array" ref="T34">IF(MOD(ROW()-8,4)=0,"",IF(MOD(ROW()-8,4)=1,INDEX(E:E,7+INT((ROW()-8)/4)*2)-INDEX(E:E,6+INT((ROW()-8)/4)*2),IF(MOD(ROW()-8,4)=2,INDEX(E:E,7+INT((ROW()-8)/4)*2),INDEX(E:E,8+INT((ROW()-8)/4)*2))))</f>
        <v>654.2</v>
      </c>
      <c r="U34" s="14">
        <f>F34</f>
        <v>-654.2</v>
      </c>
      <c r="V34" s="14">
        <f>G34-IF(LEN(TEXT(T34,"0"))=1,2.53,IF(LEN(TEXT(T34,"0"))=2,2.65,2.85))</f>
        <v>58.15</v>
      </c>
    </row>
    <row r="35" spans="1:22" x14ac:dyDescent="0.25">
      <c r="A35" s="17"/>
      <c r="B35" s="48">
        <f t="array" ref="B35">-INDEX(A:A,ROUNDUP(ROW(A39)/2,0))</f>
        <v>0</v>
      </c>
      <c r="C35" s="48">
        <v>57</v>
      </c>
      <c r="D35" s="53"/>
      <c r="E35" s="17"/>
      <c r="F35" s="48">
        <f t="array" ref="F35">-INDEX(E:E,ROUNDUP(ROW(E39)/2,0))</f>
        <v>0</v>
      </c>
      <c r="G35" s="48">
        <v>61</v>
      </c>
      <c r="L35" s="17"/>
      <c r="M35" s="17"/>
      <c r="N35" s="17"/>
      <c r="O35" s="17"/>
      <c r="P35" s="17"/>
      <c r="Q35" s="51">
        <f t="array" ref="Q35">IF(MOD(ROW()-8,4)=0,"",IF(MOD(ROW()-8,4)=1,INDEX(A:A,7+INT((ROW()-8)/4)*2)-INDEX(A:A,6+INT((ROW()-8)/4)*2),IF(MOD(ROW()-8,4)=2,INDEX(A:A,7+INT((ROW()-8)/4)*2),INDEX(A:A,8+INT((ROW()-8)/4)*2))))</f>
        <v>0</v>
      </c>
      <c r="R35" s="14">
        <f>B35-0.6</f>
        <v>-0.6</v>
      </c>
      <c r="S35" s="14">
        <f t="shared" si="28"/>
        <v>56.5</v>
      </c>
      <c r="T35" s="13">
        <f t="array" ref="T35">IF(MOD(ROW()-8,4)=0,"",IF(MOD(ROW()-8,4)=1,INDEX(E:E,7+INT((ROW()-8)/4)*2)-INDEX(E:E,6+INT((ROW()-8)/4)*2),IF(MOD(ROW()-8,4)=2,INDEX(E:E,7+INT((ROW()-8)/4)*2),INDEX(E:E,8+INT((ROW()-8)/4)*2))))</f>
        <v>0</v>
      </c>
      <c r="U35" s="14">
        <f>F35-0.6</f>
        <v>-0.6</v>
      </c>
      <c r="V35" s="14">
        <f>G35-IF(LEN(TEXT(T35,"0"))=1,0.5,IF(LEN(TEXT(T35,"0"))=2,0.61,0.81))</f>
        <v>60.5</v>
      </c>
    </row>
    <row r="36" spans="1:22" x14ac:dyDescent="0.25">
      <c r="A36" s="17"/>
      <c r="B36" s="48">
        <f t="array" ref="B36">-INDEX(A:A,ROUNDUP(ROW(A40)/2,0))</f>
        <v>0</v>
      </c>
      <c r="C36" s="48">
        <v>61</v>
      </c>
      <c r="D36" s="56">
        <f>IF(A37&lt;&gt;"",A37-A36,"")</f>
      </c>
      <c r="E36" s="17"/>
      <c r="F36" s="48">
        <f t="array" ref="F36">-INDEX(E:E,ROUNDUP(ROW(E40)/2,0))</f>
        <v>0</v>
      </c>
      <c r="G36" s="48">
        <v>65</v>
      </c>
      <c r="L36" s="17"/>
      <c r="M36" s="17"/>
      <c r="N36" s="17"/>
      <c r="O36" s="17"/>
      <c r="P36" s="17"/>
      <c r="Q36" s="51">
        <f t="array" ref="Q36">IF(MOD(ROW()-8,4)=0,"",IF(MOD(ROW()-8,4)=1,INDEX(A:A,7+INT((ROW()-8)/4)*2)-INDEX(A:A,6+INT((ROW()-8)/4)*2),IF(MOD(ROW()-8,4)=2,INDEX(A:A,7+INT((ROW()-8)/4)*2),INDEX(A:A,8+INT((ROW()-8)/4)*2))))</f>
      </c>
      <c r="R36" s="14">
        <f>B36</f>
        <v>0</v>
      </c>
      <c r="S36" s="14">
        <f>C36</f>
        <v>61</v>
      </c>
      <c r="T36" s="13">
        <f t="array" ref="T36">IF(MOD(ROW()-8,4)=0,"",IF(MOD(ROW()-8,4)=1,INDEX(E:E,7+INT((ROW()-8)/4)*2)-INDEX(E:E,6+INT((ROW()-8)/4)*2),IF(MOD(ROW()-8,4)=2,INDEX(E:E,7+INT((ROW()-8)/4)*2),INDEX(E:E,8+INT((ROW()-8)/4)*2))))</f>
      </c>
      <c r="U36" s="14">
        <f>F36</f>
        <v>0</v>
      </c>
      <c r="V36" s="14">
        <f>G36-IF(LEN(TEXT(T36,"0"))=1,0.5,IF(LEN(TEXT(T36,"0"))=2,0.61,0.81))</f>
        <v>64.19</v>
      </c>
    </row>
    <row r="37" spans="1:22" x14ac:dyDescent="0.25">
      <c r="A37" s="17"/>
      <c r="B37" s="48">
        <f t="array" ref="B37">-INDEX(A:A,ROUNDUP(ROW(A41)/2,0))</f>
        <v>0</v>
      </c>
      <c r="C37" s="48">
        <v>61</v>
      </c>
      <c r="D37" s="53"/>
      <c r="E37" s="17"/>
      <c r="F37" s="48">
        <f t="array" ref="F37">-INDEX(E:E,ROUNDUP(ROW(E41)/2,0))</f>
        <v>0</v>
      </c>
      <c r="G37" s="48">
        <v>65</v>
      </c>
      <c r="L37" s="17"/>
      <c r="M37" s="17"/>
      <c r="N37" s="17"/>
      <c r="O37" s="17"/>
      <c r="P37" s="17"/>
      <c r="Q37" s="51">
        <f t="array" ref="Q37">IF(MOD(ROW()-8,4)=0,"",IF(MOD(ROW()-8,4)=1,INDEX(A:A,7+INT((ROW()-8)/4)*2)-INDEX(A:A,6+INT((ROW()-8)/4)*2),IF(MOD(ROW()-8,4)=2,INDEX(A:A,7+INT((ROW()-8)/4)*2),INDEX(A:A,8+INT((ROW()-8)/4)*2))))</f>
        <v>0</v>
      </c>
      <c r="R37" s="14">
        <f>IF(R38&lt;R36,(R38+R36)/2-0.3,0)</f>
        <v>0</v>
      </c>
      <c r="S37" s="14">
        <f>C37-IF(LEN(TEXT(Q37,"0"))=1,2.51,IF(LEN(TEXT(Q37,"0"))=2,2.62,2.82))</f>
        <v>58.49</v>
      </c>
      <c r="T37" s="13">
        <f t="array" ref="T37">IF(MOD(ROW()-8,4)=0,"",IF(MOD(ROW()-8,4)=1,INDEX(E:E,7+INT((ROW()-8)/4)*2)-INDEX(E:E,6+INT((ROW()-8)/4)*2),IF(MOD(ROW()-8,4)=2,INDEX(E:E,7+INT((ROW()-8)/4)*2),INDEX(E:E,8+INT((ROW()-8)/4)*2))))</f>
        <v>0</v>
      </c>
      <c r="U37" s="14">
        <f>IF(U38&lt;U36,(U38+U36)/2-0.3,0)</f>
        <v>0</v>
      </c>
      <c r="V37" s="14">
        <f>G37</f>
        <v>65</v>
      </c>
    </row>
    <row r="38" spans="1:22" x14ac:dyDescent="0.25">
      <c r="A38" s="17"/>
      <c r="B38" s="48">
        <f t="array" ref="B38">-INDEX(A:A,ROUNDUP(ROW(A42)/2,0))</f>
        <v>0</v>
      </c>
      <c r="C38" s="48">
        <v>57</v>
      </c>
      <c r="D38" s="56">
        <f>IF(A39&lt;&gt;"",A39-A38,"")</f>
      </c>
      <c r="E38" s="17"/>
      <c r="F38" s="48">
        <f t="array" ref="F38">-INDEX(E:E,ROUNDUP(ROW(E42)/2,0))</f>
        <v>0</v>
      </c>
      <c r="G38" s="48">
        <v>61</v>
      </c>
      <c r="L38" s="17"/>
      <c r="M38" s="17"/>
      <c r="N38" s="17"/>
      <c r="O38" s="17"/>
      <c r="P38" s="17"/>
      <c r="Q38" s="51">
        <f t="array" ref="Q38">IF(MOD(ROW()-8,4)=0,"",IF(MOD(ROW()-8,4)=1,INDEX(A:A,7+INT((ROW()-8)/4)*2)-INDEX(A:A,6+INT((ROW()-8)/4)*2),IF(MOD(ROW()-8,4)=2,INDEX(A:A,7+INT((ROW()-8)/4)*2),INDEX(A:A,8+INT((ROW()-8)/4)*2))))</f>
        <v>0</v>
      </c>
      <c r="R38" s="14">
        <f>B38</f>
        <v>0</v>
      </c>
      <c r="S38" s="14">
        <f>C38-IF(LEN(TEXT(Q38,"0"))=1,0.5,IF(LEN(TEXT(Q38,"0"))=2,0.61,0.81))</f>
        <v>56.5</v>
      </c>
      <c r="T38" s="13">
        <f t="array" ref="T38">IF(MOD(ROW()-8,4)=0,"",IF(MOD(ROW()-8,4)=1,INDEX(E:E,7+INT((ROW()-8)/4)*2)-INDEX(E:E,6+INT((ROW()-8)/4)*2),IF(MOD(ROW()-8,4)=2,INDEX(E:E,7+INT((ROW()-8)/4)*2),INDEX(E:E,8+INT((ROW()-8)/4)*2))))</f>
        <v>0</v>
      </c>
      <c r="U38" s="14">
        <f>F38</f>
        <v>0</v>
      </c>
      <c r="V38" s="14">
        <f>G38</f>
        <v>61</v>
      </c>
    </row>
    <row r="39" spans="1:22" x14ac:dyDescent="0.25">
      <c r="A39" s="17"/>
      <c r="B39" s="48">
        <f t="array" ref="B39">-INDEX(A:A,ROUNDUP(ROW(A43)/2,0))</f>
        <v>0</v>
      </c>
      <c r="C39" s="48">
        <v>57</v>
      </c>
      <c r="D39" s="53"/>
      <c r="E39" s="17"/>
      <c r="F39" s="48">
        <f t="array" ref="F39">-INDEX(E:E,ROUNDUP(ROW(E43)/2,0))</f>
        <v>0</v>
      </c>
      <c r="G39" s="48">
        <v>61</v>
      </c>
      <c r="L39" s="17"/>
      <c r="M39" s="17"/>
      <c r="N39" s="17"/>
      <c r="O39" s="17"/>
      <c r="P39" s="17"/>
      <c r="Q39" s="51">
        <f t="array" ref="Q39">IF(MOD(ROW()-8,4)=0,"",IF(MOD(ROW()-8,4)=1,INDEX(A:A,7+INT((ROW()-8)/4)*2)-INDEX(A:A,6+INT((ROW()-8)/4)*2),IF(MOD(ROW()-8,4)=2,INDEX(A:A,7+INT((ROW()-8)/4)*2),INDEX(A:A,8+INT((ROW()-8)/4)*2))))</f>
        <v>0</v>
      </c>
      <c r="R39" s="14">
        <f>B39-0.6</f>
        <v>-0.6</v>
      </c>
      <c r="S39" s="14">
        <f>C39-IF(LEN(TEXT(Q39,"0"))=1,0.5,IF(LEN(TEXT(Q39,"0"))=2,0.61,0.81))</f>
        <v>56.5</v>
      </c>
      <c r="T39" s="13">
        <f t="array" ref="T39">IF(MOD(ROW()-8,4)=0,"",IF(MOD(ROW()-8,4)=1,INDEX(E:E,7+INT((ROW()-8)/4)*2)-INDEX(E:E,6+INT((ROW()-8)/4)*2),IF(MOD(ROW()-8,4)=2,INDEX(E:E,7+INT((ROW()-8)/4)*2),INDEX(E:E,8+INT((ROW()-8)/4)*2))))</f>
        <v>0</v>
      </c>
      <c r="U39" s="14">
        <f>F39-0.6</f>
        <v>-0.6</v>
      </c>
      <c r="V39" s="14">
        <f>G39-IF(LEN(TEXT(T39,"0"))=1,2.53,IF(LEN(TEXT(T39,"0"))=2,2.65,2.85))</f>
        <v>58.47</v>
      </c>
    </row>
    <row r="40" spans="1:22" x14ac:dyDescent="0.25">
      <c r="A40" s="17"/>
      <c r="B40" s="48">
        <f t="array" ref="B40">-INDEX(A:A,ROUNDUP(ROW(A44)/2,0))</f>
        <v>0</v>
      </c>
      <c r="C40" s="48">
        <v>61</v>
      </c>
      <c r="D40" s="56">
        <f>IF(A41&lt;&gt;"",A41-A40,"")</f>
      </c>
      <c r="E40" s="17"/>
      <c r="F40" s="48">
        <f t="array" ref="F40">-INDEX(E:E,ROUNDUP(ROW(E44)/2,0))</f>
        <v>0</v>
      </c>
      <c r="G40" s="48">
        <v>65</v>
      </c>
      <c r="L40" s="17"/>
      <c r="M40" s="17"/>
      <c r="N40" s="17"/>
      <c r="O40" s="17"/>
      <c r="P40" s="17"/>
      <c r="Q40" s="51">
        <f t="array" ref="Q40">IF(MOD(ROW()-8,4)=0,"",IF(MOD(ROW()-8,4)=1,INDEX(A:A,7+INT((ROW()-8)/4)*2)-INDEX(A:A,6+INT((ROW()-8)/4)*2),IF(MOD(ROW()-8,4)=2,INDEX(A:A,7+INT((ROW()-8)/4)*2),INDEX(A:A,8+INT((ROW()-8)/4)*2))))</f>
      </c>
      <c r="R40" s="14">
        <f>B40</f>
        <v>0</v>
      </c>
      <c r="S40" s="14">
        <f>C40</f>
        <v>61</v>
      </c>
      <c r="T40" s="13">
        <f t="array" ref="T40">IF(MOD(ROW()-8,4)=0,"",IF(MOD(ROW()-8,4)=1,INDEX(E:E,7+INT((ROW()-8)/4)*2)-INDEX(E:E,6+INT((ROW()-8)/4)*2),IF(MOD(ROW()-8,4)=2,INDEX(E:E,7+INT((ROW()-8)/4)*2),INDEX(E:E,8+INT((ROW()-8)/4)*2))))</f>
      </c>
      <c r="U40" s="14">
        <f>F40</f>
        <v>0</v>
      </c>
      <c r="V40" s="14">
        <f>G40-IF(LEN(TEXT(T40,"0"))=1,0.5,IF(LEN(TEXT(T40,"0"))=2,0.61,0.81))</f>
        <v>64.19</v>
      </c>
    </row>
    <row r="41" spans="1:22" x14ac:dyDescent="0.25">
      <c r="A41" s="17"/>
      <c r="B41" s="48">
        <f t="array" ref="B41">-INDEX(A:A,ROUNDUP(ROW(A45)/2,0))</f>
        <v>0</v>
      </c>
      <c r="C41" s="48">
        <v>61</v>
      </c>
      <c r="D41" s="53"/>
      <c r="E41" s="17"/>
      <c r="F41" s="48">
        <f t="array" ref="F41">-INDEX(E:E,ROUNDUP(ROW(E45)/2,0))</f>
        <v>0</v>
      </c>
      <c r="G41" s="48">
        <v>65</v>
      </c>
      <c r="L41" s="17"/>
      <c r="M41" s="17"/>
      <c r="N41" s="17"/>
      <c r="O41" s="17"/>
      <c r="P41" s="17"/>
      <c r="Q41" s="51">
        <f t="array" ref="Q41">IF(MOD(ROW()-8,4)=0,"",IF(MOD(ROW()-8,4)=1,INDEX(A:A,7+INT((ROW()-8)/4)*2)-INDEX(A:A,6+INT((ROW()-8)/4)*2),IF(MOD(ROW()-8,4)=2,INDEX(A:A,7+INT((ROW()-8)/4)*2),INDEX(A:A,8+INT((ROW()-8)/4)*2))))</f>
        <v>0</v>
      </c>
      <c r="R41" s="14">
        <f>IF(R42&lt;R40,(R42+R40)/2-0.3,0)</f>
        <v>0</v>
      </c>
      <c r="S41" s="14">
        <f>C41-IF(LEN(TEXT(Q41,"0"))=1,2.51,IF(LEN(TEXT(Q41,"0"))=2,2.62,2.82))</f>
        <v>58.49</v>
      </c>
      <c r="T41" s="13">
        <f t="array" ref="T41">IF(MOD(ROW()-8,4)=0,"",IF(MOD(ROW()-8,4)=1,INDEX(E:E,7+INT((ROW()-8)/4)*2)-INDEX(E:E,6+INT((ROW()-8)/4)*2),IF(MOD(ROW()-8,4)=2,INDEX(E:E,7+INT((ROW()-8)/4)*2),INDEX(E:E,8+INT((ROW()-8)/4)*2))))</f>
        <v>0</v>
      </c>
      <c r="U41" s="14">
        <f>IF(U42&lt;U40,(U42+U40)/2-0.3,0)</f>
        <v>0</v>
      </c>
      <c r="V41" s="14">
        <f>G41-IF(LEN(TEXT(T41,"0"))=1,0.5,IF(LEN(TEXT(T41,"0"))=2,0.61,0.81))</f>
        <v>64.5</v>
      </c>
    </row>
    <row r="42" spans="1:22" x14ac:dyDescent="0.25">
      <c r="A42" s="17"/>
      <c r="B42" s="48">
        <f t="array" ref="B42">-INDEX(A:A,ROUNDUP(ROW(A46)/2,0))</f>
        <v>0</v>
      </c>
      <c r="C42" s="48">
        <v>57</v>
      </c>
      <c r="D42" s="56">
        <f>IF(A43&lt;&gt;"",A43-A42,"")</f>
      </c>
      <c r="E42" s="17"/>
      <c r="F42" s="48">
        <f t="array" ref="F42">-INDEX(E:E,ROUNDUP(ROW(E46)/2,0))</f>
        <v>0</v>
      </c>
      <c r="G42" s="48">
        <v>61</v>
      </c>
      <c r="L42" s="17"/>
      <c r="M42" s="17"/>
      <c r="N42" s="17"/>
      <c r="O42" s="17"/>
      <c r="P42" s="17"/>
      <c r="Q42" s="51">
        <f t="array" ref="Q42">IF(MOD(ROW()-8,4)=0,"",IF(MOD(ROW()-8,4)=1,INDEX(A:A,7+INT((ROW()-8)/4)*2)-INDEX(A:A,6+INT((ROW()-8)/4)*2),IF(MOD(ROW()-8,4)=2,INDEX(A:A,7+INT((ROW()-8)/4)*2),INDEX(A:A,8+INT((ROW()-8)/4)*2))))</f>
        <v>0</v>
      </c>
      <c r="R42" s="14">
        <f>B42</f>
        <v>0</v>
      </c>
      <c r="S42" s="14">
        <f>C42-IF(LEN(TEXT(Q42,"0"))=1,0.5,IF(LEN(TEXT(Q42,"0"))=2,0.61,0.81))</f>
        <v>56.5</v>
      </c>
      <c r="T42" s="13">
        <f t="array" ref="T42">IF(MOD(ROW()-8,4)=0,"",IF(MOD(ROW()-8,4)=1,INDEX(E:E,7+INT((ROW()-8)/4)*2)-INDEX(E:E,6+INT((ROW()-8)/4)*2),IF(MOD(ROW()-8,4)=2,INDEX(E:E,7+INT((ROW()-8)/4)*2),INDEX(E:E,8+INT((ROW()-8)/4)*2))))</f>
        <v>0</v>
      </c>
      <c r="U42" s="14">
        <f>F42</f>
        <v>0</v>
      </c>
      <c r="V42" s="14">
        <f>G42</f>
        <v>61</v>
      </c>
    </row>
    <row r="43" spans="1:22" x14ac:dyDescent="0.25">
      <c r="A43" s="17"/>
      <c r="B43" s="48">
        <f t="array" ref="B43">-INDEX(A:A,ROUNDUP(ROW(A47)/2,0))</f>
        <v>0</v>
      </c>
      <c r="C43" s="48">
        <v>57</v>
      </c>
      <c r="D43" s="53"/>
      <c r="E43" s="17"/>
      <c r="L43" s="17"/>
      <c r="M43" s="17"/>
      <c r="N43" s="17"/>
      <c r="O43" s="17"/>
      <c r="P43" s="17"/>
      <c r="Q43" s="51">
        <f t="array" ref="Q43">IF(MOD(ROW()-8,4)=0,"",IF(MOD(ROW()-8,4)=1,INDEX(A:A,7+INT((ROW()-8)/4)*2)-INDEX(A:A,6+INT((ROW()-8)/4)*2),IF(MOD(ROW()-8,4)=2,INDEX(A:A,7+INT((ROW()-8)/4)*2),INDEX(A:A,8+INT((ROW()-8)/4)*2))))</f>
        <v>0</v>
      </c>
      <c r="R43" s="14">
        <f>B43-0.6</f>
        <v>-0.6</v>
      </c>
      <c r="S43" s="14">
        <f>C43-IF(LEN(TEXT(Q43,"0"))=1,0.5,IF(LEN(TEXT(Q43,"0"))=2,0.61,0.81))</f>
        <v>56.5</v>
      </c>
      <c r="T43" s="13">
        <f t="array" ref="T43">IF(MOD(ROW()-8,4)=0,"",IF(MOD(ROW()-8,4)=1,INDEX(E:E,7+INT((ROW()-8)/4)*2)-INDEX(E:E,6+INT((ROW()-8)/4)*2),IF(MOD(ROW()-8,4)=2,INDEX(E:E,7+INT((ROW()-8)/4)*2),INDEX(E:E,8+INT((ROW()-8)/4)*2))))</f>
        <v>0</v>
      </c>
      <c r="U43" s="14">
        <f>IF(U44&lt;U42,(U44+U42)/2-0.3,0)</f>
        <v>0</v>
      </c>
      <c r="V43" s="14">
        <f>G43</f>
        <v>0</v>
      </c>
    </row>
    <row r="44" spans="1:22" x14ac:dyDescent="0.25">
      <c r="A44" s="17"/>
      <c r="B44" s="48">
        <f t="array" ref="B44">-INDEX(A:A,ROUNDUP(ROW(A48)/2,0))</f>
        <v>0</v>
      </c>
      <c r="C44" s="48">
        <v>61</v>
      </c>
      <c r="E44" s="17"/>
      <c r="L44" s="17"/>
      <c r="M44" s="17"/>
      <c r="N44" s="17"/>
      <c r="O44" s="17"/>
      <c r="P44" s="17"/>
      <c r="Q44" s="51">
        <f t="array" ref="Q44">IF(MOD(ROW()-8,4)=0,"",IF(MOD(ROW()-8,4)=1,INDEX(A:A,7+INT((ROW()-8)/4)*2)-INDEX(A:A,6+INT((ROW()-8)/4)*2),IF(MOD(ROW()-8,4)=2,INDEX(A:A,7+INT((ROW()-8)/4)*2),INDEX(A:A,8+INT((ROW()-8)/4)*2))))</f>
      </c>
      <c r="R44" s="14">
        <f>B44</f>
        <v>0</v>
      </c>
      <c r="S44" s="14">
        <f>C44</f>
        <v>61</v>
      </c>
      <c r="T44" s="13">
        <f t="array" ref="T44">IF(MOD(ROW()-8,4)=0,"",IF(MOD(ROW()-8,4)=1,INDEX(E:E,7+INT((ROW()-8)/4)*2)-INDEX(E:E,6+INT((ROW()-8)/4)*2),IF(MOD(ROW()-8,4)=2,INDEX(E:E,7+INT((ROW()-8)/4)*2),INDEX(E:E,8+INT((ROW()-8)/4)*2))))</f>
      </c>
      <c r="U44" s="14">
        <f>F44</f>
        <v>0</v>
      </c>
      <c r="V44" s="14">
        <f>G44-IF(LEN(TEXT(T44,"0"))=1,2.53,IF(LEN(TEXT(T44,"0"))=2,2.65,2.85))</f>
        <v>-2.85</v>
      </c>
    </row>
    <row r="45" spans="1:22" x14ac:dyDescent="0.25">
      <c r="A45" s="17"/>
      <c r="B45" s="48">
        <f t="array" ref="B45">-INDEX(A:A,ROUNDUP(ROW(A49)/2,0))</f>
        <v>0</v>
      </c>
      <c r="C45" s="48">
        <v>61</v>
      </c>
      <c r="E45" s="17"/>
      <c r="L45" s="17"/>
      <c r="M45" s="17"/>
      <c r="N45" s="17"/>
      <c r="O45" s="17"/>
      <c r="P45" s="17"/>
      <c r="Q45" s="51">
        <f t="array" ref="Q45">IF(MOD(ROW()-8,4)=0,"",IF(MOD(ROW()-8,4)=1,INDEX(A:A,7+INT((ROW()-8)/4)*2)-INDEX(A:A,6+INT((ROW()-8)/4)*2),IF(MOD(ROW()-8,4)=2,INDEX(A:A,7+INT((ROW()-8)/4)*2),INDEX(A:A,8+INT((ROW()-8)/4)*2))))</f>
        <v>0</v>
      </c>
      <c r="R45" s="14">
        <f>IF(R46&lt;R44,(R46+R44)/2-0.3,0)</f>
        <v>0</v>
      </c>
      <c r="S45" s="14">
        <f>C45-IF(LEN(TEXT(Q45,"0"))=1,2.51,IF(LEN(TEXT(Q45,"0"))=2,2.62,2.82))</f>
        <v>58.49</v>
      </c>
      <c r="T45" s="13">
        <f t="array" ref="T45">IF(MOD(ROW()-8,4)=0,"",IF(MOD(ROW()-8,4)=1,INDEX(E:E,7+INT((ROW()-8)/4)*2)-INDEX(E:E,6+INT((ROW()-8)/4)*2),IF(MOD(ROW()-8,4)=2,INDEX(E:E,7+INT((ROW()-8)/4)*2),INDEX(E:E,8+INT((ROW()-8)/4)*2))))</f>
        <v>0</v>
      </c>
      <c r="U45" s="14">
        <f>F45-0.6</f>
        <v>-0.6</v>
      </c>
      <c r="V45" s="14">
        <f>G45-IF(LEN(TEXT(T45,"0"))=1,0.5,IF(LEN(TEXT(T45,"0"))=2,0.61,0.81))</f>
        <v>-0.5</v>
      </c>
    </row>
    <row r="46" spans="1:22" x14ac:dyDescent="0.25">
      <c r="A46" s="17"/>
      <c r="B46" s="48">
        <f t="array" ref="B46">-INDEX(A:A,ROUNDUP(ROW(A50)/2,0))</f>
        <v>0</v>
      </c>
      <c r="C46" s="48">
        <v>57</v>
      </c>
      <c r="E46" s="17"/>
      <c r="L46" s="17"/>
      <c r="M46" s="17"/>
      <c r="N46" s="17"/>
      <c r="O46" s="17"/>
      <c r="P46" s="17"/>
      <c r="Q46" s="51">
        <f t="array" ref="Q46">IF(MOD(ROW()-8,4)=0,"",IF(MOD(ROW()-8,4)=1,INDEX(A:A,7+INT((ROW()-8)/4)*2)-INDEX(A:A,6+INT((ROW()-8)/4)*2),IF(MOD(ROW()-8,4)=2,INDEX(A:A,7+INT((ROW()-8)/4)*2),INDEX(A:A,8+INT((ROW()-8)/4)*2))))</f>
        <v>0</v>
      </c>
      <c r="R46" s="14">
        <f>B46</f>
        <v>0</v>
      </c>
      <c r="S46" s="14">
        <f>C46-IF(LEN(TEXT(Q46,"0"))=1,0.5,IF(LEN(TEXT(Q46,"0"))=2,0.61,0.81))</f>
        <v>56.5</v>
      </c>
      <c r="T46" s="13">
        <f t="array" ref="T46">IF(MOD(ROW()-8,4)=0,"",IF(MOD(ROW()-8,4)=1,INDEX(E:E,7+INT((ROW()-8)/4)*2)-INDEX(E:E,6+INT((ROW()-8)/4)*2),IF(MOD(ROW()-8,4)=2,INDEX(E:E,7+INT((ROW()-8)/4)*2),INDEX(E:E,8+INT((ROW()-8)/4)*2))))</f>
        <v>0</v>
      </c>
      <c r="U46" s="14">
        <f>F46</f>
        <v>0</v>
      </c>
      <c r="V46" s="14">
        <f>G46-IF(LEN(TEXT(T46,"0"))=1,0.5,IF(LEN(TEXT(T46,"0"))=2,0.61,0.81))</f>
        <v>-0.5</v>
      </c>
    </row>
    <row r="47" spans="1:22" x14ac:dyDescent="0.25">
      <c r="A47" s="17"/>
      <c r="B47" s="48">
        <f t="array" ref="B47">-INDEX(A:A,ROUNDUP(ROW(A51)/2,0))</f>
        <v>0</v>
      </c>
      <c r="C47" s="48">
        <v>57</v>
      </c>
      <c r="E47" s="17"/>
      <c r="L47" s="17"/>
      <c r="M47" s="17"/>
      <c r="N47" s="17"/>
      <c r="O47" s="17"/>
      <c r="P47" s="17"/>
      <c r="Q47" s="51">
        <f t="array" ref="Q47">IF(MOD(ROW()-8,4)=0,"",IF(MOD(ROW()-8,4)=1,INDEX(A:A,7+INT((ROW()-8)/4)*2)-INDEX(A:A,6+INT((ROW()-8)/4)*2),IF(MOD(ROW()-8,4)=2,INDEX(A:A,7+INT((ROW()-8)/4)*2),INDEX(A:A,8+INT((ROW()-8)/4)*2))))</f>
        <v>0</v>
      </c>
      <c r="R47" s="14">
        <f>B47-0.6</f>
        <v>-0.6</v>
      </c>
      <c r="S47" s="14">
        <f>C47-IF(LEN(TEXT(Q47,"0"))=1,0.5,IF(LEN(TEXT(Q47,"0"))=2,0.61,0.81))</f>
        <v>56.5</v>
      </c>
      <c r="T47" s="13">
        <f t="array" ref="T47">IF(MOD(ROW()-8,4)=0,"",IF(MOD(ROW()-8,4)=1,INDEX(E:E,7+INT((ROW()-8)/4)*2)-INDEX(E:E,6+INT((ROW()-8)/4)*2),IF(MOD(ROW()-8,4)=2,INDEX(E:E,7+INT((ROW()-8)/4)*2),INDEX(E:E,8+INT((ROW()-8)/4)*2))))</f>
        <v>0</v>
      </c>
      <c r="U47" s="14">
        <f>IF(U48&lt;U46,(U48+U46)/2-0.3,0)</f>
        <v>0</v>
      </c>
      <c r="V47" s="14">
        <f>G47</f>
        <v>0</v>
      </c>
    </row>
    <row r="48" spans="1:22" x14ac:dyDescent="0.25">
      <c r="A48" s="17"/>
      <c r="B48" s="48">
        <f t="array" ref="B48">-INDEX(A:A,ROUNDUP(ROW(A52)/2,0))</f>
        <v>0</v>
      </c>
      <c r="C48" s="48">
        <v>61</v>
      </c>
      <c r="E48" s="17"/>
      <c r="L48" s="17"/>
      <c r="M48" s="17"/>
      <c r="N48" s="17"/>
      <c r="O48" s="17"/>
      <c r="P48" s="17"/>
      <c r="Q48" s="51">
        <f t="array" ref="Q48">IF(MOD(ROW()-8,4)=0,"",IF(MOD(ROW()-8,4)=1,INDEX(A:A,7+INT((ROW()-8)/4)*2)-INDEX(A:A,6+INT((ROW()-8)/4)*2),IF(MOD(ROW()-8,4)=2,INDEX(A:A,7+INT((ROW()-8)/4)*2),INDEX(A:A,8+INT((ROW()-8)/4)*2))))</f>
      </c>
      <c r="R48" s="14">
        <f>B48</f>
        <v>0</v>
      </c>
      <c r="S48" s="14">
        <f>C48</f>
        <v>61</v>
      </c>
      <c r="T48" s="13">
        <f t="array" ref="T48">IF(MOD(ROW()-8,4)=0,"",IF(MOD(ROW()-8,4)=1,INDEX(E:E,7+INT((ROW()-8)/4)*2)-INDEX(E:E,6+INT((ROW()-8)/4)*2),IF(MOD(ROW()-8,4)=2,INDEX(E:E,7+INT((ROW()-8)/4)*2),INDEX(E:E,8+INT((ROW()-8)/4)*2))))</f>
      </c>
      <c r="U48" s="14">
        <f>F48</f>
        <v>0</v>
      </c>
      <c r="V48" s="14">
        <f>G48</f>
        <v>0</v>
      </c>
    </row>
    <row r="49" spans="1:22" x14ac:dyDescent="0.25">
      <c r="A49" s="17"/>
      <c r="B49" s="48">
        <f t="array" ref="B49">-INDEX(A:A,ROUNDUP(ROW(A53)/2,0))</f>
        <v>0</v>
      </c>
      <c r="C49" s="48">
        <v>61</v>
      </c>
      <c r="E49" s="17"/>
      <c r="L49" s="17"/>
      <c r="M49" s="17"/>
      <c r="N49" s="17"/>
      <c r="O49" s="17"/>
      <c r="P49" s="17"/>
      <c r="Q49" s="51">
        <f t="array" ref="Q49">IF(MOD(ROW()-8,4)=0,"",IF(MOD(ROW()-8,4)=1,INDEX(A:A,7+INT((ROW()-8)/4)*2)-INDEX(A:A,6+INT((ROW()-8)/4)*2),IF(MOD(ROW()-8,4)=2,INDEX(A:A,7+INT((ROW()-8)/4)*2),INDEX(A:A,8+INT((ROW()-8)/4)*2))))</f>
        <v>0</v>
      </c>
      <c r="R49" s="14">
        <f>IF(R50&lt;R48,(R50+R48)/2-0.3,0)</f>
        <v>0</v>
      </c>
      <c r="S49" s="14">
        <f>C49-IF(LEN(TEXT(Q49,"0"))=1,2.51,IF(LEN(TEXT(Q49,"0"))=2,2.62,2.82))</f>
        <v>58.49</v>
      </c>
      <c r="T49" s="13">
        <f t="array" ref="T49">IF(MOD(ROW()-8,4)=0,"",IF(MOD(ROW()-8,4)=1,INDEX(E:E,7+INT((ROW()-8)/4)*2)-INDEX(E:E,6+INT((ROW()-8)/4)*2),IF(MOD(ROW()-8,4)=2,INDEX(E:E,7+INT((ROW()-8)/4)*2),INDEX(E:E,8+INT((ROW()-8)/4)*2))))</f>
        <v>0</v>
      </c>
      <c r="U49" s="14">
        <f>F49-0.6</f>
        <v>-0.6</v>
      </c>
      <c r="V49" s="14">
        <f>G49-IF(LEN(TEXT(T49,"0"))=1,2.53,IF(LEN(TEXT(T49,"0"))=2,2.65,2.85))</f>
        <v>-2.53</v>
      </c>
    </row>
    <row r="50" spans="1:22" x14ac:dyDescent="0.25">
      <c r="A50" s="17"/>
      <c r="B50" s="48">
        <f t="array" ref="B50">-INDEX(A:A,ROUNDUP(ROW(A54)/2,0))</f>
        <v>0</v>
      </c>
      <c r="C50" s="48">
        <v>57</v>
      </c>
      <c r="E50" s="17"/>
      <c r="L50" s="17"/>
      <c r="M50" s="17"/>
      <c r="N50" s="17"/>
      <c r="O50" s="17"/>
      <c r="P50" s="17"/>
      <c r="Q50" s="51">
        <f t="array" ref="Q50">IF(MOD(ROW()-8,4)=0,"",IF(MOD(ROW()-8,4)=1,INDEX(A:A,7+INT((ROW()-8)/4)*2)-INDEX(A:A,6+INT((ROW()-8)/4)*2),IF(MOD(ROW()-8,4)=2,INDEX(A:A,7+INT((ROW()-8)/4)*2),INDEX(A:A,8+INT((ROW()-8)/4)*2))))</f>
        <v>0</v>
      </c>
      <c r="R50" s="14">
        <f>B50</f>
        <v>0</v>
      </c>
      <c r="S50" s="14">
        <f>C50-IF(LEN(TEXT(Q50,"0"))=1,0.5,IF(LEN(TEXT(Q50,"0"))=2,0.61,0.81))</f>
        <v>56.5</v>
      </c>
      <c r="T50" s="13">
        <f t="array" ref="T50">IF(MOD(ROW()-8,4)=0,"",IF(MOD(ROW()-8,4)=1,INDEX(E:E,7+INT((ROW()-8)/4)*2)-INDEX(E:E,6+INT((ROW()-8)/4)*2),IF(MOD(ROW()-8,4)=2,INDEX(E:E,7+INT((ROW()-8)/4)*2),INDEX(E:E,8+INT((ROW()-8)/4)*2))))</f>
        <v>0</v>
      </c>
      <c r="U50" s="14">
        <f>F50</f>
        <v>0</v>
      </c>
      <c r="V50" s="14">
        <f>G50-IF(LEN(TEXT(T50,"0"))=1,0.5,IF(LEN(TEXT(T50,"0"))=2,0.61,0.81))</f>
        <v>-0.5</v>
      </c>
    </row>
    <row r="51" spans="1:22" x14ac:dyDescent="0.25">
      <c r="A51" s="17"/>
      <c r="B51" s="48">
        <f t="array" ref="B51">-INDEX(A:A,ROUNDUP(ROW(A55)/2,0))</f>
        <v>0</v>
      </c>
      <c r="C51" s="48">
        <v>57</v>
      </c>
      <c r="E51" s="17"/>
      <c r="L51" s="17"/>
      <c r="M51" s="17"/>
      <c r="N51" s="17"/>
      <c r="O51" s="17"/>
      <c r="P51" s="17"/>
      <c r="Q51" s="51">
        <f t="array" ref="Q51">IF(MOD(ROW()-8,4)=0,"",IF(MOD(ROW()-8,4)=1,INDEX(A:A,7+INT((ROW()-8)/4)*2)-INDEX(A:A,6+INT((ROW()-8)/4)*2),IF(MOD(ROW()-8,4)=2,INDEX(A:A,7+INT((ROW()-8)/4)*2),INDEX(A:A,8+INT((ROW()-8)/4)*2))))</f>
        <v>0</v>
      </c>
      <c r="R51" s="14">
        <f>B51-0.6</f>
        <v>-0.6</v>
      </c>
      <c r="S51" s="14">
        <f>C51-IF(LEN(TEXT(Q51,"0"))=1,0.5,IF(LEN(TEXT(Q51,"0"))=2,0.61,0.81))</f>
        <v>56.5</v>
      </c>
      <c r="T51" s="13">
        <f t="array" ref="T51">IF(MOD(ROW()-8,4)=0,"",IF(MOD(ROW()-8,4)=1,INDEX(E:E,7+INT((ROW()-8)/4)*2)-INDEX(E:E,6+INT((ROW()-8)/4)*2),IF(MOD(ROW()-8,4)=2,INDEX(E:E,7+INT((ROW()-8)/4)*2),INDEX(E:E,8+INT((ROW()-8)/4)*2))))</f>
        <v>0</v>
      </c>
      <c r="U51" s="14">
        <f>IF(U52&lt;U50,(U52+U50)/2-0.3,0)</f>
        <v>0</v>
      </c>
      <c r="V51" s="14">
        <f>G51-IF(LEN(TEXT(T51,"0"))=1,0.5,IF(LEN(TEXT(T51,"0"))=2,0.61,0.81))</f>
        <v>-0.5</v>
      </c>
    </row>
    <row r="52" spans="1:22" x14ac:dyDescent="0.25">
      <c r="A52" s="17"/>
      <c r="B52" s="48">
        <f t="array" ref="B52">-INDEX(A:A,ROUNDUP(ROW(A56)/2,0))</f>
        <v>0</v>
      </c>
      <c r="C52" s="48">
        <v>61</v>
      </c>
      <c r="E52" s="17"/>
      <c r="L52" s="17"/>
      <c r="M52" s="17"/>
      <c r="N52" s="17"/>
      <c r="O52" s="17"/>
      <c r="P52" s="17"/>
      <c r="Q52" s="51">
        <f t="array" ref="Q52">IF(MOD(ROW()-8,4)=0,"",IF(MOD(ROW()-8,4)=1,INDEX(A:A,7+INT((ROW()-8)/4)*2)-INDEX(A:A,6+INT((ROW()-8)/4)*2),IF(MOD(ROW()-8,4)=2,INDEX(A:A,7+INT((ROW()-8)/4)*2),INDEX(A:A,8+INT((ROW()-8)/4)*2))))</f>
      </c>
      <c r="R52" s="14">
        <f>B52</f>
        <v>0</v>
      </c>
      <c r="S52" s="14">
        <f>C52</f>
        <v>61</v>
      </c>
      <c r="T52" s="13">
        <f t="array" ref="T52">IF(MOD(ROW()-8,4)=0,"",IF(MOD(ROW()-8,4)=1,INDEX(E:E,7+INT((ROW()-8)/4)*2)-INDEX(E:E,6+INT((ROW()-8)/4)*2),IF(MOD(ROW()-8,4)=2,INDEX(E:E,7+INT((ROW()-8)/4)*2),INDEX(E:E,8+INT((ROW()-8)/4)*2))))</f>
      </c>
      <c r="U52" s="14">
        <f>F52</f>
        <v>0</v>
      </c>
      <c r="V52" s="14">
        <f>G52</f>
        <v>0</v>
      </c>
    </row>
    <row r="53" spans="1:22" x14ac:dyDescent="0.25">
      <c r="A53" s="17"/>
      <c r="B53" s="48">
        <f t="array" ref="B53">-INDEX(A:A,ROUNDUP(ROW(A57)/2,0))</f>
        <v>0</v>
      </c>
      <c r="C53" s="48">
        <v>61</v>
      </c>
      <c r="E53" s="17"/>
      <c r="L53" s="17"/>
      <c r="M53" s="17"/>
      <c r="N53" s="17"/>
      <c r="O53" s="17"/>
      <c r="P53" s="17"/>
      <c r="Q53" s="51">
        <f t="array" ref="Q53">IF(MOD(ROW()-8,4)=0,"",IF(MOD(ROW()-8,4)=1,INDEX(A:A,7+INT((ROW()-8)/4)*2)-INDEX(A:A,6+INT((ROW()-8)/4)*2),IF(MOD(ROW()-8,4)=2,INDEX(A:A,7+INT((ROW()-8)/4)*2),INDEX(A:A,8+INT((ROW()-8)/4)*2))))</f>
        <v>0</v>
      </c>
      <c r="R53" s="14">
        <f>IF(R54&lt;R52,(R54+R52)/2-0.3,0)</f>
        <v>0</v>
      </c>
      <c r="S53" s="14">
        <f>C53-IF(LEN(TEXT(Q53,"0"))=1,2.51,IF(LEN(TEXT(Q53,"0"))=2,2.62,2.82))</f>
        <v>58.49</v>
      </c>
      <c r="T53" s="13">
        <f t="array" ref="T53">IF(MOD(ROW()-8,4)=0,"",IF(MOD(ROW()-8,4)=1,INDEX(E:E,7+INT((ROW()-8)/4)*2)-INDEX(E:E,6+INT((ROW()-8)/4)*2),IF(MOD(ROW()-8,4)=2,INDEX(E:E,7+INT((ROW()-8)/4)*2),INDEX(E:E,8+INT((ROW()-8)/4)*2))))</f>
        <v>0</v>
      </c>
      <c r="U53" s="14">
        <f>F53-0.6</f>
        <v>-0.6</v>
      </c>
      <c r="V53" s="14">
        <f>G53</f>
        <v>0</v>
      </c>
    </row>
    <row r="54" spans="1:22" x14ac:dyDescent="0.25">
      <c r="A54" s="17"/>
      <c r="B54" s="48">
        <f t="array" ref="B54">-INDEX(A:A,ROUNDUP(ROW(A58)/2,0))</f>
        <v>0</v>
      </c>
      <c r="C54" s="48">
        <v>57</v>
      </c>
      <c r="E54" s="17"/>
      <c r="L54" s="17"/>
      <c r="M54" s="17"/>
      <c r="N54" s="17"/>
      <c r="O54" s="17"/>
      <c r="P54" s="17"/>
      <c r="Q54" s="51">
        <f t="array" ref="Q54">IF(MOD(ROW()-8,4)=0,"",IF(MOD(ROW()-8,4)=1,INDEX(A:A,7+INT((ROW()-8)/4)*2)-INDEX(A:A,6+INT((ROW()-8)/4)*2),IF(MOD(ROW()-8,4)=2,INDEX(A:A,7+INT((ROW()-8)/4)*2),INDEX(A:A,8+INT((ROW()-8)/4)*2))))</f>
        <v>0</v>
      </c>
      <c r="R54" s="14">
        <f>B54</f>
        <v>0</v>
      </c>
      <c r="S54" s="14">
        <f>C54-IF(LEN(TEXT(Q54,"0"))=1,0.5,IF(LEN(TEXT(Q54,"0"))=2,0.61,0.81))</f>
        <v>56.5</v>
      </c>
      <c r="T54" s="13">
        <f t="array" ref="T54">IF(MOD(ROW()-8,4)=0,"",IF(MOD(ROW()-8,4)=1,INDEX(E:E,7+INT((ROW()-8)/4)*2)-INDEX(E:E,6+INT((ROW()-8)/4)*2),IF(MOD(ROW()-8,4)=2,INDEX(E:E,7+INT((ROW()-8)/4)*2),INDEX(E:E,8+INT((ROW()-8)/4)*2))))</f>
        <v>0</v>
      </c>
      <c r="U54" s="17"/>
      <c r="V54" s="17"/>
    </row>
    <row r="55" spans="1:22" x14ac:dyDescent="0.25">
      <c r="A55" s="17"/>
      <c r="B55" s="48">
        <f t="array" ref="B55">-INDEX(A:A,ROUNDUP(ROW(A59)/2,0))</f>
        <v>0</v>
      </c>
      <c r="C55" s="48">
        <v>57</v>
      </c>
      <c r="E55" s="17"/>
      <c r="L55" s="17"/>
      <c r="M55" s="17"/>
      <c r="N55" s="17"/>
      <c r="O55" s="17"/>
      <c r="P55" s="17"/>
      <c r="Q55" s="51">
        <f t="array" ref="Q55">IF(MOD(ROW()-8,4)=0,"",IF(MOD(ROW()-8,4)=1,INDEX(A:A,7+INT((ROW()-8)/4)*2)-INDEX(A:A,6+INT((ROW()-8)/4)*2),IF(MOD(ROW()-8,4)=2,INDEX(A:A,7+INT((ROW()-8)/4)*2),INDEX(A:A,8+INT((ROW()-8)/4)*2))))</f>
        <v>0</v>
      </c>
      <c r="R55" s="14">
        <f>B55-0.6</f>
        <v>-0.6</v>
      </c>
      <c r="S55" s="14">
        <f>C55-IF(LEN(TEXT(Q55,"0"))=1,0.5,IF(LEN(TEXT(Q55,"0"))=2,0.61,0.81))</f>
        <v>56.5</v>
      </c>
      <c r="T55" s="13">
        <f t="array" ref="T55">IF(MOD(ROW()-8,4)=0,"",IF(MOD(ROW()-8,4)=1,INDEX(E:E,7+INT((ROW()-8)/4)*2)-INDEX(E:E,6+INT((ROW()-8)/4)*2),IF(MOD(ROW()-8,4)=2,INDEX(E:E,7+INT((ROW()-8)/4)*2),INDEX(E:E,8+INT((ROW()-8)/4)*2))))</f>
        <v>0</v>
      </c>
      <c r="U55" s="17"/>
      <c r="V55" s="17"/>
    </row>
    <row r="56" spans="1:22" x14ac:dyDescent="0.25">
      <c r="A56" s="17"/>
      <c r="B56" s="48">
        <f t="array" ref="B56">-INDEX(A:A,ROUNDUP(ROW(A60)/2,0))</f>
        <v>0</v>
      </c>
      <c r="C56" s="48">
        <v>61</v>
      </c>
      <c r="E56" s="17"/>
      <c r="L56" s="17"/>
      <c r="M56" s="17"/>
      <c r="N56" s="17"/>
      <c r="O56" s="17"/>
      <c r="P56" s="17"/>
      <c r="Q56" s="51">
        <f t="array" ref="Q56">IF(MOD(ROW()-8,4)=0,"",IF(MOD(ROW()-8,4)=1,INDEX(A:A,7+INT((ROW()-8)/4)*2)-INDEX(A:A,6+INT((ROW()-8)/4)*2),IF(MOD(ROW()-8,4)=2,INDEX(A:A,7+INT((ROW()-8)/4)*2),INDEX(A:A,8+INT((ROW()-8)/4)*2))))</f>
      </c>
      <c r="R56" s="14">
        <f>B56</f>
        <v>0</v>
      </c>
      <c r="S56" s="14">
        <f>C56</f>
        <v>61</v>
      </c>
      <c r="T56" s="13">
        <f t="array" ref="T56">IF(MOD(ROW()-8,4)=0,"",IF(MOD(ROW()-8,4)=1,INDEX(E:E,7+INT((ROW()-8)/4)*2)-INDEX(E:E,6+INT((ROW()-8)/4)*2),IF(MOD(ROW()-8,4)=2,INDEX(E:E,7+INT((ROW()-8)/4)*2),INDEX(E:E,8+INT((ROW()-8)/4)*2))))</f>
      </c>
      <c r="U56" s="17"/>
      <c r="V56" s="17"/>
    </row>
    <row r="57" spans="1:22" x14ac:dyDescent="0.25">
      <c r="A57" s="17"/>
      <c r="B57" s="48">
        <f t="array" ref="B57">-INDEX(A:A,ROUNDUP(ROW(A61)/2,0))</f>
        <v>0</v>
      </c>
      <c r="C57" s="48">
        <v>61</v>
      </c>
      <c r="E57" s="17"/>
      <c r="L57" s="17"/>
      <c r="M57" s="17"/>
      <c r="N57" s="17"/>
      <c r="O57" s="17"/>
      <c r="P57" s="17"/>
      <c r="Q57" s="51">
        <f t="array" ref="Q57">IF(MOD(ROW()-8,4)=0,"",IF(MOD(ROW()-8,4)=1,INDEX(A:A,7+INT((ROW()-8)/4)*2)-INDEX(A:A,6+INT((ROW()-8)/4)*2),IF(MOD(ROW()-8,4)=2,INDEX(A:A,7+INT((ROW()-8)/4)*2),INDEX(A:A,8+INT((ROW()-8)/4)*2))))</f>
        <v>0</v>
      </c>
      <c r="R57" s="14">
        <f>IF(R58&lt;R56,(R58+R56)/2-0.3,0)</f>
        <v>0</v>
      </c>
      <c r="S57" s="14">
        <f>C57-IF(LEN(TEXT(Q57,"0"))=1,2.51,IF(LEN(TEXT(Q57,"0"))=2,2.62,2.82))</f>
        <v>58.49</v>
      </c>
      <c r="T57" s="13">
        <f t="array" ref="T57">IF(MOD(ROW()-8,4)=0,"",IF(MOD(ROW()-8,4)=1,INDEX(E:E,7+INT((ROW()-8)/4)*2)-INDEX(E:E,6+INT((ROW()-8)/4)*2),IF(MOD(ROW()-8,4)=2,INDEX(E:E,7+INT((ROW()-8)/4)*2),INDEX(E:E,8+INT((ROW()-8)/4)*2))))</f>
        <v>0</v>
      </c>
      <c r="U57" s="17"/>
      <c r="V57" s="17"/>
    </row>
    <row r="58" spans="1:22" x14ac:dyDescent="0.25">
      <c r="A58" s="17"/>
      <c r="B58" s="48">
        <f t="array" ref="B58">-INDEX(A:A,ROUNDUP(ROW(A62)/2,0))</f>
        <v>0</v>
      </c>
      <c r="C58" s="48">
        <v>57</v>
      </c>
      <c r="E58" s="17"/>
      <c r="L58" s="17"/>
      <c r="M58" s="17"/>
      <c r="N58" s="17"/>
      <c r="O58" s="17"/>
      <c r="P58" s="17"/>
      <c r="Q58" s="51">
        <f t="array" ref="Q58">IF(MOD(ROW()-8,4)=0,"",IF(MOD(ROW()-8,4)=1,INDEX(A:A,7+INT((ROW()-8)/4)*2)-INDEX(A:A,6+INT((ROW()-8)/4)*2),IF(MOD(ROW()-8,4)=2,INDEX(A:A,7+INT((ROW()-8)/4)*2),INDEX(A:A,8+INT((ROW()-8)/4)*2))))</f>
        <v>0</v>
      </c>
      <c r="R58" s="14">
        <f>B58</f>
        <v>0</v>
      </c>
      <c r="S58" s="14">
        <f>C58-IF(LEN(TEXT(Q58,"0"))=1,0.5,IF(LEN(TEXT(Q58,"0"))=2,0.61,0.81))</f>
        <v>56.5</v>
      </c>
      <c r="T58" s="13">
        <f t="array" ref="T58">IF(MOD(ROW()-8,4)=0,"",IF(MOD(ROW()-8,4)=1,INDEX(E:E,7+INT((ROW()-8)/4)*2)-INDEX(E:E,6+INT((ROW()-8)/4)*2),IF(MOD(ROW()-8,4)=2,INDEX(E:E,7+INT((ROW()-8)/4)*2),INDEX(E:E,8+INT((ROW()-8)/4)*2))))</f>
        <v>0</v>
      </c>
      <c r="U58" s="17"/>
      <c r="V58" s="17"/>
    </row>
    <row r="59" spans="1:22" x14ac:dyDescent="0.25">
      <c r="A59" s="17"/>
      <c r="B59" s="48">
        <f t="array" ref="B59">-INDEX(A:A,ROUNDUP(ROW(A63)/2,0))</f>
        <v>0</v>
      </c>
      <c r="C59" s="48">
        <v>57</v>
      </c>
      <c r="E59" s="17"/>
      <c r="L59" s="17"/>
      <c r="M59" s="17"/>
      <c r="N59" s="17"/>
      <c r="O59" s="17"/>
      <c r="P59" s="17"/>
      <c r="Q59" s="51">
        <f t="array" ref="Q59">IF(MOD(ROW()-8,4)=0,"",IF(MOD(ROW()-8,4)=1,INDEX(A:A,7+INT((ROW()-8)/4)*2)-INDEX(A:A,6+INT((ROW()-8)/4)*2),IF(MOD(ROW()-8,4)=2,INDEX(A:A,7+INT((ROW()-8)/4)*2),INDEX(A:A,8+INT((ROW()-8)/4)*2))))</f>
        <v>0</v>
      </c>
      <c r="R59" s="14">
        <f>B59-0.6</f>
        <v>-0.6</v>
      </c>
      <c r="S59" s="14">
        <f>C59-IF(LEN(TEXT(Q59,"0"))=1,0.5,IF(LEN(TEXT(Q59,"0"))=2,0.61,0.81))</f>
        <v>56.5</v>
      </c>
      <c r="T59" s="13">
        <f t="array" ref="T59">IF(MOD(ROW()-8,4)=0,"",IF(MOD(ROW()-8,4)=1,INDEX(E:E,7+INT((ROW()-8)/4)*2)-INDEX(E:E,6+INT((ROW()-8)/4)*2),IF(MOD(ROW()-8,4)=2,INDEX(E:E,7+INT((ROW()-8)/4)*2),INDEX(E:E,8+INT((ROW()-8)/4)*2))))</f>
        <v>0</v>
      </c>
      <c r="U59" s="17"/>
      <c r="V59" s="17"/>
    </row>
    <row r="60" spans="1:22" x14ac:dyDescent="0.25">
      <c r="A60" s="17"/>
      <c r="B60" s="48">
        <f t="array" ref="B60">-INDEX(A:A,ROUNDUP(ROW(A64)/2,0))</f>
        <v>0</v>
      </c>
      <c r="C60" s="48">
        <v>61</v>
      </c>
      <c r="E60" s="17"/>
      <c r="L60" s="17"/>
      <c r="M60" s="17"/>
      <c r="N60" s="17"/>
      <c r="O60" s="17"/>
      <c r="P60" s="17"/>
      <c r="Q60" s="51">
        <f t="array" ref="Q60">IF(MOD(ROW()-8,4)=0,"",IF(MOD(ROW()-8,4)=1,INDEX(A:A,7+INT((ROW()-8)/4)*2)-INDEX(A:A,6+INT((ROW()-8)/4)*2),IF(MOD(ROW()-8,4)=2,INDEX(A:A,7+INT((ROW()-8)/4)*2),INDEX(A:A,8+INT((ROW()-8)/4)*2))))</f>
      </c>
      <c r="R60" s="14">
        <f>B60</f>
        <v>0</v>
      </c>
      <c r="S60" s="14">
        <f>C60</f>
        <v>61</v>
      </c>
      <c r="T60" s="13">
        <f t="array" ref="T60">IF(MOD(ROW()-8,4)=0,"",IF(MOD(ROW()-8,4)=1,INDEX(E:E,7+INT((ROW()-8)/4)*2)-INDEX(E:E,6+INT((ROW()-8)/4)*2),IF(MOD(ROW()-8,4)=2,INDEX(E:E,7+INT((ROW()-8)/4)*2),INDEX(E:E,8+INT((ROW()-8)/4)*2))))</f>
      </c>
      <c r="U60" s="17"/>
      <c r="V60" s="17"/>
    </row>
    <row r="61" spans="1:22" x14ac:dyDescent="0.25">
      <c r="A61" s="17"/>
      <c r="B61" s="48">
        <f t="array" ref="B61">-INDEX(A:A,ROUNDUP(ROW(A65)/2,0))</f>
        <v>0</v>
      </c>
      <c r="C61" s="48">
        <v>61</v>
      </c>
      <c r="E61" s="17"/>
      <c r="L61" s="17"/>
      <c r="M61" s="17"/>
      <c r="N61" s="17"/>
      <c r="O61" s="17"/>
      <c r="P61" s="17"/>
      <c r="Q61" s="51">
        <f t="array" ref="Q61">IF(MOD(ROW()-8,4)=0,"",IF(MOD(ROW()-8,4)=1,INDEX(A:A,7+INT((ROW()-8)/4)*2)-INDEX(A:A,6+INT((ROW()-8)/4)*2),IF(MOD(ROW()-8,4)=2,INDEX(A:A,7+INT((ROW()-8)/4)*2),INDEX(A:A,8+INT((ROW()-8)/4)*2))))</f>
        <v>0</v>
      </c>
      <c r="R61" s="14">
        <f>IF(R62&lt;R60,(R62+R60)/2-0.3,0)</f>
        <v>0</v>
      </c>
      <c r="S61" s="14">
        <f>C61-IF(LEN(TEXT(Q61,"0"))=1,2.51,IF(LEN(TEXT(Q61,"0"))=2,2.62,2.82))</f>
        <v>58.49</v>
      </c>
      <c r="T61" s="13">
        <f t="array" ref="T61">IF(MOD(ROW()-8,4)=0,"",IF(MOD(ROW()-8,4)=1,INDEX(E:E,7+INT((ROW()-8)/4)*2)-INDEX(E:E,6+INT((ROW()-8)/4)*2),IF(MOD(ROW()-8,4)=2,INDEX(E:E,7+INT((ROW()-8)/4)*2),INDEX(E:E,8+INT((ROW()-8)/4)*2))))</f>
        <v>0</v>
      </c>
      <c r="U61" s="17"/>
      <c r="V61" s="17"/>
    </row>
    <row r="62" spans="1:22" x14ac:dyDescent="0.25">
      <c r="A62" s="17"/>
      <c r="B62" s="48">
        <f t="array" ref="B62">-INDEX(A:A,ROUNDUP(ROW(A66)/2,0))</f>
        <v>0</v>
      </c>
      <c r="C62" s="48">
        <v>57</v>
      </c>
      <c r="E62" s="17"/>
      <c r="L62" s="17"/>
      <c r="M62" s="17"/>
      <c r="N62" s="17"/>
      <c r="O62" s="17"/>
      <c r="P62" s="17"/>
      <c r="Q62" s="51">
        <f t="array" ref="Q62">IF(MOD(ROW()-8,4)=0,"",IF(MOD(ROW()-8,4)=1,INDEX(A:A,7+INT((ROW()-8)/4)*2)-INDEX(A:A,6+INT((ROW()-8)/4)*2),IF(MOD(ROW()-8,4)=2,INDEX(A:A,7+INT((ROW()-8)/4)*2),INDEX(A:A,8+INT((ROW()-8)/4)*2))))</f>
        <v>0</v>
      </c>
      <c r="R62" s="14">
        <f>B62</f>
        <v>0</v>
      </c>
      <c r="S62" s="14">
        <f>C62-IF(LEN(TEXT(Q62,"0"))=1,0.5,IF(LEN(TEXT(Q62,"0"))=2,0.61,0.81))</f>
        <v>56.5</v>
      </c>
      <c r="T62" s="13">
        <f t="array" ref="T62">IF(MOD(ROW()-8,4)=0,"",IF(MOD(ROW()-8,4)=1,INDEX(E:E,7+INT((ROW()-8)/4)*2)-INDEX(E:E,6+INT((ROW()-8)/4)*2),IF(MOD(ROW()-8,4)=2,INDEX(E:E,7+INT((ROW()-8)/4)*2),INDEX(E:E,8+INT((ROW()-8)/4)*2))))</f>
        <v>0</v>
      </c>
      <c r="U62" s="17"/>
      <c r="V62" s="17"/>
    </row>
    <row r="63" spans="1:22" x14ac:dyDescent="0.25">
      <c r="A63" s="17"/>
      <c r="B63" s="48">
        <f t="array" ref="B63">-INDEX(A:A,ROUNDUP(ROW(A67)/2,0))</f>
        <v>0</v>
      </c>
      <c r="C63" s="48">
        <v>57</v>
      </c>
      <c r="E63" s="17"/>
      <c r="L63" s="17"/>
      <c r="M63" s="17"/>
      <c r="N63" s="17"/>
      <c r="O63" s="17"/>
      <c r="P63" s="17"/>
      <c r="Q63" s="51">
        <f t="array" ref="Q63">IF(MOD(ROW()-8,4)=0,"",IF(MOD(ROW()-8,4)=1,INDEX(A:A,7+INT((ROW()-8)/4)*2)-INDEX(A:A,6+INT((ROW()-8)/4)*2),IF(MOD(ROW()-8,4)=2,INDEX(A:A,7+INT((ROW()-8)/4)*2),INDEX(A:A,8+INT((ROW()-8)/4)*2))))</f>
        <v>0</v>
      </c>
      <c r="R63" s="14">
        <f>B63-0.6</f>
        <v>-0.6</v>
      </c>
      <c r="S63" s="14">
        <f>C63-IF(LEN(TEXT(Q63,"0"))=1,0.5,IF(LEN(TEXT(Q63,"0"))=2,0.61,0.81))</f>
        <v>56.5</v>
      </c>
      <c r="T63" s="13">
        <f t="array" ref="T63">IF(MOD(ROW()-8,4)=0,"",IF(MOD(ROW()-8,4)=1,INDEX(E:E,7+INT((ROW()-8)/4)*2)-INDEX(E:E,6+INT((ROW()-8)/4)*2),IF(MOD(ROW()-8,4)=2,INDEX(E:E,7+INT((ROW()-8)/4)*2),INDEX(E:E,8+INT((ROW()-8)/4)*2))))</f>
        <v>0</v>
      </c>
      <c r="U63" s="17"/>
      <c r="V63" s="17"/>
    </row>
    <row r="64" spans="1:22" x14ac:dyDescent="0.25">
      <c r="A64" s="17"/>
      <c r="B64" s="48">
        <f t="array" ref="B64">-INDEX(A:A,ROUNDUP(ROW(A68)/2,0))</f>
        <v>0</v>
      </c>
      <c r="C64" s="48">
        <v>61</v>
      </c>
      <c r="E64" s="17"/>
      <c r="L64" s="17"/>
      <c r="M64" s="17"/>
      <c r="N64" s="17"/>
      <c r="O64" s="17"/>
      <c r="P64" s="17"/>
      <c r="Q64" s="51">
        <f t="array" ref="Q64">IF(MOD(ROW()-8,4)=0,"",IF(MOD(ROW()-8,4)=1,INDEX(A:A,7+INT((ROW()-8)/4)*2)-INDEX(A:A,6+INT((ROW()-8)/4)*2),IF(MOD(ROW()-8,4)=2,INDEX(A:A,7+INT((ROW()-8)/4)*2),INDEX(A:A,8+INT((ROW()-8)/4)*2))))</f>
      </c>
      <c r="R64" s="14">
        <f>B64</f>
        <v>0</v>
      </c>
      <c r="S64" s="14">
        <f>C64</f>
        <v>61</v>
      </c>
      <c r="T64" s="13">
        <f t="array" ref="T64">IF(MOD(ROW()-8,4)=0,"",IF(MOD(ROW()-8,4)=1,INDEX(E:E,7+INT((ROW()-8)/4)*2)-INDEX(E:E,6+INT((ROW()-8)/4)*2),IF(MOD(ROW()-8,4)=2,INDEX(E:E,7+INT((ROW()-8)/4)*2),INDEX(E:E,8+INT((ROW()-8)/4)*2))))</f>
      </c>
      <c r="U64" s="17"/>
      <c r="V64" s="17"/>
    </row>
    <row r="65" spans="1:20" s="17" customFormat="1" x14ac:dyDescent="0.25">
      <c r="A65" s="17"/>
      <c r="B65" s="48">
        <f t="array" ref="B65">-INDEX(A:A,ROUNDUP(ROW(A69)/2,0))</f>
        <v>0</v>
      </c>
      <c r="C65" s="48">
        <v>61</v>
      </c>
      <c r="E65" s="17"/>
      <c r="Q65" s="51">
        <f t="array" ref="Q65">IF(MOD(ROW()-8,4)=0,"",IF(MOD(ROW()-8,4)=1,INDEX(A:A,7+INT((ROW()-8)/4)*2)-INDEX(A:A,6+INT((ROW()-8)/4)*2),IF(MOD(ROW()-8,4)=2,INDEX(A:A,7+INT((ROW()-8)/4)*2),INDEX(A:A,8+INT((ROW()-8)/4)*2))))</f>
        <v>0</v>
      </c>
      <c r="R65" s="14">
        <f>IF(R66&lt;R64,(R66+R64)/2-0.3,0)</f>
        <v>0</v>
      </c>
      <c r="S65" s="14">
        <f>C65-IF(LEN(TEXT(Q65,"0"))=1,2.51,IF(LEN(TEXT(Q65,"0"))=2,2.62,2.82))</f>
        <v>58.49</v>
      </c>
      <c r="T65" s="13">
        <f t="array" ref="T65">IF(MOD(ROW()-8,4)=0,"",IF(MOD(ROW()-8,4)=1,INDEX(E:E,7+INT((ROW()-8)/4)*2)-INDEX(E:E,6+INT((ROW()-8)/4)*2),IF(MOD(ROW()-8,4)=2,INDEX(E:E,7+INT((ROW()-8)/4)*2),INDEX(E:E,8+INT((ROW()-8)/4)*2))))</f>
        <v>0</v>
      </c>
    </row>
    <row r="66" spans="1:20" s="17" customFormat="1" x14ac:dyDescent="0.25">
      <c r="A66" s="17"/>
      <c r="B66" s="48">
        <f t="array" ref="B66">-INDEX(A:A,ROUNDUP(ROW(A70)/2,0))</f>
        <v>0</v>
      </c>
      <c r="C66" s="48">
        <v>57</v>
      </c>
      <c r="E66" s="17"/>
      <c r="Q66" s="51">
        <f t="array" ref="Q66">IF(MOD(ROW()-8,4)=0,"",IF(MOD(ROW()-8,4)=1,INDEX(A:A,7+INT((ROW()-8)/4)*2)-INDEX(A:A,6+INT((ROW()-8)/4)*2),IF(MOD(ROW()-8,4)=2,INDEX(A:A,7+INT((ROW()-8)/4)*2),INDEX(A:A,8+INT((ROW()-8)/4)*2))))</f>
        <v>0</v>
      </c>
      <c r="R66" s="14">
        <f>B66</f>
        <v>0</v>
      </c>
      <c r="S66" s="14">
        <f>C66-IF(LEN(TEXT(Q66,"0"))=1,0.5,IF(LEN(TEXT(Q66,"0"))=2,0.61,0.81))</f>
        <v>56.5</v>
      </c>
      <c r="T66" s="13">
        <f t="array" ref="T66">IF(MOD(ROW()-8,4)=0,"",IF(MOD(ROW()-8,4)=1,INDEX(E:E,7+INT((ROW()-8)/4)*2)-INDEX(E:E,6+INT((ROW()-8)/4)*2),IF(MOD(ROW()-8,4)=2,INDEX(E:E,7+INT((ROW()-8)/4)*2),INDEX(E:E,8+INT((ROW()-8)/4)*2))))</f>
        <v>0</v>
      </c>
    </row>
    <row r="67" spans="1:20" s="17" customFormat="1" x14ac:dyDescent="0.25">
      <c r="A67" s="17"/>
      <c r="B67" s="48">
        <f t="array" ref="B67">-INDEX(A:A,ROUNDUP(ROW(A71)/2,0))</f>
        <v>0</v>
      </c>
      <c r="C67" s="48">
        <v>57</v>
      </c>
      <c r="E67" s="17"/>
      <c r="Q67" s="51">
        <f t="array" ref="Q67">IF(MOD(ROW()-8,4)=0,"",IF(MOD(ROW()-8,4)=1,INDEX(A:A,7+INT((ROW()-8)/4)*2)-INDEX(A:A,6+INT((ROW()-8)/4)*2),IF(MOD(ROW()-8,4)=2,INDEX(A:A,7+INT((ROW()-8)/4)*2),INDEX(A:A,8+INT((ROW()-8)/4)*2))))</f>
        <v>0</v>
      </c>
      <c r="R67" s="14">
        <f>B67-0.6</f>
        <v>-0.6</v>
      </c>
      <c r="S67" s="14">
        <f>C67-IF(LEN(TEXT(Q67,"0"))=1,0.5,IF(LEN(TEXT(Q67,"0"))=2,0.61,0.81))</f>
        <v>56.5</v>
      </c>
      <c r="T67" s="13">
        <f t="array" ref="T67">IF(MOD(ROW()-8,4)=0,"",IF(MOD(ROW()-8,4)=1,INDEX(E:E,7+INT((ROW()-8)/4)*2)-INDEX(E:E,6+INT((ROW()-8)/4)*2),IF(MOD(ROW()-8,4)=2,INDEX(E:E,7+INT((ROW()-8)/4)*2),INDEX(E:E,8+INT((ROW()-8)/4)*2))))</f>
        <v>0</v>
      </c>
    </row>
    <row r="68" spans="1:20" s="17" customFormat="1" x14ac:dyDescent="0.25">
      <c r="A68" s="17"/>
      <c r="B68" s="48">
        <f t="array" ref="B68">-INDEX(A:A,ROUNDUP(ROW(A72)/2,0))</f>
        <v>0</v>
      </c>
      <c r="C68" s="48">
        <v>61</v>
      </c>
      <c r="E68" s="17"/>
      <c r="Q68" s="51">
        <f t="array" ref="Q68">IF(MOD(ROW()-8,4)=0,"",IF(MOD(ROW()-8,4)=1,INDEX(A:A,7+INT((ROW()-8)/4)*2)-INDEX(A:A,6+INT((ROW()-8)/4)*2),IF(MOD(ROW()-8,4)=2,INDEX(A:A,7+INT((ROW()-8)/4)*2),INDEX(A:A,8+INT((ROW()-8)/4)*2))))</f>
      </c>
      <c r="R68" s="14">
        <f>B68</f>
        <v>0</v>
      </c>
      <c r="S68" s="14">
        <f>C68</f>
        <v>61</v>
      </c>
      <c r="T68" s="13">
        <f t="array" ref="T68">IF(MOD(ROW()-8,4)=0,"",IF(MOD(ROW()-8,4)=1,INDEX(E:E,7+INT((ROW()-8)/4)*2)-INDEX(E:E,6+INT((ROW()-8)/4)*2),IF(MOD(ROW()-8,4)=2,INDEX(E:E,7+INT((ROW()-8)/4)*2),INDEX(E:E,8+INT((ROW()-8)/4)*2))))</f>
      </c>
    </row>
    <row r="69" spans="1:20" s="17" customFormat="1" x14ac:dyDescent="0.25">
      <c r="A69" s="17"/>
      <c r="B69" s="48">
        <f t="array" ref="B69">-INDEX(A:A,ROUNDUP(ROW(A73)/2,0))</f>
        <v>0</v>
      </c>
      <c r="C69" s="48">
        <v>61</v>
      </c>
      <c r="E69" s="17"/>
      <c r="Q69" s="51">
        <f t="array" ref="Q69">IF(MOD(ROW()-8,4)=0,"",IF(MOD(ROW()-8,4)=1,INDEX(A:A,7+INT((ROW()-8)/4)*2)-INDEX(A:A,6+INT((ROW()-8)/4)*2),IF(MOD(ROW()-8,4)=2,INDEX(A:A,7+INT((ROW()-8)/4)*2),INDEX(A:A,8+INT((ROW()-8)/4)*2))))</f>
        <v>0</v>
      </c>
      <c r="R69" s="14">
        <f>IF(R70&lt;R68,(R70+R68)/2-0.3,0)</f>
        <v>0</v>
      </c>
      <c r="S69" s="14">
        <f>C69-IF(LEN(TEXT(Q69,"0"))=1,2.51,IF(LEN(TEXT(Q69,"0"))=2,2.62,2.82))</f>
        <v>58.49</v>
      </c>
      <c r="T69" s="13">
        <f t="array" ref="T69">IF(MOD(ROW()-8,4)=0,"",IF(MOD(ROW()-8,4)=1,INDEX(E:E,7+INT((ROW()-8)/4)*2)-INDEX(E:E,6+INT((ROW()-8)/4)*2),IF(MOD(ROW()-8,4)=2,INDEX(E:E,7+INT((ROW()-8)/4)*2),INDEX(E:E,8+INT((ROW()-8)/4)*2))))</f>
        <v>0</v>
      </c>
    </row>
    <row r="70" spans="1:20" s="17" customFormat="1" x14ac:dyDescent="0.25">
      <c r="A70" s="17"/>
      <c r="B70" s="48">
        <f t="array" ref="B70">-INDEX(A:A,ROUNDUP(ROW(A74)/2,0))</f>
        <v>0</v>
      </c>
      <c r="C70" s="48">
        <v>57</v>
      </c>
      <c r="E70" s="17"/>
      <c r="Q70" s="51">
        <f t="array" ref="Q70">IF(MOD(ROW()-8,4)=0,"",IF(MOD(ROW()-8,4)=1,INDEX(A:A,7+INT((ROW()-8)/4)*2)-INDEX(A:A,6+INT((ROW()-8)/4)*2),IF(MOD(ROW()-8,4)=2,INDEX(A:A,7+INT((ROW()-8)/4)*2),INDEX(A:A,8+INT((ROW()-8)/4)*2))))</f>
        <v>0</v>
      </c>
      <c r="R70" s="14">
        <f>B70</f>
        <v>0</v>
      </c>
      <c r="S70" s="14">
        <f>C70-IF(LEN(TEXT(Q70,"0"))=1,0.5,IF(LEN(TEXT(Q70,"0"))=2,0.61,0.81))</f>
        <v>56.5</v>
      </c>
      <c r="T70" s="13">
        <f t="array" ref="T70">IF(MOD(ROW()-8,4)=0,"",IF(MOD(ROW()-8,4)=1,INDEX(E:E,7+INT((ROW()-8)/4)*2)-INDEX(E:E,6+INT((ROW()-8)/4)*2),IF(MOD(ROW()-8,4)=2,INDEX(E:E,7+INT((ROW()-8)/4)*2),INDEX(E:E,8+INT((ROW()-8)/4)*2))))</f>
        <v>0</v>
      </c>
    </row>
    <row r="71" spans="1:20" s="17" customFormat="1" x14ac:dyDescent="0.25">
      <c r="A71" s="17"/>
      <c r="B71" s="48">
        <f t="array" ref="B71">-INDEX(A:A,ROUNDUP(ROW(A75)/2,0))</f>
        <v>0</v>
      </c>
      <c r="C71" s="48">
        <v>57</v>
      </c>
      <c r="E71" s="17"/>
      <c r="Q71" s="51">
        <f t="array" ref="Q71">IF(MOD(ROW()-8,4)=0,"",IF(MOD(ROW()-8,4)=1,INDEX(A:A,7+INT((ROW()-8)/4)*2)-INDEX(A:A,6+INT((ROW()-8)/4)*2),IF(MOD(ROW()-8,4)=2,INDEX(A:A,7+INT((ROW()-8)/4)*2),INDEX(A:A,8+INT((ROW()-8)/4)*2))))</f>
        <v>0</v>
      </c>
      <c r="R71" s="14">
        <f>B71-0.6</f>
        <v>-0.6</v>
      </c>
      <c r="S71" s="14">
        <f>C71-IF(LEN(TEXT(Q71,"0"))=1,0.5,IF(LEN(TEXT(Q71,"0"))=2,0.61,0.81))</f>
        <v>56.5</v>
      </c>
      <c r="T71" s="13">
        <f t="array" ref="T71">IF(MOD(ROW()-8,4)=0,"",IF(MOD(ROW()-8,4)=1,INDEX(E:E,7+INT((ROW()-8)/4)*2)-INDEX(E:E,6+INT((ROW()-8)/4)*2),IF(MOD(ROW()-8,4)=2,INDEX(E:E,7+INT((ROW()-8)/4)*2),INDEX(E:E,8+INT((ROW()-8)/4)*2))))</f>
        <v>0</v>
      </c>
    </row>
    <row r="72" spans="1:20" s="17" customFormat="1" x14ac:dyDescent="0.25">
      <c r="A72" s="17"/>
      <c r="B72" s="48">
        <f t="array" ref="B72">-INDEX(A:A,ROUNDUP(ROW(A76)/2,0))</f>
        <v>0</v>
      </c>
      <c r="C72" s="48">
        <v>61</v>
      </c>
      <c r="E72" s="17"/>
      <c r="Q72" s="51">
        <f t="array" ref="Q72">IF(MOD(ROW()-8,4)=0,"",IF(MOD(ROW()-8,4)=1,INDEX(A:A,7+INT((ROW()-8)/4)*2)-INDEX(A:A,6+INT((ROW()-8)/4)*2),IF(MOD(ROW()-8,4)=2,INDEX(A:A,7+INT((ROW()-8)/4)*2),INDEX(A:A,8+INT((ROW()-8)/4)*2))))</f>
      </c>
      <c r="R72" s="14">
        <f>B72</f>
        <v>0</v>
      </c>
      <c r="S72" s="14">
        <f>C72</f>
        <v>61</v>
      </c>
      <c r="T72" s="13">
        <f t="array" ref="T72">IF(MOD(ROW()-8,4)=0,"",IF(MOD(ROW()-8,4)=1,INDEX(E:E,7+INT((ROW()-8)/4)*2)-INDEX(E:E,6+INT((ROW()-8)/4)*2),IF(MOD(ROW()-8,4)=2,INDEX(E:E,7+INT((ROW()-8)/4)*2),INDEX(E:E,8+INT((ROW()-8)/4)*2))))</f>
      </c>
    </row>
    <row r="73" spans="1:20" s="17" customFormat="1" x14ac:dyDescent="0.25">
      <c r="A73" s="17"/>
      <c r="B73" s="48">
        <f t="array" ref="B73">-INDEX(A:A,ROUNDUP(ROW(A77)/2,0))</f>
        <v>0</v>
      </c>
      <c r="C73" s="48">
        <v>61</v>
      </c>
      <c r="E73" s="17"/>
      <c r="Q73" s="51">
        <f t="array" ref="Q73">IF(MOD(ROW()-8,4)=0,"",IF(MOD(ROW()-8,4)=1,INDEX(A:A,7+INT((ROW()-8)/4)*2)-INDEX(A:A,6+INT((ROW()-8)/4)*2),IF(MOD(ROW()-8,4)=2,INDEX(A:A,7+INT((ROW()-8)/4)*2),INDEX(A:A,8+INT((ROW()-8)/4)*2))))</f>
        <v>0</v>
      </c>
      <c r="R73" s="14">
        <f>IF(R74&lt;R72,(R74+R72)/2-0.3,0)</f>
        <v>0</v>
      </c>
      <c r="S73" s="14">
        <f>C73-IF(LEN(TEXT(Q73,"0"))=1,2.51,IF(LEN(TEXT(Q73,"0"))=2,2.62,2.82))</f>
        <v>58.49</v>
      </c>
      <c r="T73" s="13">
        <f t="array" ref="T73">IF(MOD(ROW()-8,4)=0,"",IF(MOD(ROW()-8,4)=1,INDEX(E:E,7+INT((ROW()-8)/4)*2)-INDEX(E:E,6+INT((ROW()-8)/4)*2),IF(MOD(ROW()-8,4)=2,INDEX(E:E,7+INT((ROW()-8)/4)*2),INDEX(E:E,8+INT((ROW()-8)/4)*2))))</f>
        <v>0</v>
      </c>
    </row>
    <row r="74" spans="1:20" s="17" customFormat="1" x14ac:dyDescent="0.25">
      <c r="A74" s="17"/>
      <c r="B74" s="48">
        <f t="array" ref="B74">-INDEX(A:A,ROUNDUP(ROW(A78)/2,0))</f>
        <v>0</v>
      </c>
      <c r="C74" s="48">
        <v>57</v>
      </c>
      <c r="E74" s="17"/>
      <c r="Q74" s="51">
        <f t="array" ref="Q74">IF(MOD(ROW()-8,4)=0,"",IF(MOD(ROW()-8,4)=1,INDEX(A:A,7+INT((ROW()-8)/4)*2)-INDEX(A:A,6+INT((ROW()-8)/4)*2),IF(MOD(ROW()-8,4)=2,INDEX(A:A,7+INT((ROW()-8)/4)*2),INDEX(A:A,8+INT((ROW()-8)/4)*2))))</f>
        <v>0</v>
      </c>
      <c r="R74" s="14">
        <f>B74</f>
        <v>0</v>
      </c>
      <c r="S74" s="14">
        <f>C74-IF(LEN(TEXT(Q74,"0"))=1,0.5,IF(LEN(TEXT(Q74,"0"))=2,0.61,0.81))</f>
        <v>56.5</v>
      </c>
      <c r="T74" s="13">
        <f t="array" ref="T74">IF(MOD(ROW()-8,4)=0,"",IF(MOD(ROW()-8,4)=1,INDEX(E:E,7+INT((ROW()-8)/4)*2)-INDEX(E:E,6+INT((ROW()-8)/4)*2),IF(MOD(ROW()-8,4)=2,INDEX(E:E,7+INT((ROW()-8)/4)*2),INDEX(E:E,8+INT((ROW()-8)/4)*2))))</f>
        <v>0</v>
      </c>
    </row>
    <row r="75" spans="1:20" s="17" customFormat="1" x14ac:dyDescent="0.25">
      <c r="A75" s="17"/>
      <c r="B75" s="48">
        <f t="array" ref="B75">-INDEX(A:A,ROUNDUP(ROW(A79)/2,0))</f>
        <v>0</v>
      </c>
      <c r="C75" s="48">
        <v>57</v>
      </c>
      <c r="E75" s="17"/>
      <c r="Q75" s="51">
        <f t="array" ref="Q75">IF(MOD(ROW()-8,4)=0,"",IF(MOD(ROW()-8,4)=1,INDEX(A:A,7+INT((ROW()-8)/4)*2)-INDEX(A:A,6+INT((ROW()-8)/4)*2),IF(MOD(ROW()-8,4)=2,INDEX(A:A,7+INT((ROW()-8)/4)*2),INDEX(A:A,8+INT((ROW()-8)/4)*2))))</f>
        <v>0</v>
      </c>
      <c r="R75" s="14">
        <f>IF(R76&lt;R74,(R76+R74)/2-0.3,0)</f>
        <v>0</v>
      </c>
      <c r="S75" s="14">
        <f>C75-IF(LEN(TEXT(Q75,"0"))=1,0.5,IF(LEN(TEXT(Q75,"0"))=2,0.61,0.81))</f>
        <v>56.5</v>
      </c>
      <c r="T75" s="13">
        <f t="array" ref="T75">IF(MOD(ROW()-8,4)=0,"",IF(MOD(ROW()-8,4)=1,INDEX(E:E,7+INT((ROW()-8)/4)*2)-INDEX(E:E,6+INT((ROW()-8)/4)*2),IF(MOD(ROW()-8,4)=2,INDEX(E:E,7+INT((ROW()-8)/4)*2),INDEX(E:E,8+INT((ROW()-8)/4)*2))))</f>
        <v>0</v>
      </c>
    </row>
    <row r="76" spans="1:20" s="17" customFormat="1" x14ac:dyDescent="0.25">
      <c r="A76" s="17"/>
      <c r="B76" s="48">
        <f t="array" ref="B76">-INDEX(A:A,ROUNDUP(ROW(A80)/2,0))</f>
        <v>0</v>
      </c>
      <c r="C76" s="48">
        <v>61</v>
      </c>
      <c r="E76" s="17"/>
      <c r="Q76" s="51">
        <f t="array" ref="Q76">IF(MOD(ROW()-8,4)=0,"",IF(MOD(ROW()-8,4)=1,INDEX(A:A,7+INT((ROW()-8)/4)*2)-INDEX(A:A,6+INT((ROW()-8)/4)*2),IF(MOD(ROW()-8,4)=2,INDEX(A:A,7+INT((ROW()-8)/4)*2),INDEX(A:A,8+INT((ROW()-8)/4)*2))))</f>
      </c>
      <c r="R76" s="14">
        <f>B76</f>
        <v>0</v>
      </c>
      <c r="S76" s="14">
        <f>C76</f>
        <v>61</v>
      </c>
      <c r="T76" s="13">
        <f t="array" ref="T76">IF(MOD(ROW()-8,4)=0,"",IF(MOD(ROW()-8,4)=1,INDEX(E:E,7+INT((ROW()-8)/4)*2)-INDEX(E:E,6+INT((ROW()-8)/4)*2),IF(MOD(ROW()-8,4)=2,INDEX(E:E,7+INT((ROW()-8)/4)*2),INDEX(E:E,8+INT((ROW()-8)/4)*2))))</f>
      </c>
    </row>
    <row r="77" spans="1:20" s="17" customFormat="1" x14ac:dyDescent="0.25">
      <c r="A77" s="17"/>
      <c r="B77" s="48">
        <f t="array" ref="B77">-INDEX(A:A,ROUNDUP(ROW(A81)/2,0))</f>
        <v>0</v>
      </c>
      <c r="C77" s="48">
        <v>61</v>
      </c>
      <c r="E77" s="17"/>
      <c r="Q77" s="51">
        <f t="array" ref="Q77">IF(MOD(ROW()-8,4)=0,"",IF(MOD(ROW()-8,4)=1,INDEX(A:A,7+INT((ROW()-8)/4)*2)-INDEX(A:A,6+INT((ROW()-8)/4)*2),IF(MOD(ROW()-8,4)=2,INDEX(A:A,7+INT((ROW()-8)/4)*2),INDEX(A:A,8+INT((ROW()-8)/4)*2))))</f>
        <v>0</v>
      </c>
      <c r="R77" s="14">
        <f>B77-0.6</f>
        <v>-0.6</v>
      </c>
      <c r="S77" s="14">
        <f>C77-IF(LEN(TEXT(Q77,"0"))=1,2.51,IF(LEN(TEXT(Q77,"0"))=2,2.62,2.82))</f>
        <v>58.49</v>
      </c>
      <c r="T77" s="13">
        <f t="array" ref="T77">IF(MOD(ROW()-8,4)=0,"",IF(MOD(ROW()-8,4)=1,INDEX(E:E,7+INT((ROW()-8)/4)*2)-INDEX(E:E,6+INT((ROW()-8)/4)*2),IF(MOD(ROW()-8,4)=2,INDEX(E:E,7+INT((ROW()-8)/4)*2),INDEX(E:E,8+INT((ROW()-8)/4)*2))))</f>
        <v>0</v>
      </c>
    </row>
    <row r="78" spans="1:20" s="17" customFormat="1" x14ac:dyDescent="0.25">
      <c r="A78" s="17"/>
      <c r="B78" s="48">
        <f t="array" ref="B78">-INDEX(A:A,ROUNDUP(ROW(A82)/2,0))</f>
        <v>0</v>
      </c>
      <c r="C78" s="48">
        <v>57</v>
      </c>
      <c r="E78" s="17"/>
      <c r="Q78" s="51">
        <f t="array" ref="Q78">IF(MOD(ROW()-8,4)=0,"",IF(MOD(ROW()-8,4)=1,INDEX(A:A,7+INT((ROW()-8)/4)*2)-INDEX(A:A,6+INT((ROW()-8)/4)*2),IF(MOD(ROW()-8,4)=2,INDEX(A:A,7+INT((ROW()-8)/4)*2),INDEX(A:A,8+INT((ROW()-8)/4)*2))))</f>
        <v>0</v>
      </c>
      <c r="R78" s="14">
        <f>B78</f>
        <v>0</v>
      </c>
      <c r="S78" s="14">
        <f>C78-IF(LEN(TEXT(Q78,"0"))=1,0.5,IF(LEN(TEXT(Q78,"0"))=2,0.61,0.81))</f>
        <v>56.5</v>
      </c>
      <c r="T78" s="13">
        <f t="array" ref="T78">IF(MOD(ROW()-8,4)=0,"",IF(MOD(ROW()-8,4)=1,INDEX(E:E,7+INT((ROW()-8)/4)*2)-INDEX(E:E,6+INT((ROW()-8)/4)*2),IF(MOD(ROW()-8,4)=2,INDEX(E:E,7+INT((ROW()-8)/4)*2),INDEX(E:E,8+INT((ROW()-8)/4)*2))))</f>
        <v>0</v>
      </c>
    </row>
    <row r="79" spans="1:20" s="17" customFormat="1" x14ac:dyDescent="0.25">
      <c r="A79" s="17"/>
      <c r="B79" s="48">
        <f t="array" ref="B79">-INDEX(A:A,ROUNDUP(ROW(A83)/2,0))</f>
        <v>0</v>
      </c>
      <c r="C79" s="48">
        <v>57</v>
      </c>
      <c r="E79" s="17"/>
      <c r="Q79" s="51">
        <f t="array" ref="Q79">IF(MOD(ROW()-8,4)=0,"",IF(MOD(ROW()-8,4)=1,INDEX(A:A,7+INT((ROW()-8)/4)*2)-INDEX(A:A,6+INT((ROW()-8)/4)*2),IF(MOD(ROW()-8,4)=2,INDEX(A:A,7+INT((ROW()-8)/4)*2),INDEX(A:A,8+INT((ROW()-8)/4)*2))))</f>
        <v>0</v>
      </c>
      <c r="R79" s="14">
        <f>IF(R80&lt;R78,(R80+R78)/2-0.3,0)</f>
        <v>0</v>
      </c>
      <c r="S79" s="14">
        <f>C79-IF(LEN(TEXT(Q79,"0"))=1,0.5,IF(LEN(TEXT(Q79,"0"))=2,0.61,0.81))</f>
        <v>56.5</v>
      </c>
      <c r="T79" s="13">
        <f t="array" ref="T79">IF(MOD(ROW()-8,4)=0,"",IF(MOD(ROW()-8,4)=1,INDEX(E:E,7+INT((ROW()-8)/4)*2)-INDEX(E:E,6+INT((ROW()-8)/4)*2),IF(MOD(ROW()-8,4)=2,INDEX(E:E,7+INT((ROW()-8)/4)*2),INDEX(E:E,8+INT((ROW()-8)/4)*2))))</f>
        <v>0</v>
      </c>
    </row>
    <row r="80" spans="1:20" s="17" customFormat="1" x14ac:dyDescent="0.25">
      <c r="A80" s="17"/>
      <c r="B80" s="48">
        <f t="array" ref="B80">-INDEX(A:A,ROUNDUP(ROW(A84)/2,0))</f>
        <v>0</v>
      </c>
      <c r="C80" s="48">
        <v>61</v>
      </c>
      <c r="E80" s="17"/>
      <c r="Q80" s="51">
        <f t="array" ref="Q80">IF(MOD(ROW()-8,4)=0,"",IF(MOD(ROW()-8,4)=1,INDEX(A:A,7+INT((ROW()-8)/4)*2)-INDEX(A:A,6+INT((ROW()-8)/4)*2),IF(MOD(ROW()-8,4)=2,INDEX(A:A,7+INT((ROW()-8)/4)*2),INDEX(A:A,8+INT((ROW()-8)/4)*2))))</f>
      </c>
      <c r="R80" s="14">
        <f>B80</f>
        <v>0</v>
      </c>
      <c r="S80" s="14">
        <f>C80</f>
        <v>61</v>
      </c>
      <c r="T80" s="13">
        <f t="array" ref="T80">IF(MOD(ROW()-8,4)=0,"",IF(MOD(ROW()-8,4)=1,INDEX(E:E,7+INT((ROW()-8)/4)*2)-INDEX(E:E,6+INT((ROW()-8)/4)*2),IF(MOD(ROW()-8,4)=2,INDEX(E:E,7+INT((ROW()-8)/4)*2),INDEX(E:E,8+INT((ROW()-8)/4)*2))))</f>
      </c>
    </row>
    <row r="81" spans="1:20" s="17" customFormat="1" x14ac:dyDescent="0.25">
      <c r="A81" s="17"/>
      <c r="E81" s="17"/>
      <c r="Q81" s="51">
        <f t="array" ref="Q81">IF(MOD(ROW()-8,4)=0,"",IF(MOD(ROW()-8,4)=1,INDEX(A:A,7+INT((ROW()-8)/4)*2)-INDEX(A:A,6+INT((ROW()-8)/4)*2),IF(MOD(ROW()-8,4)=2,INDEX(A:A,7+INT((ROW()-8)/4)*2),INDEX(A:A,8+INT((ROW()-8)/4)*2))))</f>
        <v>0</v>
      </c>
      <c r="R81" s="14">
        <f>IF(R82&lt;R80,(R82+R80)/2-0.3,0)</f>
        <v>0</v>
      </c>
      <c r="S81" s="14">
        <f>C81-IF(LEN(TEXT(Q81,"0"))=1,2.51,IF(LEN(TEXT(Q81,"0"))=2,2.62,2.82))</f>
        <v>-2.51</v>
      </c>
      <c r="T81" s="13">
        <f t="array" ref="T81">IF(MOD(ROW()-8,4)=0,"",IF(MOD(ROW()-8,4)=1,INDEX(E:E,7+INT((ROW()-8)/4)*2)-INDEX(E:E,6+INT((ROW()-8)/4)*2),IF(MOD(ROW()-8,4)=2,INDEX(E:E,7+INT((ROW()-8)/4)*2),INDEX(E:E,8+INT((ROW()-8)/4)*2))))</f>
        <v>0</v>
      </c>
    </row>
    <row r="82" spans="1:20" s="17" customFormat="1" x14ac:dyDescent="0.25">
      <c r="A82" s="17"/>
      <c r="E82" s="17"/>
      <c r="Q82" s="51">
        <f t="array" ref="Q82">IF(MOD(ROW()-8,4)=0,"",IF(MOD(ROW()-8,4)=1,INDEX(A:A,7+INT((ROW()-8)/4)*2)-INDEX(A:A,6+INT((ROW()-8)/4)*2),IF(MOD(ROW()-8,4)=2,INDEX(A:A,7+INT((ROW()-8)/4)*2),INDEX(A:A,8+INT((ROW()-8)/4)*2))))</f>
        <v>0</v>
      </c>
      <c r="R82" s="14">
        <f>B82</f>
        <v>0</v>
      </c>
      <c r="S82" s="14">
        <f>C82-IF(LEN(TEXT(Q82,"0"))=1,0.5,IF(LEN(TEXT(Q82,"0"))=2,0.61,0.81))</f>
        <v>-0.5</v>
      </c>
      <c r="T82" s="13">
        <f t="array" ref="T82">IF(MOD(ROW()-8,4)=0,"",IF(MOD(ROW()-8,4)=1,INDEX(E:E,7+INT((ROW()-8)/4)*2)-INDEX(E:E,6+INT((ROW()-8)/4)*2),IF(MOD(ROW()-8,4)=2,INDEX(E:E,7+INT((ROW()-8)/4)*2),INDEX(E:E,8+INT((ROW()-8)/4)*2))))</f>
        <v>0</v>
      </c>
    </row>
    <row r="83" spans="1:20" s="17" customFormat="1" x14ac:dyDescent="0.25">
      <c r="A83" s="17"/>
      <c r="E83" s="17"/>
      <c r="Q83" s="51">
        <f t="array" ref="Q83">IF(MOD(ROW()-8,4)=0,"",IF(MOD(ROW()-8,4)=1,INDEX(A:A,7+INT((ROW()-8)/4)*2)-INDEX(A:A,6+INT((ROW()-8)/4)*2),IF(MOD(ROW()-8,4)=2,INDEX(A:A,7+INT((ROW()-8)/4)*2),INDEX(A:A,8+INT((ROW()-8)/4)*2))))</f>
        <v>0</v>
      </c>
      <c r="R83" s="14">
        <f>B83-0.6</f>
        <v>-0.6</v>
      </c>
      <c r="S83" s="14">
        <f>C83-IF(LEN(TEXT(Q83,"0"))=1,0.5,IF(LEN(TEXT(Q83,"0"))=2,0.61,0.81))</f>
        <v>-0.5</v>
      </c>
      <c r="T83" s="13">
        <f t="array" ref="T83">IF(MOD(ROW()-8,4)=0,"",IF(MOD(ROW()-8,4)=1,INDEX(E:E,7+INT((ROW()-8)/4)*2)-INDEX(E:E,6+INT((ROW()-8)/4)*2),IF(MOD(ROW()-8,4)=2,INDEX(E:E,7+INT((ROW()-8)/4)*2),INDEX(E:E,8+INT((ROW()-8)/4)*2))))</f>
        <v>0</v>
      </c>
    </row>
    <row r="84" spans="1:20" s="17" customFormat="1" x14ac:dyDescent="0.25">
      <c r="A84" s="17"/>
      <c r="E84" s="17"/>
      <c r="Q84" s="51">
        <f t="array" ref="Q84">IF(MOD(ROW()-8,4)=0,"",IF(MOD(ROW()-8,4)=1,INDEX(A:A,7+INT((ROW()-8)/4)*2)-INDEX(A:A,6+INT((ROW()-8)/4)*2),IF(MOD(ROW()-8,4)=2,INDEX(A:A,7+INT((ROW()-8)/4)*2),INDEX(A:A,8+INT((ROW()-8)/4)*2))))</f>
      </c>
      <c r="R84" s="14">
        <f>B84</f>
        <v>0</v>
      </c>
      <c r="S84" s="14">
        <f>C84</f>
        <v>0</v>
      </c>
      <c r="T84" s="13">
        <f t="array" ref="T84">IF(MOD(ROW()-8,4)=0,"",IF(MOD(ROW()-8,4)=1,INDEX(E:E,7+INT((ROW()-8)/4)*2)-INDEX(E:E,6+INT((ROW()-8)/4)*2),IF(MOD(ROW()-8,4)=2,INDEX(E:E,7+INT((ROW()-8)/4)*2),INDEX(E:E,8+INT((ROW()-8)/4)*2))))</f>
      </c>
    </row>
    <row r="85" spans="1:20" s="17" customFormat="1" x14ac:dyDescent="0.25">
      <c r="A85" s="17"/>
      <c r="E85" s="17"/>
      <c r="Q85" s="19"/>
      <c r="T85" s="13"/>
    </row>
    <row r="86" spans="1:20" s="17" customFormat="1" x14ac:dyDescent="0.25">
      <c r="A86" s="17"/>
      <c r="E86" s="17"/>
      <c r="Q86" s="19"/>
      <c r="T86" s="13"/>
    </row>
    <row r="87" spans="1:20" s="17" customFormat="1" x14ac:dyDescent="0.25">
      <c r="A87" s="17"/>
      <c r="E87" s="17"/>
      <c r="Q87" s="19"/>
      <c r="T87" s="13"/>
    </row>
    <row r="88" spans="1:20" s="17" customFormat="1" x14ac:dyDescent="0.25">
      <c r="A88" s="17"/>
      <c r="E88" s="17"/>
      <c r="Q88" s="19"/>
      <c r="T88" s="13"/>
    </row>
    <row r="89" spans="1:20" s="17" customFormat="1" x14ac:dyDescent="0.25">
      <c r="A89" s="17"/>
      <c r="E89" s="17"/>
      <c r="Q89" s="19"/>
      <c r="T89" s="13"/>
    </row>
    <row r="90" spans="1:20" s="17" customFormat="1" x14ac:dyDescent="0.25">
      <c r="A90" s="17"/>
      <c r="E90" s="17"/>
      <c r="Q90" s="19"/>
      <c r="T90" s="13"/>
    </row>
    <row r="91" spans="1:20" s="17" customFormat="1" x14ac:dyDescent="0.25">
      <c r="A91" s="17"/>
      <c r="E91" s="17"/>
      <c r="Q91" s="19"/>
      <c r="T91" s="13"/>
    </row>
    <row r="92" spans="1:20" s="17" customFormat="1" x14ac:dyDescent="0.25">
      <c r="A92" s="17"/>
      <c r="E92" s="17"/>
      <c r="Q92" s="19"/>
      <c r="T92" s="13"/>
    </row>
    <row r="93" spans="1:20" s="17" customFormat="1" x14ac:dyDescent="0.25">
      <c r="A93" s="17"/>
      <c r="E93" s="17"/>
      <c r="Q93" s="19"/>
      <c r="T93" s="13"/>
    </row>
    <row r="94" spans="1:20" s="17" customFormat="1" x14ac:dyDescent="0.25">
      <c r="A94" s="17"/>
      <c r="E94" s="17"/>
      <c r="Q94" s="19"/>
      <c r="T94" s="13"/>
    </row>
    <row r="95" spans="1:20" s="17" customFormat="1" x14ac:dyDescent="0.25">
      <c r="A95" s="17"/>
      <c r="E95" s="17"/>
      <c r="Q95" s="19"/>
      <c r="T95" s="13"/>
    </row>
    <row r="96" spans="1:20" s="17" customFormat="1" x14ac:dyDescent="0.25">
      <c r="A96" s="17"/>
      <c r="E96" s="17"/>
      <c r="Q96" s="19"/>
      <c r="T96" s="13"/>
    </row>
    <row r="97" spans="1:20" s="17" customFormat="1" x14ac:dyDescent="0.25">
      <c r="A97" s="17"/>
      <c r="E97" s="17"/>
      <c r="Q97" s="19"/>
      <c r="T97" s="13"/>
    </row>
    <row r="98" spans="1:20" s="17" customFormat="1" x14ac:dyDescent="0.25">
      <c r="A98" s="17"/>
      <c r="E98" s="17"/>
      <c r="Q98" s="19"/>
      <c r="T98" s="13"/>
    </row>
    <row r="99" spans="1:20" s="17" customFormat="1" x14ac:dyDescent="0.25">
      <c r="A99" s="17"/>
      <c r="E99" s="17"/>
      <c r="Q99" s="19"/>
      <c r="T99" s="13"/>
    </row>
    <row r="100" spans="1:20" s="17" customFormat="1" x14ac:dyDescent="0.25">
      <c r="A100" s="17"/>
      <c r="E100" s="17"/>
      <c r="Q100" s="19"/>
      <c r="T100" s="13"/>
    </row>
    <row r="101" spans="1:20" s="17" customFormat="1" x14ac:dyDescent="0.25">
      <c r="A101" s="17"/>
      <c r="E101" s="17"/>
      <c r="Q101" s="19"/>
      <c r="T101" s="13"/>
    </row>
    <row r="102" spans="1:20" s="17" customFormat="1" x14ac:dyDescent="0.25">
      <c r="A102" s="17"/>
      <c r="E102" s="17"/>
      <c r="Q102" s="19"/>
      <c r="T102" s="13"/>
    </row>
    <row r="103" spans="1:20" s="17" customFormat="1" x14ac:dyDescent="0.25">
      <c r="A103" s="17"/>
      <c r="E103" s="17"/>
      <c r="Q103" s="19"/>
      <c r="T103" s="13"/>
    </row>
    <row r="104" spans="1:20" s="17" customFormat="1" x14ac:dyDescent="0.25">
      <c r="A104" s="17"/>
      <c r="E104" s="17"/>
      <c r="Q104" s="19"/>
      <c r="T104" s="13"/>
    </row>
    <row r="105" spans="1:20" s="17" customFormat="1" x14ac:dyDescent="0.25">
      <c r="A105" s="17"/>
      <c r="E105" s="17"/>
      <c r="Q105" s="19"/>
      <c r="T105" s="13"/>
    </row>
    <row r="106" spans="1:20" s="17" customFormat="1" x14ac:dyDescent="0.25">
      <c r="A106" s="17"/>
      <c r="E106" s="17"/>
      <c r="Q106" s="19"/>
      <c r="T106" s="13"/>
    </row>
    <row r="107" spans="1:20" s="17" customFormat="1" x14ac:dyDescent="0.25">
      <c r="A107" s="17"/>
      <c r="E107" s="17"/>
      <c r="Q107" s="19"/>
      <c r="T107" s="13"/>
    </row>
    <row r="108" spans="1:20" s="17" customFormat="1" x14ac:dyDescent="0.25">
      <c r="A108" s="17"/>
      <c r="E108" s="17"/>
      <c r="Q108" s="19"/>
      <c r="T108" s="13"/>
    </row>
    <row r="109" spans="1:20" s="17" customFormat="1" x14ac:dyDescent="0.25">
      <c r="A109" s="17"/>
      <c r="E109" s="17"/>
      <c r="Q109" s="19"/>
      <c r="T109" s="13"/>
    </row>
    <row r="110" spans="1:20" s="17" customFormat="1" x14ac:dyDescent="0.25">
      <c r="A110" s="17"/>
      <c r="E110" s="17"/>
      <c r="Q110" s="19"/>
      <c r="T110" s="13"/>
    </row>
    <row r="111" spans="1:20" s="17" customFormat="1" x14ac:dyDescent="0.25">
      <c r="A111" s="17"/>
      <c r="E111" s="17"/>
      <c r="Q111" s="19"/>
      <c r="T111" s="13"/>
    </row>
    <row r="112" spans="1:20" s="17" customFormat="1" x14ac:dyDescent="0.25">
      <c r="A112" s="17"/>
      <c r="E112" s="17"/>
      <c r="Q112" s="19"/>
      <c r="T112" s="13"/>
    </row>
    <row r="113" spans="1:20" s="17" customFormat="1" x14ac:dyDescent="0.25">
      <c r="A113" s="17"/>
      <c r="E113" s="17"/>
      <c r="Q113" s="19"/>
      <c r="T113" s="13"/>
    </row>
    <row r="114" spans="1:20" s="17" customFormat="1" x14ac:dyDescent="0.25">
      <c r="A114" s="17"/>
      <c r="E114" s="17"/>
      <c r="Q114" s="19"/>
      <c r="T114" s="13"/>
    </row>
    <row r="115" spans="1:20" s="17" customFormat="1" x14ac:dyDescent="0.25">
      <c r="A115" s="17"/>
      <c r="E115" s="17"/>
      <c r="Q115" s="19"/>
      <c r="T115" s="13"/>
    </row>
    <row r="116" spans="1:20" s="17" customFormat="1" x14ac:dyDescent="0.25">
      <c r="A116" s="17"/>
      <c r="E116" s="17"/>
      <c r="Q116" s="19"/>
      <c r="T116" s="13"/>
    </row>
    <row r="117" spans="1:20" s="17" customFormat="1" x14ac:dyDescent="0.25">
      <c r="A117" s="17"/>
      <c r="E117" s="17"/>
      <c r="Q117" s="19"/>
      <c r="T117" s="13"/>
    </row>
    <row r="118" spans="1:20" s="17" customFormat="1" x14ac:dyDescent="0.25">
      <c r="A118" s="17"/>
      <c r="E118" s="17"/>
      <c r="Q118" s="19"/>
      <c r="T118" s="13"/>
    </row>
    <row r="119" spans="1:20" s="17" customFormat="1" x14ac:dyDescent="0.25">
      <c r="A119" s="17"/>
      <c r="E119" s="17"/>
      <c r="Q119" s="19"/>
      <c r="T119" s="13"/>
    </row>
    <row r="120" spans="1:20" s="17" customFormat="1" x14ac:dyDescent="0.25">
      <c r="A120" s="17"/>
      <c r="E120" s="17"/>
      <c r="Q120" s="19"/>
      <c r="T120" s="13"/>
    </row>
    <row r="121" spans="1:20" s="17" customFormat="1" x14ac:dyDescent="0.25">
      <c r="A121" s="17"/>
      <c r="E121" s="17"/>
      <c r="Q121" s="19"/>
      <c r="T121" s="13"/>
    </row>
    <row r="122" spans="1:20" s="17" customFormat="1" x14ac:dyDescent="0.25">
      <c r="A122" s="17"/>
      <c r="E122" s="17"/>
      <c r="Q122" s="19"/>
      <c r="T122" s="13"/>
    </row>
    <row r="123" spans="1:20" s="17" customFormat="1" x14ac:dyDescent="0.25">
      <c r="A123" s="17"/>
      <c r="E123" s="17"/>
      <c r="Q123" s="19"/>
      <c r="T123" s="13"/>
    </row>
    <row r="124" spans="1:20" s="17" customFormat="1" x14ac:dyDescent="0.25">
      <c r="A124" s="17"/>
      <c r="E124" s="17"/>
      <c r="Q124" s="19"/>
      <c r="T124" s="13"/>
    </row>
    <row r="125" spans="1:20" s="17" customFormat="1" x14ac:dyDescent="0.25">
      <c r="A125" s="17"/>
      <c r="E125" s="17"/>
      <c r="Q125" s="19"/>
      <c r="T125" s="13"/>
    </row>
    <row r="126" spans="1:20" s="17" customFormat="1" x14ac:dyDescent="0.25">
      <c r="A126" s="17"/>
      <c r="E126" s="17"/>
      <c r="Q126" s="19"/>
      <c r="T126" s="13"/>
    </row>
    <row r="127" spans="1:20" s="17" customFormat="1" x14ac:dyDescent="0.25">
      <c r="A127" s="17"/>
      <c r="E127" s="17"/>
      <c r="Q127" s="19"/>
      <c r="T127" s="13"/>
    </row>
    <row r="128" spans="1:20" s="17" customFormat="1" x14ac:dyDescent="0.25">
      <c r="A128" s="17"/>
      <c r="E128" s="17"/>
      <c r="Q128" s="19"/>
      <c r="T128" s="13"/>
    </row>
    <row r="129" spans="1:20" s="17" customFormat="1" x14ac:dyDescent="0.25">
      <c r="A129" s="17"/>
      <c r="E129" s="17"/>
      <c r="Q129" s="19"/>
      <c r="T129" s="13"/>
    </row>
    <row r="130" spans="1:20" s="17" customFormat="1" x14ac:dyDescent="0.25">
      <c r="A130" s="17"/>
      <c r="E130" s="17"/>
      <c r="Q130" s="19"/>
      <c r="T130" s="13"/>
    </row>
    <row r="131" spans="1:20" s="17" customFormat="1" x14ac:dyDescent="0.25">
      <c r="A131" s="17"/>
      <c r="E131" s="17"/>
      <c r="Q131" s="19"/>
      <c r="T131" s="13"/>
    </row>
    <row r="132" spans="1:20" s="17" customFormat="1" x14ac:dyDescent="0.25">
      <c r="A132" s="17"/>
      <c r="E132" s="17"/>
      <c r="Q132" s="19"/>
      <c r="T132" s="13"/>
    </row>
    <row r="133" spans="1:20" s="17" customFormat="1" x14ac:dyDescent="0.25">
      <c r="A133" s="17"/>
      <c r="E133" s="17"/>
      <c r="Q133" s="19"/>
      <c r="T133" s="13"/>
    </row>
    <row r="134" spans="1:20" s="17" customFormat="1" x14ac:dyDescent="0.25">
      <c r="A134" s="17"/>
      <c r="E134" s="17"/>
      <c r="Q134" s="19"/>
      <c r="T134" s="13"/>
    </row>
    <row r="135" spans="1:20" s="17" customFormat="1" x14ac:dyDescent="0.25">
      <c r="A135" s="17"/>
      <c r="E135" s="17"/>
      <c r="Q135" s="19"/>
      <c r="T135" s="13"/>
    </row>
    <row r="136" spans="1:20" s="17" customFormat="1" x14ac:dyDescent="0.25">
      <c r="A136" s="17"/>
      <c r="E136" s="17"/>
      <c r="Q136" s="19"/>
      <c r="T136" s="13"/>
    </row>
    <row r="137" spans="1:20" s="17" customFormat="1" x14ac:dyDescent="0.25">
      <c r="A137" s="17"/>
      <c r="E137" s="17"/>
      <c r="Q137" s="19"/>
      <c r="T137" s="13"/>
    </row>
    <row r="138" spans="1:20" s="17" customFormat="1" x14ac:dyDescent="0.25">
      <c r="A138" s="17"/>
      <c r="E138" s="17"/>
      <c r="Q138" s="19"/>
      <c r="T138" s="13"/>
    </row>
    <row r="139" spans="1:20" s="17" customFormat="1" x14ac:dyDescent="0.25">
      <c r="A139" s="17"/>
      <c r="E139" s="17"/>
      <c r="Q139" s="19"/>
      <c r="T139" s="13"/>
    </row>
    <row r="140" spans="1:20" s="17" customFormat="1" x14ac:dyDescent="0.25">
      <c r="A140" s="17"/>
      <c r="E140" s="17"/>
      <c r="Q140" s="19"/>
      <c r="T140" s="13"/>
    </row>
    <row r="141" spans="1:20" s="17" customFormat="1" x14ac:dyDescent="0.25">
      <c r="A141" s="17"/>
      <c r="E141" s="17"/>
      <c r="Q141" s="19"/>
      <c r="T141" s="13"/>
    </row>
    <row r="142" spans="1:20" s="17" customFormat="1" x14ac:dyDescent="0.25">
      <c r="A142" s="17"/>
      <c r="E142" s="17"/>
      <c r="Q142" s="19"/>
      <c r="T142" s="13"/>
    </row>
    <row r="143" spans="1:20" s="17" customFormat="1" x14ac:dyDescent="0.25">
      <c r="A143" s="17"/>
      <c r="E143" s="17"/>
      <c r="Q143" s="19"/>
      <c r="T143" s="13"/>
    </row>
    <row r="144" spans="1:20" s="17" customFormat="1" x14ac:dyDescent="0.25">
      <c r="A144" s="17"/>
      <c r="E144" s="17"/>
      <c r="Q144" s="19"/>
      <c r="T144" s="13"/>
    </row>
    <row r="145" spans="1:20" s="17" customFormat="1" x14ac:dyDescent="0.25">
      <c r="A145" s="17"/>
      <c r="E145" s="17"/>
      <c r="Q145" s="19"/>
      <c r="T145" s="13"/>
    </row>
    <row r="146" spans="1:20" s="17" customFormat="1" x14ac:dyDescent="0.25">
      <c r="A146" s="17"/>
      <c r="E146" s="17"/>
      <c r="Q146" s="19"/>
      <c r="T146" s="13"/>
    </row>
    <row r="147" spans="1:20" s="17" customFormat="1" x14ac:dyDescent="0.25">
      <c r="A147" s="17"/>
      <c r="E147" s="17"/>
      <c r="Q147" s="19"/>
      <c r="T147" s="13"/>
    </row>
    <row r="148" spans="1:20" s="17" customFormat="1" x14ac:dyDescent="0.25">
      <c r="A148" s="17"/>
      <c r="E148" s="17"/>
      <c r="Q148" s="19"/>
      <c r="T148" s="13"/>
    </row>
    <row r="149" spans="1:20" s="17" customFormat="1" x14ac:dyDescent="0.25">
      <c r="A149" s="17"/>
      <c r="E149" s="17"/>
      <c r="Q149" s="19"/>
      <c r="T149" s="13"/>
    </row>
    <row r="150" spans="1:20" s="17" customFormat="1" x14ac:dyDescent="0.25">
      <c r="A150" s="17"/>
      <c r="E150" s="17"/>
      <c r="Q150" s="19"/>
      <c r="T150" s="13"/>
    </row>
    <row r="151" spans="1:20" s="17" customFormat="1" x14ac:dyDescent="0.25">
      <c r="A151" s="17"/>
      <c r="E151" s="17"/>
      <c r="Q151" s="19"/>
      <c r="T151" s="13"/>
    </row>
    <row r="152" spans="1:20" s="17" customFormat="1" x14ac:dyDescent="0.25">
      <c r="A152" s="17"/>
      <c r="E152" s="17"/>
      <c r="Q152" s="19"/>
      <c r="T152" s="13"/>
    </row>
    <row r="153" spans="1:20" s="17" customFormat="1" x14ac:dyDescent="0.25">
      <c r="A153" s="17"/>
      <c r="E153" s="17"/>
      <c r="Q153" s="19"/>
      <c r="T153" s="13"/>
    </row>
    <row r="154" spans="1:20" s="17" customFormat="1" x14ac:dyDescent="0.25">
      <c r="A154" s="17"/>
      <c r="E154" s="17"/>
      <c r="Q154" s="19"/>
      <c r="T154" s="13"/>
    </row>
    <row r="155" spans="1:20" s="17" customFormat="1" x14ac:dyDescent="0.25">
      <c r="A155" s="17"/>
      <c r="E155" s="17"/>
      <c r="Q155" s="19"/>
      <c r="T155" s="13"/>
    </row>
    <row r="156" spans="1:20" s="17" customFormat="1" x14ac:dyDescent="0.25">
      <c r="A156" s="17"/>
      <c r="E156" s="17"/>
      <c r="Q156" s="19"/>
      <c r="T156" s="13"/>
    </row>
    <row r="157" spans="1:20" s="17" customFormat="1" x14ac:dyDescent="0.25">
      <c r="A157" s="17"/>
      <c r="E157" s="17"/>
      <c r="Q157" s="19"/>
      <c r="T157" s="13"/>
    </row>
    <row r="158" spans="1:20" s="17" customFormat="1" x14ac:dyDescent="0.25">
      <c r="A158" s="17"/>
      <c r="E158" s="17"/>
      <c r="Q158" s="19"/>
      <c r="T158" s="13"/>
    </row>
    <row r="159" spans="1:20" s="17" customFormat="1" x14ac:dyDescent="0.25">
      <c r="A159" s="17"/>
      <c r="E159" s="17"/>
      <c r="Q159" s="19"/>
      <c r="T159" s="13"/>
    </row>
    <row r="160" spans="1:20" s="17" customFormat="1" x14ac:dyDescent="0.25">
      <c r="A160" s="17"/>
      <c r="E160" s="17"/>
      <c r="Q160" s="19"/>
      <c r="T160" s="13"/>
    </row>
    <row r="161" spans="1:20" s="17" customFormat="1" x14ac:dyDescent="0.25">
      <c r="A161" s="17"/>
      <c r="E161" s="17"/>
      <c r="Q161" s="19"/>
      <c r="T161" s="13"/>
    </row>
    <row r="162" spans="1:20" s="17" customFormat="1" x14ac:dyDescent="0.25">
      <c r="A162" s="17"/>
      <c r="E162" s="17"/>
      <c r="Q162" s="19"/>
      <c r="T162" s="13"/>
    </row>
    <row r="163" spans="1:20" s="17" customFormat="1" x14ac:dyDescent="0.25">
      <c r="A163" s="17"/>
      <c r="E163" s="17"/>
      <c r="Q163" s="19"/>
      <c r="T163" s="13"/>
    </row>
    <row r="164" spans="1:20" s="17" customFormat="1" x14ac:dyDescent="0.25">
      <c r="A164" s="17"/>
      <c r="E164" s="17"/>
      <c r="Q164" s="19"/>
      <c r="T164" s="13"/>
    </row>
    <row r="165" spans="1:20" s="17" customFormat="1" x14ac:dyDescent="0.25">
      <c r="A165" s="17"/>
      <c r="E165" s="17"/>
      <c r="Q165" s="19"/>
      <c r="T165" s="13"/>
    </row>
    <row r="166" spans="1:20" s="17" customFormat="1" x14ac:dyDescent="0.25">
      <c r="A166" s="17"/>
      <c r="E166" s="17"/>
      <c r="Q166" s="19"/>
      <c r="T166" s="13"/>
    </row>
    <row r="167" spans="1:20" s="17" customFormat="1" x14ac:dyDescent="0.25">
      <c r="A167" s="17"/>
      <c r="E167" s="17"/>
      <c r="Q167" s="19"/>
      <c r="T167" s="13"/>
    </row>
    <row r="168" spans="1:20" s="17" customFormat="1" x14ac:dyDescent="0.25">
      <c r="A168" s="17"/>
      <c r="E168" s="17"/>
      <c r="Q168" s="19"/>
      <c r="T168" s="13"/>
    </row>
    <row r="169" spans="1:20" s="17" customFormat="1" x14ac:dyDescent="0.25">
      <c r="A169" s="17"/>
      <c r="E169" s="17"/>
      <c r="Q169" s="19"/>
      <c r="T169" s="13"/>
    </row>
    <row r="170" spans="1:20" s="17" customFormat="1" x14ac:dyDescent="0.25">
      <c r="A170" s="17"/>
      <c r="E170" s="17"/>
      <c r="Q170" s="19"/>
      <c r="T170" s="13"/>
    </row>
    <row r="171" spans="1:20" s="17" customFormat="1" x14ac:dyDescent="0.25">
      <c r="A171" s="17"/>
      <c r="E171" s="17"/>
      <c r="Q171" s="19"/>
      <c r="T171" s="13"/>
    </row>
    <row r="172" spans="1:20" s="17" customFormat="1" x14ac:dyDescent="0.25">
      <c r="A172" s="17"/>
      <c r="E172" s="17"/>
      <c r="Q172" s="19"/>
      <c r="T172" s="13"/>
    </row>
    <row r="173" spans="1:20" s="17" customFormat="1" x14ac:dyDescent="0.25">
      <c r="A173" s="17"/>
      <c r="E173" s="17"/>
      <c r="Q173" s="19"/>
      <c r="T173" s="13"/>
    </row>
    <row r="174" spans="1:20" s="17" customFormat="1" x14ac:dyDescent="0.25">
      <c r="A174" s="17"/>
      <c r="E174" s="17"/>
      <c r="Q174" s="19"/>
      <c r="T174" s="13"/>
    </row>
    <row r="175" spans="1:20" s="17" customFormat="1" x14ac:dyDescent="0.25">
      <c r="A175" s="17"/>
      <c r="E175" s="17"/>
      <c r="Q175" s="19"/>
      <c r="T175" s="13"/>
    </row>
    <row r="176" spans="1:20" s="17" customFormat="1" x14ac:dyDescent="0.25">
      <c r="A176" s="17"/>
      <c r="E176" s="17"/>
      <c r="Q176" s="19"/>
      <c r="T176" s="13"/>
    </row>
    <row r="177" spans="1:20" s="17" customFormat="1" x14ac:dyDescent="0.25">
      <c r="A177" s="17"/>
      <c r="E177" s="17"/>
      <c r="Q177" s="19"/>
      <c r="T177" s="13"/>
    </row>
    <row r="178" spans="1:20" s="17" customFormat="1" x14ac:dyDescent="0.25">
      <c r="A178" s="17"/>
      <c r="E178" s="17"/>
      <c r="Q178" s="19"/>
      <c r="T178" s="13"/>
    </row>
    <row r="179" spans="1:20" s="17" customFormat="1" x14ac:dyDescent="0.25">
      <c r="A179" s="17"/>
      <c r="E179" s="17"/>
      <c r="Q179" s="19"/>
      <c r="T179" s="13"/>
    </row>
    <row r="180" spans="1:20" s="17" customFormat="1" x14ac:dyDescent="0.25">
      <c r="A180" s="17"/>
      <c r="E180" s="17"/>
      <c r="Q180" s="19"/>
      <c r="T180" s="13"/>
    </row>
    <row r="181" spans="1:20" s="17" customFormat="1" x14ac:dyDescent="0.25">
      <c r="A181" s="17"/>
      <c r="E181" s="17"/>
      <c r="Q181" s="19"/>
      <c r="T181" s="13"/>
    </row>
  </sheetData>
  <mergeCells count="48">
    <mergeCell ref="A1:D2"/>
    <mergeCell ref="E1:H2"/>
    <mergeCell ref="I1:K2"/>
    <mergeCell ref="L1:P2"/>
    <mergeCell ref="Q1:S2"/>
    <mergeCell ref="T1:V2"/>
    <mergeCell ref="B3:C3"/>
    <mergeCell ref="F3:G3"/>
    <mergeCell ref="J3:K3"/>
    <mergeCell ref="O3:P3"/>
    <mergeCell ref="R3:S3"/>
    <mergeCell ref="U3:V3"/>
    <mergeCell ref="A3:A4"/>
    <mergeCell ref="E3:E4"/>
    <mergeCell ref="L3:L4"/>
    <mergeCell ref="M3:M4"/>
    <mergeCell ref="N3:N4"/>
    <mergeCell ref="D4:D5"/>
    <mergeCell ref="H4:H5"/>
    <mergeCell ref="D6:D7"/>
    <mergeCell ref="H6:H7"/>
    <mergeCell ref="D8:D9"/>
    <mergeCell ref="H8:H9"/>
    <mergeCell ref="D10:D11"/>
    <mergeCell ref="H10:H11"/>
    <mergeCell ref="D12:D13"/>
    <mergeCell ref="H12:H13"/>
    <mergeCell ref="D14:D15"/>
    <mergeCell ref="H14:H15"/>
    <mergeCell ref="D16:D17"/>
    <mergeCell ref="H16:H17"/>
    <mergeCell ref="I17:K18"/>
    <mergeCell ref="D18:D19"/>
    <mergeCell ref="H18:H19"/>
    <mergeCell ref="J19:K19"/>
    <mergeCell ref="D20:D21"/>
    <mergeCell ref="H20:H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"/>
  <sheetViews>
    <sheetView workbookViewId="0" zoomScale="100" zoomScaleNormal="100">
      <selection activeCell="L15" sqref="L15"/>
    </sheetView>
  </sheetViews>
  <sheetFormatPr defaultRowHeight="15.6" outlineLevelRow="0" outlineLevelCol="0" x14ac:dyDescent="0" defaultColWidth="9" customHeight="1"/>
  <cols>
    <col min="1" max="1" width="9" style="1" customWidth="1"/>
    <col min="4" max="4" width="9" style="1" customWidth="1"/>
    <col min="7" max="7" width="9" style="1" customWidth="1"/>
    <col min="10" max="12" width="12.1" style="2" customWidth="1"/>
    <col min="13" max="13" width="9" style="2" customWidth="1"/>
  </cols>
  <sheetData>
    <row r="1" spans="1:12" x14ac:dyDescent="0.25">
      <c r="A1" s="3" t="s">
        <v>0</v>
      </c>
      <c r="B1" s="4"/>
      <c r="C1" s="4"/>
      <c r="D1" s="3" t="s">
        <v>1</v>
      </c>
      <c r="E1" s="4"/>
      <c r="F1" s="4"/>
      <c r="G1" s="3" t="s">
        <v>2</v>
      </c>
      <c r="H1" s="4"/>
      <c r="I1" s="4"/>
      <c r="J1" s="5" t="s">
        <v>3</v>
      </c>
      <c r="K1" s="6"/>
      <c r="L1" s="7"/>
    </row>
    <row r="2" spans="1:12" x14ac:dyDescent="0.25">
      <c r="A2" s="3"/>
      <c r="B2" s="4"/>
      <c r="C2" s="4"/>
      <c r="D2" s="3"/>
      <c r="E2" s="4"/>
      <c r="F2" s="4"/>
      <c r="G2" s="3"/>
      <c r="H2" s="4"/>
      <c r="I2" s="4"/>
      <c r="J2" s="5"/>
      <c r="K2" s="6"/>
      <c r="L2" s="7"/>
    </row>
    <row r="3" spans="1:12" x14ac:dyDescent="0.25">
      <c r="A3" s="8" t="s">
        <v>4</v>
      </c>
      <c r="B3" s="9" t="s">
        <v>5</v>
      </c>
      <c r="C3" s="9"/>
      <c r="D3" s="8" t="s">
        <v>4</v>
      </c>
      <c r="E3" s="9" t="s">
        <v>5</v>
      </c>
      <c r="F3" s="9"/>
      <c r="G3" s="8" t="s">
        <v>4</v>
      </c>
      <c r="H3" s="9" t="s">
        <v>5</v>
      </c>
      <c r="I3" s="9"/>
      <c r="J3" s="10" t="s">
        <v>6</v>
      </c>
      <c r="K3" s="11" t="s">
        <v>5</v>
      </c>
      <c r="L3" s="11"/>
    </row>
    <row r="4" spans="1:12" x14ac:dyDescent="0.25">
      <c r="A4" s="8"/>
      <c r="B4" s="12">
        <f t="array" ref="B4">-INDEX(A:A,ROUNDUP(ROW(A8)/2,0))</f>
        <v>0</v>
      </c>
      <c r="C4" s="12" t="s">
        <v>7</v>
      </c>
      <c r="D4" s="8"/>
      <c r="E4" s="12">
        <f t="array" ref="E4">-INDEX(D:D,ROUNDUP(ROW(D8)/2,0))</f>
        <v>0</v>
      </c>
      <c r="F4" s="12" t="s">
        <v>8</v>
      </c>
      <c r="G4" s="8"/>
      <c r="H4" s="12">
        <f t="array" ref="H4">-INDEX(G:G,ROUNDUP(ROW(G8)/2,0))</f>
        <v>0</v>
      </c>
      <c r="I4" s="12" t="s">
        <v>9</v>
      </c>
      <c r="J4" s="13">
        <f>D5</f>
        <v>1.1</v>
      </c>
      <c r="K4" s="14">
        <f>E6</f>
        <v>-1.1</v>
      </c>
      <c r="L4" s="15">
        <f>F6-IF(LEN(TEXT(J4,"0"))=1,0.5,IF(LEN(TEXT(J4,"0"))=2,0.61,0.81))</f>
        <v>13.5</v>
      </c>
    </row>
    <row r="5" spans="1:12" x14ac:dyDescent="0.25">
      <c r="A5" s="16">
        <v>1.73</v>
      </c>
      <c r="B5" s="12">
        <f t="array" ref="B5">-INDEX(A:A,ROUNDUP(ROW(A9)/2,0))</f>
        <v>-1.73</v>
      </c>
      <c r="C5" s="12" t="s">
        <v>7</v>
      </c>
      <c r="D5" s="16"/>
      <c r="E5" s="12">
        <f t="array" ref="E5">-INDEX(D:D,ROUNDUP(ROW(D9)/2,0))</f>
        <v>-1.1</v>
      </c>
      <c r="F5" s="12" t="s">
        <v>8</v>
      </c>
      <c r="G5" s="16"/>
      <c r="H5" s="12">
        <f t="array" ref="H5">-INDEX(G:G,ROUNDUP(ROW(G9)/2,0))</f>
        <v>0</v>
      </c>
      <c r="I5" s="12" t="s">
        <v>9</v>
      </c>
      <c r="J5" s="17"/>
      <c r="K5" s="14">
        <f>K6-(K6-K4+0.3)*0.3</f>
        <v>-1.75</v>
      </c>
      <c r="L5" s="18">
        <v>13.69</v>
      </c>
    </row>
    <row r="6" spans="1:12" x14ac:dyDescent="0.25">
      <c r="A6" s="19">
        <v>8.84</v>
      </c>
      <c r="B6" s="12">
        <f t="array" ref="B6">-INDEX(A:A,ROUNDUP(ROW(A10)/2,0))</f>
        <v>-1.73</v>
      </c>
      <c r="C6" s="12" t="s">
        <v>10</v>
      </c>
      <c r="D6" s="16"/>
      <c r="E6" s="12">
        <f t="array" ref="E6">-INDEX(D:D,ROUNDUP(ROW(D10)/2,0))</f>
        <v>-1.1</v>
      </c>
      <c r="F6" s="12" t="s">
        <v>11</v>
      </c>
      <c r="G6" s="19"/>
      <c r="H6" s="12">
        <f t="array" ref="H6">-INDEX(G:G,ROUNDUP(ROW(G10)/2,0))</f>
        <v>0</v>
      </c>
      <c r="I6" s="12" t="s">
        <v>8</v>
      </c>
      <c r="J6" s="17" t="s">
        <v>12</v>
      </c>
      <c r="K6" s="14">
        <f>IF(K8&lt;K4,(K8+K4)/2-0.3,0)</f>
        <v>-1.9</v>
      </c>
      <c r="L6" s="18">
        <v>13.11</v>
      </c>
    </row>
    <row r="7" spans="1:12" x14ac:dyDescent="0.25">
      <c r="A7" s="19">
        <v>69</v>
      </c>
      <c r="B7" s="12">
        <f t="array" ref="B7">-INDEX(A:A,ROUNDUP(ROW(A11)/2,0))</f>
        <v>-8.84</v>
      </c>
      <c r="C7" s="12" t="s">
        <v>10</v>
      </c>
      <c r="D7" s="16"/>
      <c r="E7" s="12">
        <f t="array" ref="E7">-INDEX(D:D,ROUNDUP(ROW(D11)/2,0))</f>
        <v>-2.1</v>
      </c>
      <c r="F7" s="12" t="s">
        <v>11</v>
      </c>
      <c r="G7" s="19"/>
      <c r="H7" s="12">
        <f t="array" ref="H7">-INDEX(G:G,ROUNDUP(ROW(G11)/2,0))</f>
        <v>0</v>
      </c>
      <c r="I7" s="12" t="s">
        <v>8</v>
      </c>
      <c r="J7" s="20"/>
      <c r="K7" s="14">
        <f>K6+(K8-0.3-K6)*0.3</f>
        <v>-2.05</v>
      </c>
      <c r="L7" s="18">
        <v>13.69</v>
      </c>
    </row>
    <row r="8" spans="1:12" x14ac:dyDescent="0.25">
      <c r="A8" s="19">
        <v>71.69</v>
      </c>
      <c r="B8" s="12">
        <f t="array" ref="B8">-INDEX(A:A,ROUNDUP(ROW(A12)/2,0))</f>
        <v>-8.84</v>
      </c>
      <c r="C8" s="12" t="s">
        <v>7</v>
      </c>
      <c r="D8" s="19"/>
      <c r="E8" s="12">
        <f t="array" ref="E8">-INDEX(D:D,ROUNDUP(ROW(D12)/2,0))</f>
        <v>-2.1</v>
      </c>
      <c r="F8" s="12" t="s">
        <v>8</v>
      </c>
      <c r="G8" s="19"/>
      <c r="H8" s="12">
        <f t="array" ref="H8">-INDEX(G:G,ROUNDUP(ROW(G12)/2,0))</f>
        <v>0</v>
      </c>
      <c r="I8" s="12" t="s">
        <v>9</v>
      </c>
      <c r="J8" s="21">
        <f>D6</f>
        <v>2.1</v>
      </c>
      <c r="K8" s="14">
        <f>E7</f>
        <v>-2.1</v>
      </c>
      <c r="L8" s="14">
        <f>F7-IF(LEN(TEXT(J8,"0"))=1,0.5,IF(LEN(TEXT(J8,"0"))=2,0.61,0.81))</f>
        <v>13.5</v>
      </c>
    </row>
    <row r="9" spans="1:12" x14ac:dyDescent="0.25">
      <c r="A9" s="19">
        <v>105</v>
      </c>
      <c r="B9" s="12">
        <f t="array" ref="B9">-INDEX(A:A,ROUNDUP(ROW(A13)/2,0))</f>
        <v>-69</v>
      </c>
      <c r="C9" s="12" t="s">
        <v>7</v>
      </c>
      <c r="D9" s="19"/>
      <c r="E9" s="12">
        <f t="array" ref="E9">-INDEX(D:D,ROUNDUP(ROW(D13)/2,0))</f>
        <v>-37.37</v>
      </c>
      <c r="F9" s="12" t="s">
        <v>8</v>
      </c>
      <c r="G9" s="19"/>
      <c r="H9" s="12">
        <f t="array" ref="H9">-INDEX(G:G,ROUNDUP(ROW(G13)/2,0))</f>
        <v>0</v>
      </c>
      <c r="I9" s="12" t="s">
        <v>9</v>
      </c>
      <c r="J9" s="17"/>
      <c r="K9" s="14">
        <f>K10-(K10-K8+0.3)*0.3</f>
        <v>-14.7445</v>
      </c>
      <c r="L9" s="18">
        <v>13.69</v>
      </c>
    </row>
    <row r="10" spans="1:12" x14ac:dyDescent="0.25">
      <c r="A10" s="19">
        <v>129.95</v>
      </c>
      <c r="B10" s="12">
        <f t="array" ref="B10">-INDEX(A:A,ROUNDUP(ROW(A14)/2,0))</f>
        <v>-69</v>
      </c>
      <c r="C10" s="12" t="s">
        <v>10</v>
      </c>
      <c r="D10" s="19"/>
      <c r="E10" s="12">
        <f t="array" ref="E10">-INDEX(D:D,ROUNDUP(ROW(D14)/2,0))</f>
        <v>-37.37</v>
      </c>
      <c r="F10" s="12" t="s">
        <v>11</v>
      </c>
      <c r="G10" s="19"/>
      <c r="H10" s="12">
        <f t="array" ref="H10">-INDEX(G:G,ROUNDUP(ROW(G14)/2,0))</f>
        <v>0</v>
      </c>
      <c r="I10" s="12" t="s">
        <v>8</v>
      </c>
      <c r="J10" s="17" t="s">
        <v>13</v>
      </c>
      <c r="K10" s="14">
        <f>IF(K12&lt;K8,(K12+K8)/2-0.3,0)</f>
        <v>-20.035</v>
      </c>
      <c r="L10" s="18">
        <v>13.11</v>
      </c>
    </row>
    <row r="11" spans="1:12" x14ac:dyDescent="0.25">
      <c r="A11" s="19">
        <v>137.69</v>
      </c>
      <c r="B11" s="12">
        <f t="array" ref="B11">-INDEX(A:A,ROUNDUP(ROW(A15)/2,0))</f>
        <v>-71.69</v>
      </c>
      <c r="C11" s="12" t="s">
        <v>10</v>
      </c>
      <c r="D11" s="19"/>
      <c r="E11" s="12">
        <f t="array" ref="E11">-INDEX(D:D,ROUNDUP(ROW(D15)/2,0))</f>
        <v>0</v>
      </c>
      <c r="F11" s="12" t="s">
        <v>11</v>
      </c>
      <c r="G11" s="19"/>
      <c r="H11" s="12">
        <f t="array" ref="H11">-INDEX(G:G,ROUNDUP(ROW(G15)/2,0))</f>
        <v>0</v>
      </c>
      <c r="I11" s="12" t="s">
        <v>8</v>
      </c>
      <c r="J11" s="20"/>
      <c r="K11" s="14">
        <f>K10+(K12-0.3-K10)*0.3</f>
        <v>-25.3255</v>
      </c>
      <c r="L11" s="18">
        <v>13.69</v>
      </c>
    </row>
    <row r="12" spans="1:12" x14ac:dyDescent="0.25">
      <c r="A12" s="19">
        <v>140.82</v>
      </c>
      <c r="B12" s="12">
        <f t="array" ref="B12">-INDEX(A:A,ROUNDUP(ROW(A16)/2,0))</f>
        <v>-71.69</v>
      </c>
      <c r="C12" s="12" t="s">
        <v>7</v>
      </c>
      <c r="D12" s="19"/>
      <c r="E12" s="12">
        <f t="array" ref="E12">-INDEX(D:D,ROUNDUP(ROW(D16)/2,0))</f>
        <v>0</v>
      </c>
      <c r="F12" s="12" t="s">
        <v>8</v>
      </c>
      <c r="G12" s="19"/>
      <c r="H12" s="12">
        <f t="array" ref="H12">-INDEX(G:G,ROUNDUP(ROW(G16)/2,0))</f>
        <v>0</v>
      </c>
      <c r="I12" s="12" t="s">
        <v>9</v>
      </c>
      <c r="J12" s="13">
        <f>D7</f>
        <v>37.37</v>
      </c>
      <c r="K12" s="14">
        <f>E10</f>
        <v>-37.37</v>
      </c>
      <c r="L12" s="15">
        <f>F10-IF(LEN(TEXT(J12,"0"))=1,0.5,IF(LEN(TEXT(J12,"0"))=2,0.61,0.81))</f>
        <v>13.39</v>
      </c>
    </row>
    <row r="13" spans="1:12" x14ac:dyDescent="0.25">
      <c r="A13" s="19">
        <v>145.23</v>
      </c>
      <c r="B13" s="12">
        <f t="array" ref="B13">-INDEX(A:A,ROUNDUP(ROW(A17)/2,0))</f>
        <v>-105</v>
      </c>
      <c r="C13" s="12" t="s">
        <v>7</v>
      </c>
      <c r="D13" s="19"/>
      <c r="E13" s="12">
        <f t="array" ref="E13">-INDEX(D:D,ROUNDUP(ROW(D17)/2,0))</f>
        <v>0</v>
      </c>
      <c r="F13" s="12" t="s">
        <v>8</v>
      </c>
      <c r="G13" s="19"/>
      <c r="H13" s="12">
        <f t="array" ref="H13">-INDEX(G:G,ROUNDUP(ROW(G17)/2,0))</f>
        <v>0</v>
      </c>
      <c r="I13" s="12" t="s">
        <v>9</v>
      </c>
      <c r="J13" s="17"/>
      <c r="K13" s="14">
        <f>K14-(K14-K12+0.3)*0.3</f>
        <v>-261.8555</v>
      </c>
      <c r="L13" s="18">
        <v>13.69</v>
      </c>
    </row>
    <row r="14" spans="1:12" x14ac:dyDescent="0.25">
      <c r="A14" s="19">
        <v>180.37</v>
      </c>
      <c r="B14" s="12">
        <f t="array" ref="B14">-INDEX(A:A,ROUNDUP(ROW(A18)/2,0))</f>
        <v>-105</v>
      </c>
      <c r="C14" s="12" t="s">
        <v>10</v>
      </c>
      <c r="D14" s="19"/>
      <c r="E14" s="12">
        <f t="array" ref="E14">-INDEX(D:D,ROUNDUP(ROW(D18)/2,0))</f>
        <v>0</v>
      </c>
      <c r="F14" s="12" t="s">
        <v>11</v>
      </c>
      <c r="G14" s="19"/>
      <c r="H14" s="12">
        <f t="array" ref="H14">-INDEX(G:G,ROUNDUP(ROW(G18)/2,0))</f>
        <v>0</v>
      </c>
      <c r="I14" s="12" t="s">
        <v>8</v>
      </c>
      <c r="J14" s="17" t="s">
        <v>14</v>
      </c>
      <c r="K14" s="14">
        <f>(-K17+K12)/2-0.3</f>
        <v>-357.935</v>
      </c>
      <c r="L14" s="18">
        <v>13.11</v>
      </c>
    </row>
    <row r="15" spans="1:12" x14ac:dyDescent="0.25">
      <c r="A15" s="19">
        <v>187.35</v>
      </c>
      <c r="B15" s="12">
        <f t="array" ref="B15">-INDEX(A:A,ROUNDUP(ROW(A19)/2,0))</f>
        <v>-129.95</v>
      </c>
      <c r="C15" s="12" t="s">
        <v>10</v>
      </c>
      <c r="D15" s="19"/>
      <c r="E15" s="12">
        <f t="array" ref="E15">-INDEX(D:D,ROUNDUP(ROW(D19)/2,0))</f>
        <v>0</v>
      </c>
      <c r="F15" s="12" t="s">
        <v>11</v>
      </c>
      <c r="G15" s="19"/>
      <c r="H15" s="12">
        <f t="array" ref="H15">-INDEX(G:G,ROUNDUP(ROW(G19)/2,0))</f>
        <v>0</v>
      </c>
      <c r="I15" s="12" t="s">
        <v>8</v>
      </c>
      <c r="J15" s="20"/>
      <c r="K15" s="14">
        <f>K14+(-K17-0.3-K14)*0.3</f>
        <v>-454.0145</v>
      </c>
      <c r="L15" s="18">
        <v>13.69</v>
      </c>
    </row>
    <row r="16" spans="1:12" x14ac:dyDescent="0.25">
      <c r="A16" s="19">
        <v>189.92</v>
      </c>
      <c r="B16" s="12">
        <f t="array" ref="B16">-INDEX(A:A,ROUNDUP(ROW(A20)/2,0))</f>
        <v>-129.95</v>
      </c>
      <c r="C16" s="12" t="s">
        <v>7</v>
      </c>
      <c r="D16" s="19"/>
      <c r="E16" s="12">
        <f t="array" ref="E16">-INDEX(D:D,ROUNDUP(ROW(D20)/2,0))</f>
        <v>0</v>
      </c>
      <c r="F16" s="12" t="s">
        <v>8</v>
      </c>
      <c r="G16" s="19"/>
      <c r="H16" s="12">
        <f t="array" ref="H16">-INDEX(G:G,ROUNDUP(ROW(G20)/2,0))</f>
        <v>0</v>
      </c>
      <c r="I16" s="12" t="s">
        <v>9</v>
      </c>
      <c r="J16" s="17"/>
      <c r="K16" s="14"/>
      <c r="L16" s="14"/>
    </row>
    <row r="17" spans="1:12" x14ac:dyDescent="0.25">
      <c r="A17" s="19">
        <v>193.94</v>
      </c>
      <c r="B17" s="12">
        <f t="array" ref="B17">-INDEX(A:A,ROUNDUP(ROW(A21)/2,0))</f>
        <v>-137.69</v>
      </c>
      <c r="C17" s="12" t="s">
        <v>7</v>
      </c>
      <c r="D17" s="19"/>
      <c r="E17" s="12">
        <f t="array" ref="E17">-INDEX(D:D,ROUNDUP(ROW(D21)/2,0))</f>
        <v>0</v>
      </c>
      <c r="F17" s="12" t="s">
        <v>8</v>
      </c>
      <c r="G17" s="19"/>
      <c r="H17" s="12">
        <f t="array" ref="H17">-INDEX(G:G,ROUNDUP(ROW(G21)/2,0))</f>
        <v>0</v>
      </c>
      <c r="I17" s="12" t="s">
        <v>9</v>
      </c>
      <c r="J17" s="22" t="s">
        <v>15</v>
      </c>
      <c r="K17" s="23"/>
      <c r="L17" s="24"/>
    </row>
    <row r="18" spans="1:12" x14ac:dyDescent="0.25">
      <c r="A18" s="19">
        <v>196.59</v>
      </c>
      <c r="B18" s="12">
        <f t="array" ref="B18">-INDEX(A:A,ROUNDUP(ROW(A22)/2,0))</f>
        <v>-137.69</v>
      </c>
      <c r="C18" s="12" t="s">
        <v>10</v>
      </c>
      <c r="D18" s="19"/>
      <c r="E18" s="12">
        <f t="array" ref="E18">-INDEX(D:D,ROUNDUP(ROW(D22)/2,0))</f>
        <v>0</v>
      </c>
      <c r="F18" s="12" t="s">
        <v>11</v>
      </c>
      <c r="G18" s="19"/>
      <c r="H18" s="12">
        <f t="array" ref="H18">-INDEX(G:G,ROUNDUP(ROW(G22)/2,0))</f>
        <v>0</v>
      </c>
      <c r="I18" s="12" t="s">
        <v>8</v>
      </c>
      <c r="J18" s="17"/>
      <c r="K18" s="17"/>
      <c r="L18" s="17"/>
    </row>
    <row r="19" spans="1:9" x14ac:dyDescent="0.25">
      <c r="A19" s="19">
        <v>211.19</v>
      </c>
      <c r="B19" s="12">
        <f t="array" ref="B19">-INDEX(A:A,ROUNDUP(ROW(A23)/2,0))</f>
        <v>-140.82</v>
      </c>
      <c r="C19" s="12" t="s">
        <v>10</v>
      </c>
      <c r="D19" s="19"/>
      <c r="E19" s="12">
        <f t="array" ref="E19">-INDEX(D:D,ROUNDUP(ROW(D23)/2,0))</f>
        <v>0</v>
      </c>
      <c r="F19" s="12" t="s">
        <v>11</v>
      </c>
      <c r="G19" s="19"/>
      <c r="H19" s="12">
        <f t="array" ref="H19">-INDEX(G:G,ROUNDUP(ROW(G23)/2,0))</f>
        <v>0</v>
      </c>
      <c r="I19" s="12" t="s">
        <v>8</v>
      </c>
    </row>
    <row r="20" spans="1:9" x14ac:dyDescent="0.25">
      <c r="A20" s="19">
        <v>218.14</v>
      </c>
      <c r="B20" s="12">
        <f t="array" ref="B20">-INDEX(A:A,ROUNDUP(ROW(A24)/2,0))</f>
        <v>-140.82</v>
      </c>
      <c r="C20" s="12" t="s">
        <v>7</v>
      </c>
      <c r="D20" s="19"/>
      <c r="E20" s="12">
        <f t="array" ref="E20">-INDEX(D:D,ROUNDUP(ROW(D24)/2,0))</f>
        <v>0</v>
      </c>
      <c r="F20" s="12" t="s">
        <v>8</v>
      </c>
      <c r="G20" s="19"/>
      <c r="H20" s="12">
        <f t="array" ref="H20">-INDEX(G:G,ROUNDUP(ROW(G24)/2,0))</f>
        <v>0</v>
      </c>
      <c r="I20" s="12" t="s">
        <v>9</v>
      </c>
    </row>
    <row r="21" spans="1:9" x14ac:dyDescent="0.25">
      <c r="A21" s="19">
        <v>223.68</v>
      </c>
      <c r="B21" s="12">
        <f t="array" ref="B21">-INDEX(A:A,ROUNDUP(ROW(A25)/2,0))</f>
        <v>-145.23</v>
      </c>
      <c r="C21" s="12" t="s">
        <v>7</v>
      </c>
      <c r="D21" s="19"/>
      <c r="E21" s="12">
        <f t="array" ref="E21">-INDEX(D:D,ROUNDUP(ROW(D25)/2,0))</f>
        <v>0</v>
      </c>
      <c r="F21" s="12" t="s">
        <v>8</v>
      </c>
      <c r="G21" s="19"/>
      <c r="H21" s="12">
        <f t="array" ref="H21">-INDEX(G:G,ROUNDUP(ROW(G25)/2,0))</f>
        <v>0</v>
      </c>
      <c r="I21" s="12" t="s">
        <v>9</v>
      </c>
    </row>
    <row r="22" spans="1:9" x14ac:dyDescent="0.25">
      <c r="A22" s="19">
        <v>228.03</v>
      </c>
      <c r="B22" s="12">
        <f t="array" ref="B22">-INDEX(A:A,ROUNDUP(ROW(A26)/2,0))</f>
        <v>-145.23</v>
      </c>
      <c r="C22" s="12" t="s">
        <v>10</v>
      </c>
      <c r="D22" s="19"/>
      <c r="E22" s="12">
        <f t="array" ref="E22">-INDEX(D:D,ROUNDUP(ROW(D26)/2,0))</f>
        <v>0</v>
      </c>
      <c r="F22" s="12" t="s">
        <v>11</v>
      </c>
      <c r="G22" s="19"/>
      <c r="H22" s="12">
        <f t="array" ref="H22">-INDEX(G:G,ROUNDUP(ROW(G26)/2,0))</f>
        <v>0</v>
      </c>
      <c r="I22" s="12" t="s">
        <v>8</v>
      </c>
    </row>
    <row r="23" spans="1:9" x14ac:dyDescent="0.25">
      <c r="A23" s="19">
        <v>265.05</v>
      </c>
      <c r="B23" s="12">
        <f t="array" ref="B23">-INDEX(A:A,ROUNDUP(ROW(A27)/2,0))</f>
        <v>-180.37</v>
      </c>
      <c r="C23" s="12" t="s">
        <v>10</v>
      </c>
      <c r="D23" s="19"/>
      <c r="E23" s="12">
        <f t="array" ref="E23">-INDEX(D:D,ROUNDUP(ROW(D27)/2,0))</f>
        <v>0</v>
      </c>
      <c r="F23" s="12" t="s">
        <v>11</v>
      </c>
      <c r="G23" s="19"/>
      <c r="H23" s="12">
        <f t="array" ref="H23">-INDEX(G:G,ROUNDUP(ROW(G27)/2,0))</f>
        <v>0</v>
      </c>
      <c r="I23" s="12" t="s">
        <v>8</v>
      </c>
    </row>
    <row r="24" spans="1:9" x14ac:dyDescent="0.25">
      <c r="A24" s="19">
        <v>280.77</v>
      </c>
      <c r="B24" s="12">
        <f t="array" ref="B24">-INDEX(A:A,ROUNDUP(ROW(A28)/2,0))</f>
        <v>-180.37</v>
      </c>
      <c r="C24" s="12" t="s">
        <v>7</v>
      </c>
      <c r="D24" s="19"/>
      <c r="E24" s="12">
        <f t="array" ref="E24">-INDEX(D:D,ROUNDUP(ROW(D28)/2,0))</f>
        <v>0</v>
      </c>
      <c r="F24" s="12" t="s">
        <v>8</v>
      </c>
      <c r="G24" s="19"/>
      <c r="H24" s="12">
        <f t="array" ref="H24">-INDEX(G:G,ROUNDUP(ROW(G28)/2,0))</f>
        <v>0</v>
      </c>
      <c r="I24" s="12" t="s">
        <v>9</v>
      </c>
    </row>
    <row r="25" spans="1:9" x14ac:dyDescent="0.25">
      <c r="A25" s="19">
        <v>304.2</v>
      </c>
      <c r="B25" s="12">
        <f t="array" ref="B25">-INDEX(A:A,ROUNDUP(ROW(A29)/2,0))</f>
        <v>-187.35</v>
      </c>
      <c r="C25" s="12" t="s">
        <v>7</v>
      </c>
      <c r="D25" s="19"/>
      <c r="E25" s="12">
        <f t="array" ref="E25">-INDEX(D:D,ROUNDUP(ROW(D29)/2,0))</f>
        <v>0</v>
      </c>
      <c r="F25" s="12" t="s">
        <v>8</v>
      </c>
      <c r="G25" s="19"/>
      <c r="H25" s="12">
        <f t="array" ref="H25">-INDEX(G:G,ROUNDUP(ROW(G29)/2,0))</f>
        <v>0</v>
      </c>
      <c r="I25" s="12" t="s">
        <v>9</v>
      </c>
    </row>
    <row r="26" spans="1:9" x14ac:dyDescent="0.25">
      <c r="A26" s="19">
        <v>315.45</v>
      </c>
      <c r="B26" s="12">
        <f t="array" ref="B26">-INDEX(A:A,ROUNDUP(ROW(A30)/2,0))</f>
        <v>-187.35</v>
      </c>
      <c r="C26" s="12" t="s">
        <v>10</v>
      </c>
      <c r="D26" s="19"/>
      <c r="E26" s="12">
        <f t="array" ref="E26">-INDEX(D:D,ROUNDUP(ROW(D30)/2,0))</f>
        <v>0</v>
      </c>
      <c r="F26" s="12" t="s">
        <v>11</v>
      </c>
      <c r="G26" s="19"/>
      <c r="H26" s="12">
        <f t="array" ref="H26">-INDEX(G:G,ROUNDUP(ROW(G30)/2,0))</f>
        <v>0</v>
      </c>
      <c r="I26" s="12" t="s">
        <v>8</v>
      </c>
    </row>
    <row r="27" spans="1:9" x14ac:dyDescent="0.25">
      <c r="A27" s="19">
        <v>343.46</v>
      </c>
      <c r="B27" s="12">
        <f t="array" ref="B27">-INDEX(A:A,ROUNDUP(ROW(A31)/2,0))</f>
        <v>-189.92</v>
      </c>
      <c r="C27" s="12" t="s">
        <v>10</v>
      </c>
      <c r="D27" s="19"/>
      <c r="E27" s="12">
        <f t="array" ref="E27">-INDEX(D:D,ROUNDUP(ROW(D31)/2,0))</f>
        <v>0</v>
      </c>
      <c r="F27" s="12" t="s">
        <v>11</v>
      </c>
      <c r="G27" s="19"/>
      <c r="H27" s="12">
        <f t="array" ref="H27">-INDEX(G:G,ROUNDUP(ROW(G31)/2,0))</f>
        <v>0</v>
      </c>
      <c r="I27" s="12" t="s">
        <v>8</v>
      </c>
    </row>
    <row r="28" spans="1:3" x14ac:dyDescent="0.25">
      <c r="A28" s="1">
        <v>347.46</v>
      </c>
      <c r="B28" s="12">
        <f t="array" ref="B28">-INDEX(A:A,ROUNDUP(ROW(A32)/2,0))</f>
        <v>-189.92</v>
      </c>
      <c r="C28" s="12" t="s">
        <v>7</v>
      </c>
    </row>
    <row r="29" spans="1:3" x14ac:dyDescent="0.25">
      <c r="A29" s="1">
        <v>368.68</v>
      </c>
      <c r="B29" s="12">
        <f t="array" ref="B29">-INDEX(A:A,ROUNDUP(ROW(A33)/2,0))</f>
        <v>-193.94</v>
      </c>
      <c r="C29" s="12" t="s">
        <v>7</v>
      </c>
    </row>
    <row r="30" spans="1:3" x14ac:dyDescent="0.25">
      <c r="A30" s="1">
        <v>374.06</v>
      </c>
      <c r="B30" s="12">
        <f t="array" ref="B30">-INDEX(A:A,ROUNDUP(ROW(A34)/2,0))</f>
        <v>-193.94</v>
      </c>
      <c r="C30" s="12" t="s">
        <v>10</v>
      </c>
    </row>
    <row r="31" spans="1:3" x14ac:dyDescent="0.25">
      <c r="A31" s="1">
        <v>386.97</v>
      </c>
      <c r="B31" s="12">
        <f t="array" ref="B31">-INDEX(A:A,ROUNDUP(ROW(A35)/2,0))</f>
        <v>-196.59</v>
      </c>
      <c r="C31" s="12" t="s">
        <v>10</v>
      </c>
    </row>
    <row r="32" spans="1:3" x14ac:dyDescent="0.25">
      <c r="A32" s="1">
        <v>427.42</v>
      </c>
      <c r="B32" s="12">
        <f t="array" ref="B32">-INDEX(A:A,ROUNDUP(ROW(A36)/2,0))</f>
        <v>-196.59</v>
      </c>
      <c r="C32" s="12" t="s">
        <v>7</v>
      </c>
    </row>
    <row r="33" spans="1:3" x14ac:dyDescent="0.25">
      <c r="A33" s="1">
        <v>431.46</v>
      </c>
      <c r="B33" s="12">
        <f t="array" ref="B33">-INDEX(A:A,ROUNDUP(ROW(A37)/2,0))</f>
        <v>-211.19</v>
      </c>
      <c r="C33" s="12" t="s">
        <v>7</v>
      </c>
    </row>
    <row r="34" spans="1:3" x14ac:dyDescent="0.25">
      <c r="A34" s="1">
        <v>433.79</v>
      </c>
      <c r="B34" s="12">
        <f t="array" ref="B34">-INDEX(A:A,ROUNDUP(ROW(A38)/2,0))</f>
        <v>-211.19</v>
      </c>
      <c r="C34" s="12" t="s">
        <v>10</v>
      </c>
    </row>
    <row r="35" spans="1:3" x14ac:dyDescent="0.25">
      <c r="A35" s="1">
        <v>453.52</v>
      </c>
      <c r="B35" s="12">
        <f t="array" ref="B35">-INDEX(A:A,ROUNDUP(ROW(A39)/2,0))</f>
        <v>-218.14</v>
      </c>
      <c r="C35" s="12" t="s">
        <v>10</v>
      </c>
    </row>
    <row r="36" spans="1:3" x14ac:dyDescent="0.25">
      <c r="A36" s="1">
        <v>515.59</v>
      </c>
      <c r="B36" s="12">
        <f t="array" ref="B36">-INDEX(A:A,ROUNDUP(ROW(A40)/2,0))</f>
        <v>-218.14</v>
      </c>
      <c r="C36" s="12" t="s">
        <v>7</v>
      </c>
    </row>
    <row r="37" spans="1:3" x14ac:dyDescent="0.25">
      <c r="A37" s="1">
        <v>518.7</v>
      </c>
      <c r="B37" s="12">
        <f t="array" ref="B37">-INDEX(A:A,ROUNDUP(ROW(A41)/2,0))</f>
        <v>-223.68</v>
      </c>
      <c r="C37" s="12" t="s">
        <v>7</v>
      </c>
    </row>
    <row r="38" spans="1:12" x14ac:dyDescent="0.25">
      <c r="A38" s="1">
        <v>525.1</v>
      </c>
      <c r="B38" s="12">
        <f t="array" ref="B38">-INDEX(A:A,ROUNDUP(ROW(A42)/2,0))</f>
        <v>-223.68</v>
      </c>
      <c r="C38" s="12" t="s">
        <v>10</v>
      </c>
      <c r="J38" s="17"/>
      <c r="K38" s="17"/>
      <c r="L38" s="17"/>
    </row>
    <row r="39" spans="1:12" x14ac:dyDescent="0.25">
      <c r="A39" s="1">
        <v>540.2</v>
      </c>
      <c r="B39" s="12">
        <f t="array" ref="B39">-INDEX(A:A,ROUNDUP(ROW(A43)/2,0))</f>
        <v>-228.03</v>
      </c>
      <c r="C39" s="12" t="s">
        <v>10</v>
      </c>
      <c r="J39" s="17"/>
      <c r="K39" s="17"/>
      <c r="L39" s="17"/>
    </row>
    <row r="40" spans="1:12" x14ac:dyDescent="0.25">
      <c r="A40" s="1">
        <v>544.05</v>
      </c>
      <c r="B40" s="12">
        <f t="array" ref="B40">-INDEX(A:A,ROUNDUP(ROW(A44)/2,0))</f>
        <v>-228.03</v>
      </c>
      <c r="C40" s="12" t="s">
        <v>7</v>
      </c>
      <c r="J40" s="17"/>
      <c r="K40" s="17"/>
      <c r="L40" s="17"/>
    </row>
    <row r="41" spans="1:12" x14ac:dyDescent="0.25">
      <c r="A41" s="1">
        <v>561.43</v>
      </c>
      <c r="B41" s="12">
        <f t="array" ref="B41">-INDEX(A:A,ROUNDUP(ROW(A45)/2,0))</f>
        <v>-265.05</v>
      </c>
      <c r="C41" s="12" t="s">
        <v>7</v>
      </c>
      <c r="J41" s="17"/>
      <c r="K41" s="17"/>
      <c r="L41" s="17"/>
    </row>
    <row r="42" spans="1:12" x14ac:dyDescent="0.25">
      <c r="A42" s="1">
        <v>568.54</v>
      </c>
      <c r="B42" s="12">
        <f t="array" ref="B42">-INDEX(A:A,ROUNDUP(ROW(A46)/2,0))</f>
        <v>-265.05</v>
      </c>
      <c r="C42" s="12" t="s">
        <v>10</v>
      </c>
      <c r="J42" s="17"/>
      <c r="K42" s="17"/>
      <c r="L42" s="17"/>
    </row>
    <row r="43" spans="1:12" x14ac:dyDescent="0.25">
      <c r="A43" s="1">
        <v>590.2</v>
      </c>
      <c r="B43" s="12">
        <f t="array" ref="B43">-INDEX(A:A,ROUNDUP(ROW(A47)/2,0))</f>
        <v>-280.77</v>
      </c>
      <c r="C43" s="12" t="s">
        <v>10</v>
      </c>
      <c r="J43" s="17"/>
      <c r="K43" s="17"/>
      <c r="L43" s="17"/>
    </row>
    <row r="44" spans="2:12" x14ac:dyDescent="0.25">
      <c r="B44" s="12">
        <f t="array" ref="B44">-INDEX(A:A,ROUNDUP(ROW(A48)/2,0))</f>
        <v>-280.77</v>
      </c>
      <c r="C44" s="12" t="s">
        <v>7</v>
      </c>
      <c r="J44" s="17"/>
      <c r="K44" s="17"/>
      <c r="L44" s="17"/>
    </row>
    <row r="45" spans="2:12" x14ac:dyDescent="0.25">
      <c r="B45" s="12">
        <f t="array" ref="B45">-INDEX(A:A,ROUNDUP(ROW(A49)/2,0))</f>
        <v>-304.2</v>
      </c>
      <c r="C45" s="12" t="s">
        <v>7</v>
      </c>
      <c r="J45" s="17"/>
      <c r="K45" s="17"/>
      <c r="L45" s="17"/>
    </row>
    <row r="46" spans="2:12" x14ac:dyDescent="0.25">
      <c r="B46" s="12">
        <f t="array" ref="B46">-INDEX(A:A,ROUNDUP(ROW(A50)/2,0))</f>
        <v>-304.2</v>
      </c>
      <c r="C46" s="12" t="s">
        <v>10</v>
      </c>
      <c r="J46" s="17"/>
      <c r="K46" s="17"/>
      <c r="L46" s="17"/>
    </row>
    <row r="47" spans="2:12" x14ac:dyDescent="0.25">
      <c r="B47" s="12">
        <f t="array" ref="B47">-INDEX(A:A,ROUNDUP(ROW(A51)/2,0))</f>
        <v>-315.45</v>
      </c>
      <c r="C47" s="12" t="s">
        <v>10</v>
      </c>
      <c r="J47" s="17"/>
      <c r="K47" s="17"/>
      <c r="L47" s="17"/>
    </row>
    <row r="48" spans="2:12" x14ac:dyDescent="0.25">
      <c r="B48" s="12">
        <f t="array" ref="B48">-INDEX(A:A,ROUNDUP(ROW(A52)/2,0))</f>
        <v>-315.45</v>
      </c>
      <c r="C48" s="12" t="s">
        <v>7</v>
      </c>
      <c r="J48" s="17"/>
      <c r="K48" s="17"/>
      <c r="L48" s="17"/>
    </row>
    <row r="49" spans="2:12" x14ac:dyDescent="0.25">
      <c r="B49" s="12">
        <f t="array" ref="B49">-INDEX(A:A,ROUNDUP(ROW(A53)/2,0))</f>
        <v>-343.46</v>
      </c>
      <c r="C49" s="12" t="s">
        <v>7</v>
      </c>
      <c r="J49" s="17"/>
      <c r="K49" s="17"/>
      <c r="L49" s="17"/>
    </row>
    <row r="50" spans="2:12" x14ac:dyDescent="0.25">
      <c r="B50" s="12">
        <f t="array" ref="B50">-INDEX(A:A,ROUNDUP(ROW(A54)/2,0))</f>
        <v>-343.46</v>
      </c>
      <c r="C50" s="12" t="s">
        <v>10</v>
      </c>
      <c r="J50" s="17"/>
      <c r="K50" s="17"/>
      <c r="L50" s="17"/>
    </row>
    <row r="51" spans="2:12" x14ac:dyDescent="0.25">
      <c r="B51" s="12">
        <f t="array" ref="B51">-INDEX(A:A,ROUNDUP(ROW(A55)/2,0))</f>
        <v>-347.46</v>
      </c>
      <c r="C51" s="12" t="s">
        <v>10</v>
      </c>
      <c r="J51" s="17"/>
      <c r="K51" s="17"/>
      <c r="L51" s="17"/>
    </row>
    <row r="52" spans="2:12" x14ac:dyDescent="0.25">
      <c r="B52" s="12">
        <f t="array" ref="B52">-INDEX(A:A,ROUNDUP(ROW(A56)/2,0))</f>
        <v>-347.46</v>
      </c>
      <c r="C52" s="12" t="s">
        <v>7</v>
      </c>
      <c r="J52" s="17"/>
      <c r="K52" s="17"/>
      <c r="L52" s="17"/>
    </row>
    <row r="53" spans="2:12" x14ac:dyDescent="0.25">
      <c r="B53" s="12">
        <f t="array" ref="B53">-INDEX(A:A,ROUNDUP(ROW(A57)/2,0))</f>
        <v>-368.68</v>
      </c>
      <c r="C53" s="12" t="s">
        <v>7</v>
      </c>
      <c r="J53" s="17"/>
      <c r="K53" s="17"/>
      <c r="L53" s="17"/>
    </row>
    <row r="54" spans="2:12" x14ac:dyDescent="0.25">
      <c r="B54" s="12">
        <f t="array" ref="B54">-INDEX(A:A,ROUNDUP(ROW(A58)/2,0))</f>
        <v>-368.68</v>
      </c>
      <c r="C54" s="12" t="s">
        <v>10</v>
      </c>
      <c r="J54" s="17"/>
      <c r="K54" s="17"/>
      <c r="L54" s="17"/>
    </row>
    <row r="55" spans="2:12" x14ac:dyDescent="0.25">
      <c r="B55" s="12">
        <f t="array" ref="B55">-INDEX(A:A,ROUNDUP(ROW(A59)/2,0))</f>
        <v>-374.06</v>
      </c>
      <c r="C55" s="12" t="s">
        <v>10</v>
      </c>
      <c r="J55" s="17"/>
      <c r="K55" s="17"/>
      <c r="L55" s="17"/>
    </row>
    <row r="56" spans="2:12" x14ac:dyDescent="0.25">
      <c r="B56" s="12">
        <f t="array" ref="B56">-INDEX(A:A,ROUNDUP(ROW(A60)/2,0))</f>
        <v>-374.06</v>
      </c>
      <c r="C56" s="12" t="s">
        <v>7</v>
      </c>
      <c r="J56" s="17"/>
      <c r="K56" s="17"/>
      <c r="L56" s="17"/>
    </row>
    <row r="57" spans="2:12" x14ac:dyDescent="0.25">
      <c r="B57" s="12">
        <f t="array" ref="B57">-INDEX(A:A,ROUNDUP(ROW(A61)/2,0))</f>
        <v>-386.97</v>
      </c>
      <c r="C57" s="12" t="s">
        <v>7</v>
      </c>
      <c r="J57" s="17"/>
      <c r="K57" s="17"/>
      <c r="L57" s="17"/>
    </row>
    <row r="58" spans="2:12" x14ac:dyDescent="0.25">
      <c r="B58" s="12">
        <f t="array" ref="B58">-INDEX(A:A,ROUNDUP(ROW(A62)/2,0))</f>
        <v>-386.97</v>
      </c>
      <c r="C58" s="12" t="s">
        <v>10</v>
      </c>
      <c r="J58" s="17"/>
      <c r="K58" s="17"/>
      <c r="L58" s="17"/>
    </row>
    <row r="59" spans="2:12" x14ac:dyDescent="0.25">
      <c r="B59" s="12">
        <f t="array" ref="B59">-INDEX(A:A,ROUNDUP(ROW(A63)/2,0))</f>
        <v>-427.42</v>
      </c>
      <c r="C59" s="12" t="s">
        <v>10</v>
      </c>
      <c r="J59" s="17"/>
      <c r="K59" s="17"/>
      <c r="L59" s="17"/>
    </row>
    <row r="60" spans="2:12" x14ac:dyDescent="0.25">
      <c r="B60" s="12">
        <f t="array" ref="B60">-INDEX(A:A,ROUNDUP(ROW(A64)/2,0))</f>
        <v>-427.42</v>
      </c>
      <c r="C60" s="12" t="s">
        <v>7</v>
      </c>
      <c r="J60" s="17"/>
      <c r="K60" s="17"/>
      <c r="L60" s="17"/>
    </row>
    <row r="61" spans="2:12" x14ac:dyDescent="0.25">
      <c r="B61" s="12">
        <f t="array" ref="B61">-INDEX(A:A,ROUNDUP(ROW(A65)/2,0))</f>
        <v>-431.46</v>
      </c>
      <c r="C61" s="12" t="s">
        <v>7</v>
      </c>
      <c r="J61" s="17"/>
      <c r="K61" s="17"/>
      <c r="L61" s="17"/>
    </row>
    <row r="62" spans="2:12" x14ac:dyDescent="0.25">
      <c r="B62" s="12">
        <f t="array" ref="B62">-INDEX(A:A,ROUNDUP(ROW(A66)/2,0))</f>
        <v>-431.46</v>
      </c>
      <c r="C62" s="12" t="s">
        <v>10</v>
      </c>
      <c r="J62" s="17"/>
      <c r="K62" s="17"/>
      <c r="L62" s="17"/>
    </row>
    <row r="63" spans="2:12" x14ac:dyDescent="0.25">
      <c r="B63" s="12">
        <f t="array" ref="B63">-INDEX(A:A,ROUNDUP(ROW(A67)/2,0))</f>
        <v>-433.79</v>
      </c>
      <c r="C63" s="12" t="s">
        <v>10</v>
      </c>
      <c r="J63" s="17"/>
      <c r="K63" s="17"/>
      <c r="L63" s="17"/>
    </row>
    <row r="64" spans="2:12" x14ac:dyDescent="0.25">
      <c r="B64" s="12">
        <f t="array" ref="B64">-INDEX(A:A,ROUNDUP(ROW(A68)/2,0))</f>
        <v>-433.79</v>
      </c>
      <c r="C64" s="12" t="s">
        <v>7</v>
      </c>
      <c r="J64" s="17"/>
      <c r="K64" s="17"/>
      <c r="L64" s="17"/>
    </row>
    <row r="65" spans="2:12" x14ac:dyDescent="0.25">
      <c r="B65" s="12">
        <f t="array" ref="B65">-INDEX(A:A,ROUNDUP(ROW(A69)/2,0))</f>
        <v>-453.52</v>
      </c>
      <c r="C65" s="12" t="s">
        <v>7</v>
      </c>
      <c r="J65" s="17"/>
      <c r="K65" s="17"/>
      <c r="L65" s="17"/>
    </row>
    <row r="66" spans="2:12" x14ac:dyDescent="0.25">
      <c r="B66" s="12">
        <f t="array" ref="B66">-INDEX(A:A,ROUNDUP(ROW(A70)/2,0))</f>
        <v>-453.52</v>
      </c>
      <c r="C66" s="12" t="s">
        <v>10</v>
      </c>
      <c r="J66" s="17"/>
      <c r="K66" s="17"/>
      <c r="L66" s="17"/>
    </row>
    <row r="67" spans="2:12" x14ac:dyDescent="0.25">
      <c r="B67" s="12">
        <f t="array" ref="B67">-INDEX(A:A,ROUNDUP(ROW(A71)/2,0))</f>
        <v>-515.59</v>
      </c>
      <c r="C67" s="12" t="s">
        <v>10</v>
      </c>
      <c r="J67" s="17"/>
      <c r="K67" s="17"/>
      <c r="L67" s="17"/>
    </row>
    <row r="68" spans="2:12" x14ac:dyDescent="0.25">
      <c r="B68" s="12">
        <f t="array" ref="B68">-INDEX(A:A,ROUNDUP(ROW(A72)/2,0))</f>
        <v>-515.59</v>
      </c>
      <c r="C68" s="12" t="s">
        <v>7</v>
      </c>
      <c r="J68" s="17"/>
      <c r="K68" s="17"/>
      <c r="L68" s="17"/>
    </row>
    <row r="69" spans="2:12" x14ac:dyDescent="0.25">
      <c r="B69" s="12">
        <f t="array" ref="B69">-INDEX(A:A,ROUNDUP(ROW(A73)/2,0))</f>
        <v>-518.7</v>
      </c>
      <c r="C69" s="12" t="s">
        <v>7</v>
      </c>
      <c r="J69" s="17"/>
      <c r="K69" s="17"/>
      <c r="L69" s="17"/>
    </row>
    <row r="70" spans="2:12" x14ac:dyDescent="0.25">
      <c r="B70" s="12">
        <f t="array" ref="B70">-INDEX(A:A,ROUNDUP(ROW(A74)/2,0))</f>
        <v>-518.7</v>
      </c>
      <c r="C70" s="12" t="s">
        <v>10</v>
      </c>
      <c r="J70" s="17"/>
      <c r="K70" s="17"/>
      <c r="L70" s="17"/>
    </row>
    <row r="71" spans="2:12" x14ac:dyDescent="0.25">
      <c r="B71" s="12">
        <f t="array" ref="B71">-INDEX(A:A,ROUNDUP(ROW(A75)/2,0))</f>
        <v>-525.1</v>
      </c>
      <c r="C71" s="12" t="s">
        <v>10</v>
      </c>
      <c r="J71" s="17"/>
      <c r="K71" s="17"/>
      <c r="L71" s="17"/>
    </row>
    <row r="72" spans="2:12" x14ac:dyDescent="0.25">
      <c r="B72" s="12">
        <f t="array" ref="B72">-INDEX(A:A,ROUNDUP(ROW(A76)/2,0))</f>
        <v>-525.1</v>
      </c>
      <c r="C72" s="12" t="s">
        <v>7</v>
      </c>
      <c r="J72" s="17"/>
      <c r="K72" s="17"/>
      <c r="L72" s="17"/>
    </row>
    <row r="73" spans="2:12" x14ac:dyDescent="0.25">
      <c r="B73" s="12">
        <f t="array" ref="B73">-INDEX(A:A,ROUNDUP(ROW(A77)/2,0))</f>
        <v>-540.2</v>
      </c>
      <c r="C73" s="12" t="s">
        <v>7</v>
      </c>
      <c r="J73" s="17"/>
      <c r="K73" s="17"/>
      <c r="L73" s="17"/>
    </row>
    <row r="74" spans="2:12" x14ac:dyDescent="0.25">
      <c r="B74" s="12">
        <f t="array" ref="B74">-INDEX(A:A,ROUNDUP(ROW(A78)/2,0))</f>
        <v>-540.2</v>
      </c>
      <c r="C74" s="12" t="s">
        <v>10</v>
      </c>
      <c r="J74" s="17"/>
      <c r="K74" s="17"/>
      <c r="L74" s="17"/>
    </row>
    <row r="75" spans="2:12" x14ac:dyDescent="0.25">
      <c r="B75" s="12">
        <f t="array" ref="B75">-INDEX(A:A,ROUNDUP(ROW(A79)/2,0))</f>
        <v>-544.05</v>
      </c>
      <c r="C75" s="12" t="s">
        <v>10</v>
      </c>
      <c r="J75" s="17"/>
      <c r="K75" s="17"/>
      <c r="L75" s="17"/>
    </row>
    <row r="76" spans="2:12" x14ac:dyDescent="0.25">
      <c r="B76" s="12">
        <f t="array" ref="B76">-INDEX(A:A,ROUNDUP(ROW(A80)/2,0))</f>
        <v>-544.05</v>
      </c>
      <c r="C76" s="12" t="s">
        <v>7</v>
      </c>
      <c r="J76" s="17"/>
      <c r="K76" s="17"/>
      <c r="L76" s="17"/>
    </row>
    <row r="77" spans="2:12" x14ac:dyDescent="0.25">
      <c r="B77" s="12">
        <f t="array" ref="B77">-INDEX(A:A,ROUNDUP(ROW(A81)/2,0))</f>
        <v>-561.43</v>
      </c>
      <c r="C77" s="12" t="s">
        <v>7</v>
      </c>
      <c r="J77" s="17"/>
      <c r="K77" s="17"/>
      <c r="L77" s="17"/>
    </row>
    <row r="78" spans="2:12" x14ac:dyDescent="0.25">
      <c r="B78" s="12">
        <f t="array" ref="B78">-INDEX(A:A,ROUNDUP(ROW(A82)/2,0))</f>
        <v>-561.43</v>
      </c>
      <c r="C78" s="12" t="s">
        <v>10</v>
      </c>
      <c r="J78" s="17"/>
      <c r="K78" s="17"/>
      <c r="L78" s="17"/>
    </row>
    <row r="79" spans="2:12" x14ac:dyDescent="0.25">
      <c r="B79" s="12">
        <f t="array" ref="B79">-INDEX(A:A,ROUNDUP(ROW(A83)/2,0))</f>
        <v>-568.54</v>
      </c>
      <c r="C79" s="12" t="s">
        <v>10</v>
      </c>
      <c r="J79" s="17"/>
      <c r="K79" s="17"/>
      <c r="L79" s="17"/>
    </row>
    <row r="80" spans="2:12" x14ac:dyDescent="0.25">
      <c r="B80" s="12">
        <f t="array" ref="B80">-INDEX(A:A,ROUNDUP(ROW(A84)/2,0))</f>
        <v>-568.54</v>
      </c>
      <c r="C80" s="12" t="s">
        <v>7</v>
      </c>
      <c r="J80" s="17"/>
      <c r="K80" s="17"/>
      <c r="L80" s="17"/>
    </row>
    <row r="81" spans="2:12" x14ac:dyDescent="0.25">
      <c r="B81" s="12">
        <f t="array" ref="B81">-INDEX(A:A,ROUNDUP(ROW(A85)/2,0))</f>
        <v>-590.2</v>
      </c>
      <c r="C81" s="12" t="s">
        <v>7</v>
      </c>
      <c r="J81" s="17"/>
      <c r="K81" s="17"/>
      <c r="L81" s="17"/>
    </row>
    <row r="82" spans="2:12" x14ac:dyDescent="0.25">
      <c r="B82" s="12">
        <f t="array" ref="B82">-INDEX(A:A,ROUNDUP(ROW(A86)/2,0))</f>
        <v>-590.2</v>
      </c>
      <c r="C82" s="12" t="s">
        <v>10</v>
      </c>
      <c r="J82" s="17"/>
      <c r="K82" s="17"/>
      <c r="L82" s="17"/>
    </row>
    <row r="83" spans="2:12" x14ac:dyDescent="0.25">
      <c r="B83" s="12">
        <f t="array" ref="B83">-INDEX(A:A,ROUNDUP(ROW(A87)/2,0))</f>
        <v>0</v>
      </c>
      <c r="C83" s="12" t="s">
        <v>10</v>
      </c>
      <c r="J83" s="17"/>
      <c r="K83" s="17"/>
      <c r="L83" s="17"/>
    </row>
    <row r="84" spans="2:12" x14ac:dyDescent="0.25">
      <c r="B84" s="12">
        <f t="array" ref="B84">-INDEX(A:A,ROUNDUP(ROW(A88)/2,0))</f>
        <v>0</v>
      </c>
      <c r="C84" s="12" t="s">
        <v>7</v>
      </c>
      <c r="J84" s="17"/>
      <c r="K84" s="17"/>
      <c r="L84" s="17"/>
    </row>
    <row r="85" spans="2:12" x14ac:dyDescent="0.25">
      <c r="B85" s="12">
        <f t="array" ref="B85">-INDEX(A:A,ROUNDUP(ROW(A89)/2,0))</f>
        <v>0</v>
      </c>
      <c r="C85" s="12" t="s">
        <v>7</v>
      </c>
      <c r="J85" s="17"/>
      <c r="K85" s="17"/>
      <c r="L85" s="17"/>
    </row>
    <row r="86" spans="2:12" x14ac:dyDescent="0.25">
      <c r="B86" s="12">
        <f t="array" ref="B86">-INDEX(A:A,ROUNDUP(ROW(A90)/2,0))</f>
        <v>0</v>
      </c>
      <c r="C86" s="12" t="s">
        <v>10</v>
      </c>
      <c r="J86" s="17"/>
      <c r="K86" s="17"/>
      <c r="L86" s="17"/>
    </row>
    <row r="87" spans="2:12" x14ac:dyDescent="0.25">
      <c r="B87" s="12">
        <f t="array" ref="B87">-INDEX(A:A,ROUNDUP(ROW(A91)/2,0))</f>
        <v>0</v>
      </c>
      <c r="C87" s="12" t="s">
        <v>10</v>
      </c>
      <c r="J87" s="17"/>
      <c r="K87" s="17"/>
      <c r="L87" s="17"/>
    </row>
    <row r="88" spans="2:12" x14ac:dyDescent="0.25">
      <c r="B88" s="12">
        <f t="array" ref="B88">-INDEX(A:A,ROUNDUP(ROW(A92)/2,0))</f>
        <v>0</v>
      </c>
      <c r="C88" s="12" t="s">
        <v>7</v>
      </c>
      <c r="J88" s="17"/>
      <c r="K88" s="17"/>
      <c r="L88" s="17"/>
    </row>
    <row r="89" spans="2:12" x14ac:dyDescent="0.25">
      <c r="B89" s="12">
        <f t="array" ref="B89">-INDEX(A:A,ROUNDUP(ROW(A93)/2,0))</f>
        <v>0</v>
      </c>
      <c r="C89" s="12" t="s">
        <v>7</v>
      </c>
      <c r="J89" s="17"/>
      <c r="K89" s="17"/>
      <c r="L89" s="17"/>
    </row>
    <row r="90" spans="2:12" x14ac:dyDescent="0.25">
      <c r="B90" s="12">
        <f t="array" ref="B90">-INDEX(A:A,ROUNDUP(ROW(A94)/2,0))</f>
        <v>0</v>
      </c>
      <c r="C90" s="12" t="s">
        <v>10</v>
      </c>
      <c r="J90" s="17"/>
      <c r="K90" s="17"/>
      <c r="L90" s="17"/>
    </row>
    <row r="91" spans="2:12" x14ac:dyDescent="0.25">
      <c r="B91" s="12">
        <f t="array" ref="B91">-INDEX(A:A,ROUNDUP(ROW(A95)/2,0))</f>
        <v>0</v>
      </c>
      <c r="C91" s="12" t="s">
        <v>10</v>
      </c>
      <c r="J91" s="17"/>
      <c r="K91" s="17"/>
      <c r="L91" s="17"/>
    </row>
    <row r="92" spans="2:12" x14ac:dyDescent="0.25">
      <c r="B92" s="12">
        <f t="array" ref="B92">-INDEX(A:A,ROUNDUP(ROW(A96)/2,0))</f>
        <v>0</v>
      </c>
      <c r="C92" s="12" t="s">
        <v>7</v>
      </c>
      <c r="J92" s="17"/>
      <c r="K92" s="17"/>
      <c r="L92" s="17"/>
    </row>
    <row r="93" spans="2:12" x14ac:dyDescent="0.25">
      <c r="B93" s="12">
        <f t="array" ref="B93">-INDEX(A:A,ROUNDUP(ROW(A97)/2,0))</f>
        <v>0</v>
      </c>
      <c r="C93" s="12" t="s">
        <v>7</v>
      </c>
      <c r="J93" s="17"/>
      <c r="K93" s="17"/>
      <c r="L93" s="17"/>
    </row>
    <row r="94" spans="2:12" x14ac:dyDescent="0.25">
      <c r="B94" s="12">
        <f t="array" ref="B94">-INDEX(A:A,ROUNDUP(ROW(A98)/2,0))</f>
        <v>0</v>
      </c>
      <c r="C94" s="12" t="s">
        <v>10</v>
      </c>
      <c r="J94" s="17"/>
      <c r="K94" s="17"/>
      <c r="L94" s="17"/>
    </row>
    <row r="95" spans="2:12" x14ac:dyDescent="0.25">
      <c r="B95" s="12">
        <f t="array" ref="B95">-INDEX(A:A,ROUNDUP(ROW(A99)/2,0))</f>
        <v>0</v>
      </c>
      <c r="C95" s="12" t="s">
        <v>10</v>
      </c>
      <c r="J95" s="17"/>
      <c r="K95" s="17"/>
      <c r="L95" s="17"/>
    </row>
    <row r="96" spans="2:12" x14ac:dyDescent="0.25">
      <c r="B96" s="12">
        <f t="array" ref="B96">-INDEX(A:A,ROUNDUP(ROW(A100)/2,0))</f>
        <v>0</v>
      </c>
      <c r="C96" s="12" t="s">
        <v>7</v>
      </c>
      <c r="J96" s="17"/>
      <c r="K96" s="17"/>
      <c r="L96" s="17"/>
    </row>
    <row r="97" spans="2:12" x14ac:dyDescent="0.25">
      <c r="B97" s="12">
        <f t="array" ref="B97">-INDEX(A:A,ROUNDUP(ROW(A101)/2,0))</f>
        <v>0</v>
      </c>
      <c r="C97" s="12" t="s">
        <v>7</v>
      </c>
      <c r="J97" s="17"/>
      <c r="K97" s="17"/>
      <c r="L97" s="17"/>
    </row>
    <row r="98" spans="2:12" x14ac:dyDescent="0.25">
      <c r="B98" s="12">
        <f t="array" ref="B98">-INDEX(A:A,ROUNDUP(ROW(A102)/2,0))</f>
        <v>0</v>
      </c>
      <c r="C98" s="12" t="s">
        <v>10</v>
      </c>
      <c r="J98" s="17"/>
      <c r="K98" s="17"/>
      <c r="L98" s="17"/>
    </row>
    <row r="99" spans="2:12" x14ac:dyDescent="0.25">
      <c r="B99" s="12">
        <f t="array" ref="B99">-INDEX(A:A,ROUNDUP(ROW(A103)/2,0))</f>
        <v>0</v>
      </c>
      <c r="C99" s="12" t="s">
        <v>10</v>
      </c>
      <c r="J99" s="17"/>
      <c r="K99" s="17"/>
      <c r="L99" s="17"/>
    </row>
    <row r="100" spans="2:12" x14ac:dyDescent="0.25">
      <c r="B100" s="12">
        <f t="array" ref="B100">-INDEX(A:A,ROUNDUP(ROW(A104)/2,0))</f>
        <v>0</v>
      </c>
      <c r="C100" s="12" t="s">
        <v>7</v>
      </c>
      <c r="J100" s="17"/>
      <c r="K100" s="17"/>
      <c r="L100" s="17"/>
    </row>
    <row r="101" spans="2:12" x14ac:dyDescent="0.25">
      <c r="B101" s="12">
        <f t="array" ref="B101">-INDEX(A:A,ROUNDUP(ROW(A105)/2,0))</f>
        <v>0</v>
      </c>
      <c r="C101" s="12" t="s">
        <v>7</v>
      </c>
      <c r="J101" s="17"/>
      <c r="K101" s="17"/>
      <c r="L101" s="17"/>
    </row>
    <row r="102" spans="2:12" x14ac:dyDescent="0.25">
      <c r="B102" s="12">
        <f t="array" ref="B102">-INDEX(A:A,ROUNDUP(ROW(A106)/2,0))</f>
        <v>0</v>
      </c>
      <c r="C102" s="12" t="s">
        <v>10</v>
      </c>
      <c r="J102" s="17"/>
      <c r="K102" s="17"/>
      <c r="L102" s="17"/>
    </row>
    <row r="103" spans="2:12" x14ac:dyDescent="0.25">
      <c r="B103" s="12">
        <f t="array" ref="B103">-INDEX(A:A,ROUNDUP(ROW(A107)/2,0))</f>
        <v>0</v>
      </c>
      <c r="C103" s="12" t="s">
        <v>10</v>
      </c>
      <c r="J103" s="17"/>
      <c r="K103" s="17"/>
      <c r="L103" s="17"/>
    </row>
    <row r="104" spans="2:12" x14ac:dyDescent="0.25">
      <c r="B104" s="12">
        <f t="array" ref="B104">-INDEX(A:A,ROUNDUP(ROW(A108)/2,0))</f>
        <v>0</v>
      </c>
      <c r="C104" s="12" t="s">
        <v>7</v>
      </c>
      <c r="J104" s="17"/>
      <c r="K104" s="17"/>
      <c r="L104" s="17"/>
    </row>
    <row r="105" spans="2:12" x14ac:dyDescent="0.25">
      <c r="B105" s="12">
        <f t="array" ref="B105">-INDEX(A:A,ROUNDUP(ROW(A109)/2,0))</f>
        <v>0</v>
      </c>
      <c r="C105" s="12" t="s">
        <v>7</v>
      </c>
      <c r="J105" s="17"/>
      <c r="K105" s="17"/>
      <c r="L105" s="17"/>
    </row>
    <row r="106" spans="2:12" x14ac:dyDescent="0.25">
      <c r="B106" s="12">
        <f t="array" ref="B106">-INDEX(A:A,ROUNDUP(ROW(A110)/2,0))</f>
        <v>0</v>
      </c>
      <c r="C106" s="12" t="s">
        <v>10</v>
      </c>
      <c r="J106" s="17"/>
      <c r="K106" s="17"/>
      <c r="L106" s="17"/>
    </row>
    <row r="107" spans="2:12" x14ac:dyDescent="0.25">
      <c r="B107" s="12">
        <f t="array" ref="B107">-INDEX(A:A,ROUNDUP(ROW(A111)/2,0))</f>
        <v>0</v>
      </c>
      <c r="C107" s="12" t="s">
        <v>10</v>
      </c>
      <c r="J107" s="17"/>
      <c r="K107" s="17"/>
      <c r="L107" s="17"/>
    </row>
    <row r="108" spans="2:12" x14ac:dyDescent="0.25">
      <c r="B108" s="12">
        <f t="array" ref="B108">-INDEX(A:A,ROUNDUP(ROW(A112)/2,0))</f>
        <v>0</v>
      </c>
      <c r="C108" s="12" t="s">
        <v>7</v>
      </c>
      <c r="J108" s="17"/>
      <c r="K108" s="17"/>
      <c r="L108" s="17"/>
    </row>
    <row r="109" spans="2:12" x14ac:dyDescent="0.25">
      <c r="B109" s="12">
        <f t="array" ref="B109">-INDEX(A:A,ROUNDUP(ROW(A113)/2,0))</f>
        <v>0</v>
      </c>
      <c r="C109" s="12" t="s">
        <v>7</v>
      </c>
      <c r="J109" s="17"/>
      <c r="K109" s="17"/>
      <c r="L109" s="17"/>
    </row>
    <row r="110" spans="2:12" x14ac:dyDescent="0.25">
      <c r="B110" s="12">
        <f t="array" ref="B110">-INDEX(A:A,ROUNDUP(ROW(A114)/2,0))</f>
        <v>0</v>
      </c>
      <c r="C110" s="12" t="s">
        <v>10</v>
      </c>
      <c r="J110" s="17"/>
      <c r="K110" s="17"/>
      <c r="L110" s="17"/>
    </row>
    <row r="111" spans="2:12" x14ac:dyDescent="0.25">
      <c r="B111" s="12">
        <f t="array" ref="B111">-INDEX(A:A,ROUNDUP(ROW(A115)/2,0))</f>
        <v>0</v>
      </c>
      <c r="C111" s="12" t="s">
        <v>10</v>
      </c>
      <c r="J111" s="17"/>
      <c r="K111" s="17"/>
      <c r="L111" s="17"/>
    </row>
    <row r="112" spans="2:12" x14ac:dyDescent="0.25">
      <c r="B112" s="12">
        <f t="array" ref="B112">-INDEX(A:A,ROUNDUP(ROW(A116)/2,0))</f>
        <v>0</v>
      </c>
      <c r="C112" s="12" t="s">
        <v>7</v>
      </c>
      <c r="J112" s="17"/>
      <c r="K112" s="17"/>
      <c r="L112" s="17"/>
    </row>
    <row r="113" spans="2:12" x14ac:dyDescent="0.25">
      <c r="B113" s="12">
        <f t="array" ref="B113">-INDEX(A:A,ROUNDUP(ROW(A117)/2,0))</f>
        <v>0</v>
      </c>
      <c r="C113" s="12" t="s">
        <v>7</v>
      </c>
      <c r="J113" s="17"/>
      <c r="K113" s="17"/>
      <c r="L113" s="17"/>
    </row>
    <row r="114" spans="2:12" x14ac:dyDescent="0.25">
      <c r="B114" s="12">
        <f t="array" ref="B114">-INDEX(A:A,ROUNDUP(ROW(A118)/2,0))</f>
        <v>0</v>
      </c>
      <c r="C114" s="12" t="s">
        <v>10</v>
      </c>
      <c r="J114" s="17"/>
      <c r="K114" s="17"/>
      <c r="L114" s="17"/>
    </row>
    <row r="115" spans="2:12" x14ac:dyDescent="0.25">
      <c r="B115" s="12">
        <f t="array" ref="B115">-INDEX(A:A,ROUNDUP(ROW(A119)/2,0))</f>
        <v>0</v>
      </c>
      <c r="C115" s="12" t="s">
        <v>10</v>
      </c>
      <c r="J115" s="17"/>
      <c r="K115" s="17"/>
      <c r="L115" s="17"/>
    </row>
    <row r="116" spans="2:12" x14ac:dyDescent="0.25">
      <c r="B116" s="12">
        <f t="array" ref="B116">-INDEX(A:A,ROUNDUP(ROW(A120)/2,0))</f>
        <v>0</v>
      </c>
      <c r="C116" s="12" t="s">
        <v>7</v>
      </c>
      <c r="J116" s="17"/>
      <c r="K116" s="17"/>
      <c r="L116" s="17"/>
    </row>
    <row r="117" spans="2:12" x14ac:dyDescent="0.25">
      <c r="B117" s="12">
        <f t="array" ref="B117">-INDEX(A:A,ROUNDUP(ROW(A121)/2,0))</f>
        <v>0</v>
      </c>
      <c r="C117" s="12" t="s">
        <v>7</v>
      </c>
      <c r="J117" s="17"/>
      <c r="K117" s="17"/>
      <c r="L117" s="17"/>
    </row>
    <row r="118" spans="2:12" x14ac:dyDescent="0.25">
      <c r="B118" s="12">
        <f t="array" ref="B118">-INDEX(A:A,ROUNDUP(ROW(A122)/2,0))</f>
        <v>0</v>
      </c>
      <c r="C118" s="12" t="s">
        <v>10</v>
      </c>
      <c r="J118" s="17"/>
      <c r="K118" s="17"/>
      <c r="L118" s="17"/>
    </row>
    <row r="119" spans="2:12" x14ac:dyDescent="0.25">
      <c r="B119" s="12">
        <f t="array" ref="B119">-INDEX(A:A,ROUNDUP(ROW(A123)/2,0))</f>
        <v>0</v>
      </c>
      <c r="C119" s="12" t="s">
        <v>10</v>
      </c>
      <c r="J119" s="17"/>
      <c r="K119" s="17"/>
      <c r="L119" s="17"/>
    </row>
    <row r="120" spans="2:12" x14ac:dyDescent="0.25">
      <c r="B120" s="12">
        <f t="array" ref="B120">-INDEX(A:A,ROUNDUP(ROW(A124)/2,0))</f>
        <v>0</v>
      </c>
      <c r="C120" s="12" t="s">
        <v>7</v>
      </c>
      <c r="J120" s="17"/>
      <c r="K120" s="17"/>
      <c r="L120" s="17"/>
    </row>
    <row r="121" spans="2:12" x14ac:dyDescent="0.25">
      <c r="B121" s="12">
        <f t="array" ref="B121">-INDEX(A:A,ROUNDUP(ROW(A125)/2,0))</f>
        <v>0</v>
      </c>
      <c r="C121" s="12" t="s">
        <v>7</v>
      </c>
      <c r="J121" s="17"/>
      <c r="K121" s="17"/>
      <c r="L121" s="17"/>
    </row>
    <row r="122" spans="2:12" x14ac:dyDescent="0.25">
      <c r="B122" s="12">
        <f t="array" ref="B122">-INDEX(A:A,ROUNDUP(ROW(A126)/2,0))</f>
        <v>0</v>
      </c>
      <c r="C122" s="12" t="s">
        <v>10</v>
      </c>
      <c r="J122" s="17"/>
      <c r="K122" s="17"/>
      <c r="L122" s="17"/>
    </row>
    <row r="123" spans="2:12" x14ac:dyDescent="0.25">
      <c r="B123" s="12">
        <f t="array" ref="B123">-INDEX(A:A,ROUNDUP(ROW(A127)/2,0))</f>
        <v>0</v>
      </c>
      <c r="C123" s="12" t="s">
        <v>10</v>
      </c>
      <c r="J123" s="17"/>
      <c r="K123" s="17"/>
      <c r="L123" s="17"/>
    </row>
    <row r="124" spans="2:12" x14ac:dyDescent="0.25">
      <c r="B124" s="12">
        <f t="array" ref="B124">-INDEX(A:A,ROUNDUP(ROW(A128)/2,0))</f>
        <v>0</v>
      </c>
      <c r="C124" s="12" t="s">
        <v>7</v>
      </c>
      <c r="J124" s="17"/>
      <c r="K124" s="17"/>
      <c r="L124" s="17"/>
    </row>
    <row r="125" spans="2:12" x14ac:dyDescent="0.25">
      <c r="B125" s="12">
        <f t="array" ref="B125">-INDEX(A:A,ROUNDUP(ROW(A129)/2,0))</f>
        <v>0</v>
      </c>
      <c r="C125" s="12" t="s">
        <v>7</v>
      </c>
      <c r="J125" s="17"/>
      <c r="K125" s="17"/>
      <c r="L125" s="17"/>
    </row>
    <row r="126" spans="2:12" x14ac:dyDescent="0.25">
      <c r="B126" s="12">
        <f t="array" ref="B126">-INDEX(A:A,ROUNDUP(ROW(A130)/2,0))</f>
        <v>0</v>
      </c>
      <c r="C126" s="12" t="s">
        <v>10</v>
      </c>
      <c r="J126" s="17"/>
      <c r="K126" s="17"/>
      <c r="L126" s="17"/>
    </row>
    <row r="127" spans="2:12" x14ac:dyDescent="0.25">
      <c r="B127" s="12">
        <f t="array" ref="B127">-INDEX(A:A,ROUNDUP(ROW(A131)/2,0))</f>
        <v>0</v>
      </c>
      <c r="C127" s="12" t="s">
        <v>10</v>
      </c>
      <c r="J127" s="17"/>
      <c r="K127" s="17"/>
      <c r="L127" s="17"/>
    </row>
    <row r="128" spans="2:12" x14ac:dyDescent="0.25">
      <c r="B128" s="12">
        <f t="array" ref="B128">-INDEX(A:A,ROUNDUP(ROW(A132)/2,0))</f>
        <v>0</v>
      </c>
      <c r="C128" s="12" t="s">
        <v>7</v>
      </c>
      <c r="J128" s="17"/>
      <c r="K128" s="17"/>
      <c r="L128" s="17"/>
    </row>
    <row r="129" spans="10:12" x14ac:dyDescent="0.25">
      <c r="J129" s="17"/>
      <c r="K129" s="17"/>
      <c r="L129" s="17"/>
    </row>
    <row r="130" spans="10:12" x14ac:dyDescent="0.25">
      <c r="J130" s="17"/>
      <c r="K130" s="17"/>
      <c r="L130" s="17"/>
    </row>
    <row r="131" spans="10:12" x14ac:dyDescent="0.25">
      <c r="J131" s="17"/>
      <c r="K131" s="17"/>
      <c r="L131" s="17"/>
    </row>
    <row r="132" spans="10:12" x14ac:dyDescent="0.25">
      <c r="J132" s="17"/>
      <c r="K132" s="17"/>
      <c r="L132" s="17"/>
    </row>
    <row r="133" spans="10:12" x14ac:dyDescent="0.25">
      <c r="J133" s="17"/>
      <c r="K133" s="17"/>
      <c r="L133" s="17"/>
    </row>
    <row r="134" spans="10:12" x14ac:dyDescent="0.25">
      <c r="J134" s="17"/>
      <c r="K134" s="17"/>
      <c r="L134" s="17"/>
    </row>
    <row r="135" spans="10:12" x14ac:dyDescent="0.25">
      <c r="J135" s="17"/>
      <c r="K135" s="17"/>
      <c r="L135" s="17"/>
    </row>
    <row r="136" spans="10:12" x14ac:dyDescent="0.25">
      <c r="J136" s="17"/>
      <c r="K136" s="17"/>
      <c r="L136" s="17"/>
    </row>
    <row r="137" spans="10:12" x14ac:dyDescent="0.25">
      <c r="J137" s="17"/>
      <c r="K137" s="17"/>
      <c r="L137" s="17"/>
    </row>
    <row r="138" spans="10:12" x14ac:dyDescent="0.25">
      <c r="J138" s="17"/>
      <c r="K138" s="17"/>
      <c r="L138" s="17"/>
    </row>
    <row r="139" spans="10:12" x14ac:dyDescent="0.25">
      <c r="J139" s="17"/>
      <c r="K139" s="17"/>
      <c r="L139" s="17"/>
    </row>
    <row r="140" spans="10:12" x14ac:dyDescent="0.25">
      <c r="J140" s="17"/>
      <c r="K140" s="17"/>
      <c r="L140" s="17"/>
    </row>
    <row r="141" spans="10:12" x14ac:dyDescent="0.25">
      <c r="J141" s="17"/>
      <c r="K141" s="17"/>
      <c r="L141" s="17"/>
    </row>
    <row r="142" spans="10:12" x14ac:dyDescent="0.25">
      <c r="J142" s="17"/>
      <c r="K142" s="17"/>
      <c r="L142" s="17"/>
    </row>
    <row r="143" spans="10:12" x14ac:dyDescent="0.25">
      <c r="J143" s="17"/>
      <c r="K143" s="17"/>
      <c r="L143" s="17"/>
    </row>
    <row r="144" spans="10:12" x14ac:dyDescent="0.25">
      <c r="J144" s="17"/>
      <c r="K144" s="17"/>
      <c r="L144" s="17"/>
    </row>
    <row r="145" spans="10:12" x14ac:dyDescent="0.25">
      <c r="J145" s="17"/>
      <c r="K145" s="17"/>
      <c r="L145" s="17"/>
    </row>
    <row r="146" spans="10:12" x14ac:dyDescent="0.25">
      <c r="J146" s="17"/>
      <c r="K146" s="17"/>
      <c r="L146" s="17"/>
    </row>
    <row r="147" spans="10:12" x14ac:dyDescent="0.25">
      <c r="J147" s="17"/>
      <c r="K147" s="17"/>
      <c r="L147" s="17"/>
    </row>
    <row r="148" spans="10:12" x14ac:dyDescent="0.25">
      <c r="J148" s="17"/>
      <c r="K148" s="17"/>
      <c r="L148" s="17"/>
    </row>
    <row r="149" spans="10:12" x14ac:dyDescent="0.25">
      <c r="J149" s="17"/>
      <c r="K149" s="17"/>
      <c r="L149" s="17"/>
    </row>
    <row r="150" spans="10:12" x14ac:dyDescent="0.25">
      <c r="J150" s="17"/>
      <c r="K150" s="17"/>
      <c r="L150" s="17"/>
    </row>
    <row r="151" spans="10:12" x14ac:dyDescent="0.25">
      <c r="J151" s="17"/>
      <c r="K151" s="17"/>
      <c r="L151" s="17"/>
    </row>
    <row r="152" spans="10:12" x14ac:dyDescent="0.25">
      <c r="J152" s="17"/>
      <c r="K152" s="17"/>
      <c r="L152" s="17"/>
    </row>
    <row r="153" spans="10:12" x14ac:dyDescent="0.25">
      <c r="J153" s="17"/>
      <c r="K153" s="17"/>
      <c r="L153" s="17"/>
    </row>
    <row r="154" spans="10:12" x14ac:dyDescent="0.25">
      <c r="J154" s="17"/>
      <c r="K154" s="17"/>
      <c r="L154" s="17"/>
    </row>
    <row r="155" spans="10:12" x14ac:dyDescent="0.25">
      <c r="J155" s="17"/>
      <c r="K155" s="17"/>
      <c r="L155" s="17"/>
    </row>
    <row r="156" spans="10:12" x14ac:dyDescent="0.25">
      <c r="J156" s="17"/>
      <c r="K156" s="17"/>
      <c r="L156" s="17"/>
    </row>
    <row r="157" spans="10:12" x14ac:dyDescent="0.25">
      <c r="J157" s="17"/>
      <c r="K157" s="17"/>
      <c r="L157" s="17"/>
    </row>
    <row r="158" spans="10:12" x14ac:dyDescent="0.25">
      <c r="J158" s="17"/>
      <c r="K158" s="17"/>
      <c r="L158" s="17"/>
    </row>
    <row r="159" spans="10:12" x14ac:dyDescent="0.25">
      <c r="J159" s="17"/>
      <c r="K159" s="17"/>
      <c r="L159" s="17"/>
    </row>
    <row r="160" spans="10:12" x14ac:dyDescent="0.25">
      <c r="J160" s="17"/>
      <c r="K160" s="17"/>
      <c r="L160" s="17"/>
    </row>
    <row r="161" spans="10:12" x14ac:dyDescent="0.25">
      <c r="J161" s="17"/>
      <c r="K161" s="17"/>
      <c r="L161" s="17"/>
    </row>
    <row r="162" spans="10:12" x14ac:dyDescent="0.25">
      <c r="J162" s="17"/>
      <c r="K162" s="17"/>
      <c r="L162" s="17"/>
    </row>
    <row r="163" spans="10:12" x14ac:dyDescent="0.25">
      <c r="J163" s="17"/>
      <c r="K163" s="17"/>
      <c r="L163" s="17"/>
    </row>
    <row r="164" spans="10:12" x14ac:dyDescent="0.25">
      <c r="J164" s="17"/>
      <c r="K164" s="17"/>
      <c r="L164" s="17"/>
    </row>
    <row r="165" spans="10:12" x14ac:dyDescent="0.25">
      <c r="J165" s="17"/>
      <c r="K165" s="17"/>
      <c r="L165" s="17"/>
    </row>
    <row r="166" spans="10:12" x14ac:dyDescent="0.25">
      <c r="J166" s="17"/>
      <c r="K166" s="17"/>
      <c r="L166" s="17"/>
    </row>
    <row r="167" spans="10:12" x14ac:dyDescent="0.25">
      <c r="J167" s="17"/>
      <c r="K167" s="17"/>
      <c r="L167" s="17"/>
    </row>
    <row r="168" spans="10:12" x14ac:dyDescent="0.25">
      <c r="J168" s="17"/>
      <c r="K168" s="17"/>
      <c r="L168" s="17"/>
    </row>
    <row r="169" spans="10:12" x14ac:dyDescent="0.25">
      <c r="J169" s="17"/>
      <c r="K169" s="17"/>
      <c r="L169" s="17"/>
    </row>
    <row r="170" spans="10:12" x14ac:dyDescent="0.25">
      <c r="J170" s="17"/>
      <c r="K170" s="17"/>
      <c r="L170" s="17"/>
    </row>
    <row r="171" spans="10:12" x14ac:dyDescent="0.25">
      <c r="J171" s="17"/>
      <c r="K171" s="17"/>
      <c r="L171" s="17"/>
    </row>
    <row r="172" spans="10:12" x14ac:dyDescent="0.25">
      <c r="J172" s="17"/>
      <c r="K172" s="17"/>
      <c r="L172" s="17"/>
    </row>
    <row r="173" spans="10:12" x14ac:dyDescent="0.25">
      <c r="J173" s="17"/>
      <c r="K173" s="17"/>
      <c r="L173" s="17"/>
    </row>
    <row r="174" spans="10:12" x14ac:dyDescent="0.25">
      <c r="J174" s="17"/>
      <c r="K174" s="17"/>
      <c r="L174" s="17"/>
    </row>
    <row r="175" spans="10:12" x14ac:dyDescent="0.25">
      <c r="J175" s="17"/>
      <c r="K175" s="17"/>
      <c r="L175" s="17"/>
    </row>
    <row r="176" spans="10:12" x14ac:dyDescent="0.25">
      <c r="J176" s="17"/>
      <c r="K176" s="17"/>
      <c r="L176" s="17"/>
    </row>
    <row r="177" spans="10:12" x14ac:dyDescent="0.25">
      <c r="J177" s="17"/>
      <c r="K177" s="17"/>
      <c r="L177" s="17"/>
    </row>
    <row r="178" spans="10:12" x14ac:dyDescent="0.25">
      <c r="J178" s="17"/>
      <c r="K178" s="17"/>
      <c r="L178" s="17"/>
    </row>
    <row r="179" spans="10:12" x14ac:dyDescent="0.25">
      <c r="J179" s="17"/>
      <c r="K179" s="17"/>
      <c r="L179" s="17"/>
    </row>
    <row r="180" spans="10:12" x14ac:dyDescent="0.25">
      <c r="J180" s="17"/>
      <c r="K180" s="17"/>
      <c r="L180" s="17"/>
    </row>
    <row r="181" spans="10:12" x14ac:dyDescent="0.25">
      <c r="J181" s="17"/>
      <c r="K181" s="17"/>
      <c r="L181" s="17"/>
    </row>
  </sheetData>
  <mergeCells count="12">
    <mergeCell ref="A1:C2"/>
    <mergeCell ref="D1:F2"/>
    <mergeCell ref="G1:I2"/>
    <mergeCell ref="J1:L2"/>
    <mergeCell ref="B3:C3"/>
    <mergeCell ref="E3:F3"/>
    <mergeCell ref="H3:I3"/>
    <mergeCell ref="K3:L3"/>
    <mergeCell ref="A3:A4"/>
    <mergeCell ref="D3:D4"/>
    <mergeCell ref="G3:G4"/>
    <mergeCell ref="K17:L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selection activeCell="A1" sqref="A1"/>
    </sheetView>
  </sheetViews>
  <sheetFormatPr defaultRowHeight="15.6" outlineLevelRow="6" outlineLevelCol="6" x14ac:dyDescent="0" defaultColWidth="8.8" customHeight="1"/>
  <cols>
    <col min="1" max="1" width="8.8" style="19" customWidth="1"/>
    <col min="2" max="2" width="9.4" style="19" customWidth="1"/>
    <col min="3" max="3" width="8.9" style="19" customWidth="1"/>
    <col min="4" max="16384" width="8.8" style="19" customWidth="1"/>
  </cols>
  <sheetData>
    <row r="1" spans="1:7" x14ac:dyDescent="0.25">
      <c r="A1" s="64">
        <v>0.3</v>
      </c>
      <c r="B1" s="19">
        <f>-A1</f>
        <v>-0.3</v>
      </c>
      <c r="C1" s="19">
        <v>8</v>
      </c>
      <c r="E1" s="19">
        <f>前三!D5</f>
        <v>1.1</v>
      </c>
      <c r="F1" s="19">
        <f>前三!E5</f>
        <v>-1.1</v>
      </c>
      <c r="G1" s="19">
        <v>13.5</v>
      </c>
    </row>
    <row r="2" spans="2:7" x14ac:dyDescent="0.25">
      <c r="B2" s="19">
        <f>B1</f>
        <v>-0.3</v>
      </c>
      <c r="C2" s="19">
        <v>14</v>
      </c>
      <c r="E2" s="19" t="s">
        <v>12</v>
      </c>
      <c r="F2" s="19">
        <f>(前三!E5+前三!E7)/2-0.3</f>
        <v>-1.9</v>
      </c>
      <c r="G2" s="19">
        <v>13.11</v>
      </c>
    </row>
    <row r="3" spans="5:7" x14ac:dyDescent="0.25">
      <c r="E3" s="19" t="s">
        <v>13</v>
      </c>
      <c r="F3" s="19">
        <f>前三!K10</f>
        <v>-20.035</v>
      </c>
      <c r="G3" s="19">
        <v>13.11</v>
      </c>
    </row>
    <row r="4" spans="1:7" x14ac:dyDescent="0.25">
      <c r="A4" s="64">
        <v>0.65</v>
      </c>
      <c r="B4" s="19">
        <f>-A4</f>
        <v>-0.65</v>
      </c>
      <c r="C4" s="17">
        <v>57</v>
      </c>
      <c r="E4" s="19" t="s">
        <v>14</v>
      </c>
      <c r="F4" s="19">
        <f>前三!K14</f>
        <v>-357.935</v>
      </c>
      <c r="G4" s="19">
        <v>13.11</v>
      </c>
    </row>
    <row r="5" spans="2:3" x14ac:dyDescent="0.25">
      <c r="B5" s="19">
        <f>B4</f>
        <v>-0.65</v>
      </c>
      <c r="C5" s="17">
        <v>61</v>
      </c>
    </row>
    <row r="6" spans="5:7" x14ac:dyDescent="0.25">
      <c r="E6" s="20">
        <f>A4</f>
        <v>0.65</v>
      </c>
      <c r="F6" s="17">
        <f>-E6-0.6</f>
        <v>-1.25</v>
      </c>
      <c r="G6" s="17">
        <v>56.5</v>
      </c>
    </row>
    <row r="7" spans="5:7" x14ac:dyDescent="0.25">
      <c r="E7" s="19">
        <f>其他投图!A5-E6</f>
        <v>-0.65</v>
      </c>
      <c r="F7" s="17">
        <f>-(E7+E6)/2</f>
        <v>0</v>
      </c>
      <c r="G7" s="17">
        <f>57-IF(LEN(TEXT(E7,"0"))=1,0.5,IF(LEN(TEXT(E7,"0"))=2,0.61,0.81))</f>
        <v>56.39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前三</vt:lpstr>
      <vt:lpstr>采取率投图</vt:lpstr>
      <vt:lpstr>RQD投图</vt:lpstr>
      <vt:lpstr>冲洗液投图</vt:lpstr>
      <vt:lpstr>水位变幅投图</vt:lpstr>
      <vt:lpstr>其他投图</vt:lpstr>
      <vt:lpstr>Sheet1</vt:lpstr>
    </vt:vector>
  </TitlesOfParts>
  <Company>dzd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wbx</dc:creator>
  <cp:lastModifiedBy>云叶</cp:lastModifiedBy>
  <dcterms:created xsi:type="dcterms:W3CDTF">2003-06-05T06:50:00Z</dcterms:created>
  <dcterms:modified xsi:type="dcterms:W3CDTF">2026-07-08T03:56:03Z</dcterms:modified>
</cp:coreProperties>
</file>