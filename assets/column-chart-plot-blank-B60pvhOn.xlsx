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188" windowHeight="9060" firstSheet="3" activeTab="3"/>
  </bookViews>
  <sheets>
    <sheet sheetId="10" name="前三" state="visible" r:id="rId4"/>
    <sheet sheetId="13" name="采取率、RQD、冲洗液消耗量" state="visible" r:id="rId5"/>
    <sheet sheetId="8" name="水位变幅投图" state="visible" r:id="rId6"/>
    <sheet sheetId="9" name="其他投图" state="visible" r:id="rId7"/>
    <sheet sheetId="12" name="Sheet1" state="visible" r:id="rId8"/>
  </sheets>
  <calcPr calcId="171027"/>
</workbook>
</file>

<file path=xl/sharedStrings.xml><?xml version="1.0" encoding="utf-8"?>
<sst xmlns="http://schemas.openxmlformats.org/spreadsheetml/2006/main" count="138" uniqueCount="45">
  <si>
    <t>层位</t>
  </si>
  <si>
    <t>风化带</t>
  </si>
  <si>
    <t>取样编号</t>
  </si>
  <si>
    <t>风化带文字坐标</t>
  </si>
  <si>
    <t>深度</t>
  </si>
  <si>
    <t>坐标</t>
  </si>
  <si>
    <t>标注</t>
  </si>
  <si>
    <t>8</t>
  </si>
  <si>
    <t>18</t>
  </si>
  <si>
    <t>强风化</t>
  </si>
  <si>
    <t>6</t>
  </si>
  <si>
    <t>16</t>
  </si>
  <si>
    <t>中风化</t>
  </si>
  <si>
    <t>微风化</t>
  </si>
  <si>
    <t>未风化</t>
  </si>
  <si>
    <t>孔深输入：</t>
  </si>
  <si>
    <t>回次</t>
  </si>
  <si>
    <t>采取率</t>
  </si>
  <si>
    <t>RQD</t>
  </si>
  <si>
    <t>冲洗液消耗量</t>
  </si>
  <si>
    <t>x1</t>
  </si>
  <si>
    <t>y1</t>
  </si>
  <si>
    <t>x2</t>
  </si>
  <si>
    <t>y2</t>
  </si>
  <si>
    <t>0</t>
  </si>
  <si>
    <t>X2</t>
  </si>
  <si>
    <r>
      <rPr>
        <charset val="134"/>
        <color theme="1"/>
        <sz val="11"/>
        <rFont val="宋体"/>
      </rPr>
      <t>起</t>
    </r>
  </si>
  <si>
    <r>
      <rPr>
        <charset val="134"/>
        <color theme="1"/>
        <sz val="11"/>
        <rFont val="宋体"/>
      </rPr>
      <t>止</t>
    </r>
  </si>
  <si>
    <t>起钻后</t>
  </si>
  <si>
    <t>下钻前</t>
  </si>
  <si>
    <t>水位变幅折线坐标</t>
  </si>
  <si>
    <t>含水段上下界孔深及厚度</t>
  </si>
  <si>
    <t>软弱段及及厚度</t>
  </si>
  <si>
    <t>静止水位</t>
  </si>
  <si>
    <t>钻孔结构</t>
  </si>
  <si>
    <t>含水段文字坐标(标注0以上坐标)</t>
  </si>
  <si>
    <t>软弱段文字坐标(标注0以上坐标)</t>
  </si>
  <si>
    <t>补充</t>
  </si>
  <si>
    <t>含水层厚度</t>
  </si>
  <si>
    <t>软弱段厚度</t>
  </si>
  <si>
    <t>自</t>
  </si>
  <si>
    <t>至</t>
  </si>
  <si>
    <t>孔径（mm）</t>
  </si>
  <si>
    <t>静止文字坐标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</si>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</sst>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_ "/>
    <numFmt numFmtId="165" formatCode="0.00_);[Red](0.00)"/>
  </numFmts>
  <fonts count="8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charset val="134"/>
      <color theme="2" tint="-0.0999786370433668"/>
      <sz val="12"/>
      <name val="宋体"/>
    </font>
    <font>
      <charset val="134"/>
      <color theme="1"/>
      <scheme val="minor"/>
      <sz val="11"/>
      <name val="宋体"/>
    </font>
    <font>
      <charset val="134"/>
      <color theme="1"/>
      <sz val="11"/>
      <name val="Times New Roman"/>
    </font>
    <font>
      <charset val="134"/>
      <color theme="1"/>
      <sz val="11"/>
      <name val="宋体"/>
    </font>
    <font>
      <charset val="134"/>
      <color theme="0" tint="-0.349986266670736"/>
      <sz val="11"/>
      <name val="Times New Roman"/>
    </font>
    <font>
      <charset val="134"/>
      <color theme="0" tint="-0.05"/>
      <sz val="12"/>
      <name val="宋体"/>
    </font>
  </fonts>
  <fills count="1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DDD9C4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theme="4" tint="0.799676503799554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theme="7" tint="0.79976805932798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70702230903"/>
        <bgColor indexed="64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8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1" fillId="0" borderId="0" xfId="0" applyNumberFormat="1" applyFont="1" applyAlignment="1" applyProtection="1">
      <alignment horizontal="center" vertical="center"/>
      <protection locked="0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Relationship Id="rId5" Type="http://schemas.openxmlformats.org/officeDocument/2006/relationships/worksheet" Target="worksheets/sheet13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3"/>
  <sheetViews>
    <sheetView workbookViewId="0" zoomScale="100" zoomScaleNormal="100">
      <selection activeCell="E1" sqref="E1"/>
    </sheetView>
  </sheetViews>
  <sheetFormatPr defaultRowHeight="13.8" outlineLevelRow="0" outlineLevelCol="0" x14ac:dyDescent="0" defaultColWidth="8.1" customHeight="1"/>
  <cols>
    <col min="1" max="6" width="8.1" style="36" customWidth="1"/>
    <col min="7" max="7" width="9.6" style="36" customWidth="1"/>
    <col min="8" max="16384" width="8.1" style="36" customWidth="1"/>
  </cols>
  <sheetData>
    <row r="1" ht="14.4" customHeight="1" spans="1:4" x14ac:dyDescent="0.25">
      <c r="A1" s="36" t="s">
        <v>26</v>
      </c>
      <c r="B1" s="36" t="s">
        <v>27</v>
      </c>
      <c r="C1" s="37" t="s">
        <v>28</v>
      </c>
      <c r="D1" s="37" t="s">
        <v>29</v>
      </c>
    </row>
    <row r="2" spans="1:6" x14ac:dyDescent="0.25">
      <c r="A2" s="36"/>
      <c r="B2" s="36"/>
      <c r="C2" s="36"/>
      <c r="D2" s="36"/>
      <c r="F2" s="36">
        <f t="shared" ref="F2:F33" si="0">IF(IF(A2&lt;&gt;"",0-A2,0-B1)=0,"",IF(A2&lt;&gt;"",0-A2,0-B1))</f>
      </c>
    </row>
    <row r="3" ht="14.4" customHeight="1" spans="1:10" x14ac:dyDescent="0.25">
      <c r="A3" s="36"/>
      <c r="B3" s="36"/>
      <c r="C3" s="36"/>
      <c r="D3" s="36"/>
      <c r="F3" s="38">
        <f t="shared" si="0"/>
        <v>-0.9</v>
      </c>
      <c r="G3" s="39"/>
      <c r="H3" s="39"/>
      <c r="I3" s="40" t="s">
        <v>30</v>
      </c>
      <c r="J3" s="40"/>
    </row>
    <row r="4" spans="1:10" x14ac:dyDescent="0.25">
      <c r="A4" s="36"/>
      <c r="B4" s="36"/>
      <c r="C4" s="36"/>
      <c r="D4" s="36"/>
      <c r="F4" s="41">
        <f t="shared" si="0"/>
        <v>-1.65</v>
      </c>
      <c r="G4" s="41">
        <f>IF(((C3-D3)&lt;&gt;"")*(D3&lt;&gt;""),(137.5+(C3-D3)*5/8),"")</f>
      </c>
      <c r="I4" s="42"/>
      <c r="J4" s="42"/>
    </row>
    <row r="5" spans="1:10" x14ac:dyDescent="0.25">
      <c r="A5" s="36"/>
      <c r="B5" s="36"/>
      <c r="C5" s="36"/>
      <c r="D5" s="36"/>
      <c r="F5" s="41">
        <f t="shared" si="0"/>
        <v>-3.15</v>
      </c>
      <c r="G5" s="41">
        <f t="shared" ref="G5:G68" si="1">IF(((C4-D4)&lt;&gt;"")*(D4&lt;&gt;""),(137.5+(C4-D4)*5/8),"")</f>
      </c>
      <c r="I5" s="36">
        <f t="array" ref="I5:I72">_xlfn._xlws.FILTER(F:F,(F:F&lt;&gt;"")*(G:G&lt;&gt;""))</f>
        <v>-22.55</v>
      </c>
      <c r="J5" s="36">
        <f t="array" ref="J5:J72">_xlfn._xlws.FILTER(G:G,(F:F&lt;&gt;"")*(G:G&lt;&gt;""))</f>
        <v>137.05625</v>
      </c>
    </row>
    <row r="6" spans="1:10" x14ac:dyDescent="0.25">
      <c r="A6" s="36"/>
      <c r="B6" s="36"/>
      <c r="C6" s="36"/>
      <c r="D6" s="36"/>
      <c r="F6" s="41">
        <f t="shared" si="0"/>
        <v>-4.55</v>
      </c>
      <c r="G6" s="41">
        <f t="shared" si="1"/>
      </c>
      <c r="I6" s="36">
        <v>-27.2</v>
      </c>
      <c r="J6" s="36">
        <v>135.85625</v>
      </c>
    </row>
    <row r="7" spans="1:10" x14ac:dyDescent="0.25">
      <c r="A7" s="36"/>
      <c r="B7" s="36"/>
      <c r="C7" s="36"/>
      <c r="D7" s="36"/>
      <c r="F7" s="41">
        <f t="shared" si="0"/>
        <v>-5.95</v>
      </c>
      <c r="G7" s="41">
        <f t="shared" si="1"/>
      </c>
      <c r="I7" s="36">
        <v>-39.45</v>
      </c>
      <c r="J7" s="36">
        <v>135.1</v>
      </c>
    </row>
    <row r="8" spans="1:10" x14ac:dyDescent="0.25">
      <c r="A8" s="36"/>
      <c r="B8" s="36"/>
      <c r="C8" s="36"/>
      <c r="D8" s="36"/>
      <c r="F8" s="41">
        <f t="shared" si="0"/>
        <v>-7.55</v>
      </c>
      <c r="G8" s="41">
        <f t="shared" si="1"/>
      </c>
      <c r="I8" s="36">
        <v>-48.45</v>
      </c>
      <c r="J8" s="36">
        <v>135.6625</v>
      </c>
    </row>
    <row r="9" spans="1:10" x14ac:dyDescent="0.25">
      <c r="A9" s="36"/>
      <c r="B9" s="36"/>
      <c r="C9" s="36"/>
      <c r="D9" s="36"/>
      <c r="F9" s="41">
        <f t="shared" si="0"/>
        <v>-9.05</v>
      </c>
      <c r="G9" s="41">
        <f t="shared" si="1"/>
      </c>
      <c r="I9" s="36">
        <v>-52.95</v>
      </c>
      <c r="J9" s="36">
        <v>137.06875</v>
      </c>
    </row>
    <row r="10" spans="1:10" x14ac:dyDescent="0.25">
      <c r="A10" s="36"/>
      <c r="B10" s="36"/>
      <c r="C10" s="36"/>
      <c r="D10" s="36"/>
      <c r="F10" s="41">
        <f t="shared" si="0"/>
        <v>-10.55</v>
      </c>
      <c r="G10" s="41">
        <f t="shared" si="1"/>
      </c>
      <c r="I10" s="36">
        <v>-55.95</v>
      </c>
      <c r="J10" s="36">
        <v>134.45</v>
      </c>
    </row>
    <row r="11" spans="1:10" x14ac:dyDescent="0.25">
      <c r="A11" s="36"/>
      <c r="B11" s="36"/>
      <c r="C11" s="36"/>
      <c r="D11" s="36"/>
      <c r="F11" s="41">
        <f t="shared" si="0"/>
        <v>-12.05</v>
      </c>
      <c r="G11" s="41">
        <f t="shared" si="1"/>
      </c>
      <c r="I11" s="36">
        <v>-63.45</v>
      </c>
      <c r="J11" s="36">
        <v>134.66875</v>
      </c>
    </row>
    <row r="12" spans="1:10" x14ac:dyDescent="0.25">
      <c r="A12" s="36"/>
      <c r="B12" s="36"/>
      <c r="C12" s="36"/>
      <c r="D12" s="36"/>
      <c r="F12" s="41">
        <f t="shared" si="0"/>
        <v>-13.55</v>
      </c>
      <c r="G12" s="41">
        <f t="shared" si="1"/>
      </c>
      <c r="I12" s="36">
        <v>-73.95</v>
      </c>
      <c r="J12" s="36">
        <v>136.46875</v>
      </c>
    </row>
    <row r="13" spans="1:10" x14ac:dyDescent="0.25">
      <c r="A13" s="36"/>
      <c r="B13" s="36"/>
      <c r="C13" s="36"/>
      <c r="D13" s="36"/>
      <c r="F13" s="41">
        <f t="shared" si="0"/>
        <v>-15.05</v>
      </c>
      <c r="G13" s="41">
        <f t="shared" si="1"/>
      </c>
      <c r="I13" s="36">
        <v>-85.95</v>
      </c>
      <c r="J13" s="36">
        <v>136.15625</v>
      </c>
    </row>
    <row r="14" spans="1:10" x14ac:dyDescent="0.25">
      <c r="A14" s="36"/>
      <c r="B14" s="36"/>
      <c r="C14" s="36"/>
      <c r="D14" s="36"/>
      <c r="F14" s="41">
        <f t="shared" si="0"/>
        <v>-16.55</v>
      </c>
      <c r="G14" s="41">
        <f t="shared" si="1"/>
      </c>
      <c r="I14" s="36">
        <v>-97.95</v>
      </c>
      <c r="J14" s="36">
        <v>134.98125</v>
      </c>
    </row>
    <row r="15" spans="1:10" x14ac:dyDescent="0.25">
      <c r="A15" s="36"/>
      <c r="B15" s="36"/>
      <c r="C15" s="36"/>
      <c r="D15" s="36"/>
      <c r="F15" s="41">
        <f t="shared" si="0"/>
        <v>-18.05</v>
      </c>
      <c r="G15" s="41">
        <f t="shared" si="1"/>
      </c>
      <c r="I15" s="36">
        <v>-102.45</v>
      </c>
      <c r="J15" s="36">
        <v>134.7</v>
      </c>
    </row>
    <row r="16" spans="1:10" x14ac:dyDescent="0.25">
      <c r="A16" s="36"/>
      <c r="B16" s="36"/>
      <c r="C16" s="36"/>
      <c r="D16" s="36"/>
      <c r="F16" s="41">
        <f t="shared" si="0"/>
        <v>-19.55</v>
      </c>
      <c r="G16" s="41">
        <f t="shared" si="1"/>
      </c>
      <c r="I16" s="36">
        <v>-111.45</v>
      </c>
      <c r="J16" s="36">
        <v>136.34375</v>
      </c>
    </row>
    <row r="17" spans="1:10" x14ac:dyDescent="0.25">
      <c r="A17" s="36"/>
      <c r="B17" s="36"/>
      <c r="C17" s="36"/>
      <c r="D17" s="36"/>
      <c r="F17" s="41">
        <f t="shared" si="0"/>
        <v>-21.05</v>
      </c>
      <c r="G17" s="41">
        <f t="shared" si="1"/>
      </c>
      <c r="I17" s="36">
        <v>-123.45</v>
      </c>
      <c r="J17" s="36">
        <v>136.675</v>
      </c>
    </row>
    <row r="18" spans="1:10" x14ac:dyDescent="0.25">
      <c r="A18" s="36"/>
      <c r="B18" s="36"/>
      <c r="C18" s="36"/>
      <c r="D18" s="36"/>
      <c r="F18" s="41">
        <f t="shared" si="0"/>
        <v>-22.55</v>
      </c>
      <c r="G18" s="41">
        <f t="shared" si="1"/>
        <v>137.05625</v>
      </c>
      <c r="I18" s="36">
        <v>-141.45</v>
      </c>
      <c r="J18" s="36">
        <v>136.68125</v>
      </c>
    </row>
    <row r="19" spans="1:10" x14ac:dyDescent="0.25">
      <c r="A19" s="36"/>
      <c r="B19" s="36"/>
      <c r="C19" s="36"/>
      <c r="D19" s="36"/>
      <c r="F19" s="41">
        <f t="shared" si="0"/>
        <v>-24.05</v>
      </c>
      <c r="G19" s="41">
        <f t="shared" si="1"/>
      </c>
      <c r="I19" s="36">
        <v>-157.85</v>
      </c>
      <c r="J19" s="36">
        <v>134.06875</v>
      </c>
    </row>
    <row r="20" spans="1:10" x14ac:dyDescent="0.25">
      <c r="A20" s="36"/>
      <c r="B20" s="36"/>
      <c r="C20" s="36"/>
      <c r="D20" s="36"/>
      <c r="F20" s="41">
        <f t="shared" si="0"/>
        <v>-24.9</v>
      </c>
      <c r="G20" s="41">
        <f t="shared" si="1"/>
      </c>
      <c r="I20" s="36">
        <v>-172.95</v>
      </c>
      <c r="J20" s="36">
        <v>133.90625</v>
      </c>
    </row>
    <row r="21" spans="1:10" x14ac:dyDescent="0.25">
      <c r="A21" s="36"/>
      <c r="B21" s="36"/>
      <c r="C21" s="36"/>
      <c r="D21" s="36"/>
      <c r="F21" s="41">
        <f t="shared" si="0"/>
        <v>-26.05</v>
      </c>
      <c r="G21" s="41">
        <f t="shared" si="1"/>
      </c>
      <c r="I21" s="36">
        <v>-190.95</v>
      </c>
      <c r="J21" s="36">
        <v>134.68125</v>
      </c>
    </row>
    <row r="22" spans="1:10" x14ac:dyDescent="0.25">
      <c r="A22" s="36"/>
      <c r="B22" s="36"/>
      <c r="C22" s="36"/>
      <c r="D22" s="36"/>
      <c r="F22" s="41">
        <f t="shared" si="0"/>
        <v>-27.2</v>
      </c>
      <c r="G22" s="41">
        <f t="shared" si="1"/>
        <v>135.85625</v>
      </c>
      <c r="I22" s="36">
        <v>-202.95</v>
      </c>
      <c r="J22" s="36">
        <v>135.8625</v>
      </c>
    </row>
    <row r="23" spans="1:10" x14ac:dyDescent="0.25">
      <c r="A23" s="36"/>
      <c r="B23" s="36"/>
      <c r="C23" s="36"/>
      <c r="D23" s="36"/>
      <c r="F23" s="41">
        <f t="shared" si="0"/>
        <v>-28.7</v>
      </c>
      <c r="G23" s="41">
        <f t="shared" si="1"/>
      </c>
      <c r="I23" s="36">
        <v>-216.45</v>
      </c>
      <c r="J23" s="36">
        <v>135.93125</v>
      </c>
    </row>
    <row r="24" spans="1:10" x14ac:dyDescent="0.25">
      <c r="A24" s="36"/>
      <c r="B24" s="36"/>
      <c r="C24" s="36"/>
      <c r="D24" s="36"/>
      <c r="F24" s="41">
        <f t="shared" si="0"/>
        <v>-30.2</v>
      </c>
      <c r="G24" s="41">
        <f t="shared" si="1"/>
      </c>
      <c r="I24" s="36">
        <v>-221.65</v>
      </c>
      <c r="J24" s="36">
        <v>134.31875</v>
      </c>
    </row>
    <row r="25" spans="1:10" x14ac:dyDescent="0.25">
      <c r="A25" s="36"/>
      <c r="B25" s="36"/>
      <c r="C25" s="36"/>
      <c r="D25" s="36"/>
      <c r="F25" s="41">
        <f t="shared" si="0"/>
        <v>-31.8</v>
      </c>
      <c r="G25" s="41">
        <f t="shared" si="1"/>
      </c>
      <c r="I25" s="36">
        <v>-229.55</v>
      </c>
      <c r="J25" s="36">
        <v>135.49375</v>
      </c>
    </row>
    <row r="26" spans="1:10" x14ac:dyDescent="0.25">
      <c r="A26" s="36"/>
      <c r="B26" s="36"/>
      <c r="C26" s="36"/>
      <c r="D26" s="36"/>
      <c r="F26" s="41">
        <f t="shared" si="0"/>
        <v>-33.4</v>
      </c>
      <c r="G26" s="41">
        <f t="shared" si="1"/>
      </c>
      <c r="I26" s="36">
        <v>-234.1</v>
      </c>
      <c r="J26" s="36">
        <v>134.68125</v>
      </c>
    </row>
    <row r="27" spans="1:10" x14ac:dyDescent="0.25">
      <c r="A27" s="36"/>
      <c r="B27" s="36"/>
      <c r="C27" s="36"/>
      <c r="D27" s="36"/>
      <c r="F27" s="41">
        <f t="shared" si="0"/>
        <v>-34.95</v>
      </c>
      <c r="G27" s="41">
        <f t="shared" si="1"/>
      </c>
      <c r="I27" s="36">
        <v>-243.45</v>
      </c>
      <c r="J27" s="36">
        <v>136.15</v>
      </c>
    </row>
    <row r="28" spans="1:10" x14ac:dyDescent="0.25">
      <c r="A28" s="36"/>
      <c r="B28" s="36"/>
      <c r="C28" s="36"/>
      <c r="D28" s="36"/>
      <c r="F28" s="41">
        <f t="shared" si="0"/>
        <v>-36.45</v>
      </c>
      <c r="G28" s="41">
        <f t="shared" si="1"/>
      </c>
      <c r="I28" s="36">
        <v>-256.75</v>
      </c>
      <c r="J28" s="36">
        <v>136.1125</v>
      </c>
    </row>
    <row r="29" spans="1:10" x14ac:dyDescent="0.25">
      <c r="A29" s="36"/>
      <c r="B29" s="36"/>
      <c r="C29" s="36"/>
      <c r="D29" s="36"/>
      <c r="F29" s="41">
        <f t="shared" si="0"/>
        <v>-37.95</v>
      </c>
      <c r="G29" s="41">
        <f t="shared" si="1"/>
      </c>
      <c r="I29" s="36">
        <v>-262.65</v>
      </c>
      <c r="J29" s="36">
        <v>136.11875</v>
      </c>
    </row>
    <row r="30" spans="1:10" x14ac:dyDescent="0.25">
      <c r="A30" s="36"/>
      <c r="B30" s="36"/>
      <c r="C30" s="36"/>
      <c r="D30" s="36"/>
      <c r="F30" s="41">
        <f t="shared" si="0"/>
        <v>-39.45</v>
      </c>
      <c r="G30" s="41">
        <f t="shared" si="1"/>
        <v>135.1</v>
      </c>
      <c r="I30" s="36">
        <v>-271.95</v>
      </c>
      <c r="J30" s="36">
        <v>135.65</v>
      </c>
    </row>
    <row r="31" spans="1:10" x14ac:dyDescent="0.25">
      <c r="A31" s="36"/>
      <c r="B31" s="36"/>
      <c r="C31" s="36"/>
      <c r="D31" s="36"/>
      <c r="F31" s="41">
        <f t="shared" si="0"/>
        <v>-40.95</v>
      </c>
      <c r="G31" s="41">
        <f t="shared" si="1"/>
      </c>
      <c r="I31" s="36">
        <v>-280.95</v>
      </c>
      <c r="J31" s="36">
        <v>134.475</v>
      </c>
    </row>
    <row r="32" spans="1:10" x14ac:dyDescent="0.25">
      <c r="A32" s="36"/>
      <c r="B32" s="36"/>
      <c r="C32" s="36"/>
      <c r="D32" s="36"/>
      <c r="F32" s="41">
        <f t="shared" si="0"/>
        <v>-42.35</v>
      </c>
      <c r="G32" s="41">
        <f t="shared" si="1"/>
      </c>
      <c r="I32" s="36">
        <v>-296.45</v>
      </c>
      <c r="J32" s="36">
        <v>136.275</v>
      </c>
    </row>
    <row r="33" spans="1:10" x14ac:dyDescent="0.25">
      <c r="A33" s="36"/>
      <c r="B33" s="36"/>
      <c r="C33" s="36"/>
      <c r="D33" s="36"/>
      <c r="F33" s="41">
        <f t="shared" si="0"/>
        <v>-43.95</v>
      </c>
      <c r="G33" s="41">
        <f t="shared" si="1"/>
      </c>
      <c r="I33" s="36">
        <v>-301.95</v>
      </c>
      <c r="J33" s="36">
        <v>135.975</v>
      </c>
    </row>
    <row r="34" spans="1:10" x14ac:dyDescent="0.25">
      <c r="A34" s="36"/>
      <c r="B34" s="36"/>
      <c r="C34" s="36"/>
      <c r="D34" s="36"/>
      <c r="F34" s="41">
        <f t="shared" ref="F34:F39" si="2">IF(IF(A34&lt;&gt;"",0-A34,0-B33)=0,"",IF(A34&lt;&gt;"",0-A34,0-B33))</f>
        <v>-45.45</v>
      </c>
      <c r="G34" s="41">
        <f t="shared" si="1"/>
      </c>
      <c r="I34" s="36">
        <v>-307.95</v>
      </c>
      <c r="J34" s="36">
        <v>135.24375</v>
      </c>
    </row>
    <row r="35" spans="1:10" x14ac:dyDescent="0.25">
      <c r="A35" s="36"/>
      <c r="B35" s="36"/>
      <c r="C35" s="36"/>
      <c r="D35" s="36"/>
      <c r="F35" s="41">
        <f t="shared" si="2"/>
        <v>-46.95</v>
      </c>
      <c r="G35" s="41">
        <f t="shared" si="1"/>
      </c>
      <c r="I35" s="36">
        <v>-315.45</v>
      </c>
      <c r="J35" s="36">
        <v>134.525</v>
      </c>
    </row>
    <row r="36" spans="1:10" x14ac:dyDescent="0.25">
      <c r="A36" s="36"/>
      <c r="B36" s="36"/>
      <c r="C36" s="36"/>
      <c r="D36" s="36"/>
      <c r="F36" s="41">
        <f t="shared" si="2"/>
        <v>-48.45</v>
      </c>
      <c r="G36" s="41">
        <f t="shared" si="1"/>
        <v>135.6625</v>
      </c>
      <c r="I36" s="36">
        <v>-321.45</v>
      </c>
      <c r="J36" s="36">
        <v>135.6</v>
      </c>
    </row>
    <row r="37" spans="1:10" x14ac:dyDescent="0.25">
      <c r="A37" s="36"/>
      <c r="B37" s="36"/>
      <c r="C37" s="36"/>
      <c r="D37" s="36"/>
      <c r="F37" s="41">
        <f t="shared" si="2"/>
        <v>-49.95</v>
      </c>
      <c r="G37" s="41">
        <f t="shared" si="1"/>
      </c>
      <c r="I37" s="36">
        <v>-330.15</v>
      </c>
      <c r="J37" s="36">
        <v>135.65625</v>
      </c>
    </row>
    <row r="38" spans="1:10" x14ac:dyDescent="0.25">
      <c r="A38" s="36"/>
      <c r="B38" s="36"/>
      <c r="C38" s="36"/>
      <c r="D38" s="36"/>
      <c r="F38" s="41">
        <f t="shared" si="2"/>
        <v>-51.45</v>
      </c>
      <c r="G38" s="41">
        <f t="shared" si="1"/>
      </c>
      <c r="I38" s="36">
        <v>-339.15</v>
      </c>
      <c r="J38" s="36">
        <v>134.85625</v>
      </c>
    </row>
    <row r="39" spans="1:10" x14ac:dyDescent="0.25">
      <c r="A39" s="36"/>
      <c r="B39" s="36"/>
      <c r="C39" s="36"/>
      <c r="D39" s="36"/>
      <c r="F39" s="41">
        <f t="shared" si="2"/>
        <v>-52.95</v>
      </c>
      <c r="G39" s="41">
        <f t="shared" si="1"/>
        <v>137.06875</v>
      </c>
      <c r="I39" s="36">
        <v>-357.15</v>
      </c>
      <c r="J39" s="36">
        <v>134.9375</v>
      </c>
    </row>
    <row r="40" spans="1:10" x14ac:dyDescent="0.25">
      <c r="A40" s="36"/>
      <c r="B40" s="36"/>
      <c r="C40" s="36"/>
      <c r="D40" s="36"/>
      <c r="F40" s="41">
        <f t="shared" ref="F40:F71" si="3">IF(IF(A40&lt;&gt;"",0-A40,0-B39)=0,"",IF(A40&lt;&gt;"",0-A40,0-B39))</f>
        <v>-54.45</v>
      </c>
      <c r="G40" s="41">
        <f t="shared" si="1"/>
      </c>
      <c r="I40" s="36">
        <v>-369.6</v>
      </c>
      <c r="J40" s="36">
        <v>135.7875</v>
      </c>
    </row>
    <row r="41" spans="1:10" x14ac:dyDescent="0.25">
      <c r="A41" s="36"/>
      <c r="B41" s="36"/>
      <c r="C41" s="36"/>
      <c r="D41" s="36"/>
      <c r="F41" s="41">
        <f t="shared" si="3"/>
        <v>-55.95</v>
      </c>
      <c r="G41" s="41">
        <f t="shared" si="1"/>
        <v>134.45</v>
      </c>
      <c r="I41" s="36">
        <v>-373.95</v>
      </c>
      <c r="J41" s="36">
        <v>135.8125</v>
      </c>
    </row>
    <row r="42" spans="1:10" x14ac:dyDescent="0.25">
      <c r="A42" s="36"/>
      <c r="B42" s="36"/>
      <c r="C42" s="36"/>
      <c r="D42" s="36"/>
      <c r="F42" s="41">
        <f t="shared" si="3"/>
        <v>-57.45</v>
      </c>
      <c r="G42" s="41">
        <f t="shared" si="1"/>
      </c>
      <c r="I42" s="36">
        <v>-385.95</v>
      </c>
      <c r="J42" s="36">
        <v>134.9625</v>
      </c>
    </row>
    <row r="43" spans="1:10" x14ac:dyDescent="0.25">
      <c r="A43" s="36"/>
      <c r="B43" s="36"/>
      <c r="C43" s="36"/>
      <c r="D43" s="36"/>
      <c r="F43" s="41">
        <f t="shared" si="3"/>
        <v>-58.95</v>
      </c>
      <c r="G43" s="41">
        <f t="shared" si="1"/>
      </c>
      <c r="I43" s="36">
        <v>-394.95</v>
      </c>
      <c r="J43" s="36">
        <v>134.88125</v>
      </c>
    </row>
    <row r="44" spans="1:10" x14ac:dyDescent="0.25">
      <c r="A44" s="36"/>
      <c r="B44" s="36"/>
      <c r="C44" s="36"/>
      <c r="D44" s="36"/>
      <c r="F44" s="41">
        <f t="shared" si="3"/>
        <v>-60.45</v>
      </c>
      <c r="G44" s="41">
        <f t="shared" si="1"/>
      </c>
      <c r="I44" s="36">
        <v>-414.3</v>
      </c>
      <c r="J44" s="36">
        <v>136.30625</v>
      </c>
    </row>
    <row r="45" spans="1:10" x14ac:dyDescent="0.25">
      <c r="A45" s="36"/>
      <c r="B45" s="36"/>
      <c r="C45" s="36"/>
      <c r="D45" s="36"/>
      <c r="F45" s="41">
        <f t="shared" si="3"/>
        <v>-61.95</v>
      </c>
      <c r="G45" s="41">
        <f t="shared" si="1"/>
      </c>
      <c r="I45" s="36">
        <v>-429.3</v>
      </c>
      <c r="J45" s="36">
        <v>135.69375</v>
      </c>
    </row>
    <row r="46" spans="1:10" x14ac:dyDescent="0.25">
      <c r="A46" s="36"/>
      <c r="B46" s="36"/>
      <c r="C46" s="36"/>
      <c r="D46" s="36"/>
      <c r="F46" s="41">
        <f t="shared" si="3"/>
        <v>-63.45</v>
      </c>
      <c r="G46" s="41">
        <f t="shared" si="1"/>
        <v>134.66875</v>
      </c>
      <c r="I46" s="36">
        <v>-436.8</v>
      </c>
      <c r="J46" s="36">
        <v>135.5375</v>
      </c>
    </row>
    <row r="47" spans="1:10" x14ac:dyDescent="0.25">
      <c r="A47" s="36"/>
      <c r="B47" s="36"/>
      <c r="C47" s="36"/>
      <c r="D47" s="36"/>
      <c r="F47" s="41">
        <f t="shared" si="3"/>
        <v>-64.95</v>
      </c>
      <c r="G47" s="41">
        <f t="shared" si="1"/>
      </c>
      <c r="I47" s="36">
        <v>-447.3</v>
      </c>
      <c r="J47" s="36">
        <v>135.59375</v>
      </c>
    </row>
    <row r="48" spans="1:10" x14ac:dyDescent="0.25">
      <c r="A48" s="36"/>
      <c r="B48" s="36"/>
      <c r="C48" s="36"/>
      <c r="D48" s="36"/>
      <c r="F48" s="41">
        <f t="shared" si="3"/>
        <v>-66.45</v>
      </c>
      <c r="G48" s="41">
        <f t="shared" si="1"/>
      </c>
      <c r="I48" s="36">
        <v>-462.3</v>
      </c>
      <c r="J48" s="36">
        <v>135.79375</v>
      </c>
    </row>
    <row r="49" spans="1:10" x14ac:dyDescent="0.25">
      <c r="A49" s="36"/>
      <c r="B49" s="36"/>
      <c r="C49" s="36"/>
      <c r="D49" s="36"/>
      <c r="F49" s="41">
        <f t="shared" si="3"/>
        <v>-67.95</v>
      </c>
      <c r="G49" s="41">
        <f t="shared" si="1"/>
      </c>
      <c r="I49" s="36">
        <v>-475.5</v>
      </c>
      <c r="J49" s="36">
        <v>135.88125</v>
      </c>
    </row>
    <row r="50" spans="1:10" x14ac:dyDescent="0.25">
      <c r="A50" s="36"/>
      <c r="B50" s="36"/>
      <c r="C50" s="36"/>
      <c r="D50" s="36"/>
      <c r="F50" s="41">
        <f t="shared" si="3"/>
        <v>-69.45</v>
      </c>
      <c r="G50" s="41">
        <f t="shared" si="1"/>
      </c>
      <c r="I50" s="36">
        <v>-489.3</v>
      </c>
      <c r="J50" s="36">
        <v>135.025</v>
      </c>
    </row>
    <row r="51" spans="1:10" x14ac:dyDescent="0.25">
      <c r="A51" s="36"/>
      <c r="B51" s="36"/>
      <c r="C51" s="36"/>
      <c r="D51" s="36"/>
      <c r="F51" s="41">
        <f t="shared" si="3"/>
        <v>-70.95</v>
      </c>
      <c r="G51" s="41">
        <f t="shared" si="1"/>
      </c>
      <c r="I51" s="36">
        <v>-504.3</v>
      </c>
      <c r="J51" s="36">
        <v>135.29375</v>
      </c>
    </row>
    <row r="52" spans="1:10" x14ac:dyDescent="0.25">
      <c r="A52" s="36"/>
      <c r="B52" s="36"/>
      <c r="C52" s="36"/>
      <c r="D52" s="36"/>
      <c r="F52" s="41">
        <f t="shared" si="3"/>
        <v>-72.45</v>
      </c>
      <c r="G52" s="41">
        <f t="shared" si="1"/>
      </c>
      <c r="I52" s="36">
        <v>-526.8</v>
      </c>
      <c r="J52" s="36">
        <v>135.96875</v>
      </c>
    </row>
    <row r="53" spans="1:10" x14ac:dyDescent="0.25">
      <c r="A53" s="36"/>
      <c r="B53" s="36"/>
      <c r="C53" s="36"/>
      <c r="D53" s="36"/>
      <c r="F53" s="41">
        <f t="shared" si="3"/>
        <v>-73.95</v>
      </c>
      <c r="G53" s="41">
        <f t="shared" si="1"/>
        <v>136.46875</v>
      </c>
      <c r="I53" s="36">
        <v>-541.8</v>
      </c>
      <c r="J53" s="36">
        <v>135.89375</v>
      </c>
    </row>
    <row r="54" spans="1:10" x14ac:dyDescent="0.25">
      <c r="A54" s="36"/>
      <c r="B54" s="36"/>
      <c r="C54" s="36"/>
      <c r="D54" s="36"/>
      <c r="F54" s="41">
        <f t="shared" si="3"/>
        <v>-75.45</v>
      </c>
      <c r="G54" s="41">
        <f t="shared" si="1"/>
      </c>
      <c r="I54" s="36">
        <v>-547.8</v>
      </c>
      <c r="J54" s="36">
        <v>135.76875</v>
      </c>
    </row>
    <row r="55" spans="1:10" x14ac:dyDescent="0.25">
      <c r="A55" s="36"/>
      <c r="B55" s="36"/>
      <c r="C55" s="36"/>
      <c r="D55" s="36"/>
      <c r="F55" s="41">
        <f t="shared" si="3"/>
        <v>-76.95</v>
      </c>
      <c r="G55" s="41">
        <f t="shared" si="1"/>
      </c>
      <c r="I55" s="36">
        <v>-553.8</v>
      </c>
      <c r="J55" s="36">
        <v>135.84375</v>
      </c>
    </row>
    <row r="56" spans="1:10" x14ac:dyDescent="0.25">
      <c r="A56" s="36"/>
      <c r="B56" s="36"/>
      <c r="C56" s="36"/>
      <c r="D56" s="36"/>
      <c r="F56" s="41">
        <f t="shared" si="3"/>
        <v>-78.45</v>
      </c>
      <c r="G56" s="41">
        <f t="shared" si="1"/>
      </c>
      <c r="I56" s="36">
        <v>-568.8</v>
      </c>
      <c r="J56" s="36">
        <v>135.475</v>
      </c>
    </row>
    <row r="57" spans="1:10" x14ac:dyDescent="0.25">
      <c r="A57" s="36"/>
      <c r="B57" s="36"/>
      <c r="C57" s="36"/>
      <c r="D57" s="36"/>
      <c r="F57" s="41">
        <f t="shared" si="3"/>
        <v>-79.95</v>
      </c>
      <c r="G57" s="41">
        <f t="shared" si="1"/>
      </c>
      <c r="I57" s="36">
        <v>-583.8</v>
      </c>
      <c r="J57" s="36">
        <v>135.1125</v>
      </c>
    </row>
    <row r="58" spans="1:10" x14ac:dyDescent="0.25">
      <c r="A58" s="36"/>
      <c r="B58" s="36"/>
      <c r="C58" s="36"/>
      <c r="D58" s="36"/>
      <c r="F58" s="41">
        <f t="shared" si="3"/>
        <v>-81.45</v>
      </c>
      <c r="G58" s="41">
        <f t="shared" si="1"/>
      </c>
      <c r="I58" s="36">
        <v>-589.8</v>
      </c>
      <c r="J58" s="36">
        <v>136.40625</v>
      </c>
    </row>
    <row r="59" spans="1:10" x14ac:dyDescent="0.25">
      <c r="A59" s="36"/>
      <c r="B59" s="36"/>
      <c r="C59" s="36"/>
      <c r="D59" s="36"/>
      <c r="F59" s="41">
        <f t="shared" si="3"/>
        <v>-82.95</v>
      </c>
      <c r="G59" s="41">
        <f t="shared" si="1"/>
      </c>
      <c r="I59" s="36">
        <v>-595.8</v>
      </c>
      <c r="J59" s="36">
        <v>136.34375</v>
      </c>
    </row>
    <row r="60" spans="1:10" x14ac:dyDescent="0.25">
      <c r="A60" s="36"/>
      <c r="B60" s="36"/>
      <c r="C60" s="36"/>
      <c r="D60" s="36"/>
      <c r="F60" s="41">
        <f t="shared" si="3"/>
        <v>-84.45</v>
      </c>
      <c r="G60" s="41">
        <f t="shared" si="1"/>
      </c>
      <c r="I60" s="36">
        <v>-603.3</v>
      </c>
      <c r="J60" s="36">
        <v>135.7125</v>
      </c>
    </row>
    <row r="61" spans="1:10" x14ac:dyDescent="0.25">
      <c r="A61" s="36"/>
      <c r="B61" s="36"/>
      <c r="C61" s="36"/>
      <c r="D61" s="36"/>
      <c r="F61" s="41">
        <f t="shared" si="3"/>
        <v>-85.95</v>
      </c>
      <c r="G61" s="41">
        <f t="shared" si="1"/>
        <v>136.15625</v>
      </c>
      <c r="I61" s="36">
        <v>-620.1</v>
      </c>
      <c r="J61" s="36">
        <v>136.63125</v>
      </c>
    </row>
    <row r="62" spans="1:10" x14ac:dyDescent="0.25">
      <c r="A62" s="36"/>
      <c r="B62" s="36"/>
      <c r="C62" s="36"/>
      <c r="D62" s="36"/>
      <c r="F62" s="41">
        <f t="shared" si="3"/>
        <v>-87.45</v>
      </c>
      <c r="G62" s="41">
        <f t="shared" si="1"/>
      </c>
      <c r="I62" s="36">
        <v>-631.8</v>
      </c>
      <c r="J62" s="36">
        <v>135.7</v>
      </c>
    </row>
    <row r="63" spans="1:10" x14ac:dyDescent="0.25">
      <c r="A63" s="36"/>
      <c r="B63" s="36"/>
      <c r="C63" s="36"/>
      <c r="D63" s="36"/>
      <c r="F63" s="41">
        <f t="shared" si="3"/>
        <v>-88.95</v>
      </c>
      <c r="G63" s="41">
        <f t="shared" si="1"/>
      </c>
      <c r="I63" s="36">
        <v>-639.3</v>
      </c>
      <c r="J63" s="36">
        <v>135.1</v>
      </c>
    </row>
    <row r="64" spans="1:10" x14ac:dyDescent="0.25">
      <c r="A64" s="36"/>
      <c r="B64" s="36"/>
      <c r="C64" s="36"/>
      <c r="D64" s="36"/>
      <c r="F64" s="41">
        <f t="shared" si="3"/>
        <v>-90.45</v>
      </c>
      <c r="G64" s="41">
        <f t="shared" si="1"/>
      </c>
      <c r="I64" s="36">
        <v>-645.3</v>
      </c>
      <c r="J64" s="36">
        <v>134.8375</v>
      </c>
    </row>
    <row r="65" spans="1:10" x14ac:dyDescent="0.25">
      <c r="A65" s="36"/>
      <c r="B65" s="36"/>
      <c r="C65" s="36"/>
      <c r="D65" s="36"/>
      <c r="F65" s="41">
        <f t="shared" si="3"/>
        <v>-91.95</v>
      </c>
      <c r="G65" s="41">
        <f t="shared" si="1"/>
      </c>
      <c r="I65" s="36">
        <v>-651.3</v>
      </c>
      <c r="J65" s="36">
        <v>136.01875</v>
      </c>
    </row>
    <row r="66" spans="1:10" x14ac:dyDescent="0.25">
      <c r="A66" s="36"/>
      <c r="B66" s="36"/>
      <c r="C66" s="36"/>
      <c r="D66" s="36"/>
      <c r="F66" s="41">
        <f t="shared" si="3"/>
        <v>-93.45</v>
      </c>
      <c r="G66" s="41">
        <f t="shared" si="1"/>
      </c>
      <c r="I66" s="36">
        <v>-657</v>
      </c>
      <c r="J66" s="36">
        <v>136.0125</v>
      </c>
    </row>
    <row r="67" spans="1:10" x14ac:dyDescent="0.25">
      <c r="A67" s="36"/>
      <c r="B67" s="36"/>
      <c r="C67" s="36"/>
      <c r="D67" s="36"/>
      <c r="F67" s="41">
        <f t="shared" si="3"/>
        <v>-94.95</v>
      </c>
      <c r="G67" s="41">
        <f t="shared" si="1"/>
      </c>
      <c r="I67" s="36">
        <v>-660.3</v>
      </c>
      <c r="J67" s="36">
        <v>135.06875</v>
      </c>
    </row>
    <row r="68" spans="1:10" x14ac:dyDescent="0.25">
      <c r="A68" s="36"/>
      <c r="B68" s="36"/>
      <c r="C68" s="36"/>
      <c r="D68" s="36"/>
      <c r="F68" s="41">
        <f t="shared" si="3"/>
        <v>-96.45</v>
      </c>
      <c r="G68" s="41">
        <f t="shared" si="1"/>
      </c>
      <c r="I68" s="36">
        <v>-670.8</v>
      </c>
      <c r="J68" s="36">
        <v>136.275</v>
      </c>
    </row>
    <row r="69" spans="1:10" x14ac:dyDescent="0.25">
      <c r="A69" s="36"/>
      <c r="B69" s="36"/>
      <c r="C69" s="36"/>
      <c r="D69" s="36"/>
      <c r="F69" s="41">
        <f t="shared" si="3"/>
        <v>-97.95</v>
      </c>
      <c r="G69" s="41">
        <f t="shared" ref="G69:G132" si="4">IF(((C68-D68)&lt;&gt;"")*(D68&lt;&gt;""),(137.5+(C68-D68)*5/8),"")</f>
        <v>134.98125</v>
      </c>
      <c r="I69" s="36">
        <v>-676.8</v>
      </c>
      <c r="J69" s="36">
        <v>135.86875</v>
      </c>
    </row>
    <row r="70" spans="1:10" x14ac:dyDescent="0.25">
      <c r="A70" s="36"/>
      <c r="B70" s="36"/>
      <c r="C70" s="36"/>
      <c r="D70" s="36"/>
      <c r="F70" s="41">
        <f t="shared" si="3"/>
        <v>-99.45</v>
      </c>
      <c r="G70" s="41">
        <f t="shared" si="4"/>
      </c>
      <c r="I70" s="36">
        <v>-679.8</v>
      </c>
      <c r="J70" s="36">
        <v>135.95</v>
      </c>
    </row>
    <row r="71" spans="1:10" x14ac:dyDescent="0.25">
      <c r="A71" s="36"/>
      <c r="B71" s="36"/>
      <c r="C71" s="36"/>
      <c r="D71" s="36"/>
      <c r="F71" s="41">
        <f t="shared" si="3"/>
        <v>-100.95</v>
      </c>
      <c r="G71" s="41">
        <f t="shared" si="4"/>
      </c>
      <c r="I71" s="36">
        <v>-693.25</v>
      </c>
      <c r="J71" s="36">
        <v>135.99375</v>
      </c>
    </row>
    <row r="72" spans="1:10" x14ac:dyDescent="0.25">
      <c r="A72" s="36"/>
      <c r="B72" s="36"/>
      <c r="C72" s="36"/>
      <c r="D72" s="36"/>
      <c r="F72" s="41">
        <f t="shared" ref="F72:F103" si="5">IF(IF(A72&lt;&gt;"",0-A72,0-B71)=0,"",IF(A72&lt;&gt;"",0-A72,0-B71))</f>
        <v>-102.45</v>
      </c>
      <c r="G72" s="41">
        <f t="shared" si="4"/>
        <v>134.7</v>
      </c>
      <c r="I72" s="36">
        <v>-696.25</v>
      </c>
      <c r="J72" s="36">
        <v>135.94375</v>
      </c>
    </row>
    <row r="73" spans="1:7" x14ac:dyDescent="0.25">
      <c r="A73" s="36"/>
      <c r="B73" s="36"/>
      <c r="C73" s="36"/>
      <c r="D73" s="36"/>
      <c r="F73" s="41">
        <f t="shared" si="5"/>
        <v>-103.95</v>
      </c>
      <c r="G73" s="41">
        <f t="shared" si="4"/>
      </c>
    </row>
    <row r="74" spans="1:7" x14ac:dyDescent="0.25">
      <c r="A74" s="36"/>
      <c r="B74" s="36"/>
      <c r="C74" s="36"/>
      <c r="D74" s="36"/>
      <c r="F74" s="41">
        <f t="shared" si="5"/>
        <v>-105.55</v>
      </c>
      <c r="G74" s="41">
        <f t="shared" si="4"/>
      </c>
    </row>
    <row r="75" spans="1:7" x14ac:dyDescent="0.25">
      <c r="A75" s="36"/>
      <c r="B75" s="36"/>
      <c r="C75" s="36"/>
      <c r="D75" s="36"/>
      <c r="F75" s="41">
        <f t="shared" si="5"/>
        <v>-106.4</v>
      </c>
      <c r="G75" s="41">
        <f t="shared" si="4"/>
      </c>
    </row>
    <row r="76" spans="1:7" x14ac:dyDescent="0.25">
      <c r="A76" s="36"/>
      <c r="B76" s="36"/>
      <c r="C76" s="36"/>
      <c r="D76" s="36"/>
      <c r="F76" s="41">
        <f t="shared" si="5"/>
        <v>-108.45</v>
      </c>
      <c r="G76" s="41">
        <f t="shared" si="4"/>
      </c>
    </row>
    <row r="77" spans="1:7" x14ac:dyDescent="0.25">
      <c r="A77" s="36"/>
      <c r="B77" s="36"/>
      <c r="C77" s="36"/>
      <c r="D77" s="36"/>
      <c r="F77" s="41">
        <f t="shared" si="5"/>
        <v>-111.45</v>
      </c>
      <c r="G77" s="41">
        <f t="shared" si="4"/>
        <v>136.34375</v>
      </c>
    </row>
    <row r="78" spans="1:7" x14ac:dyDescent="0.25">
      <c r="A78" s="36"/>
      <c r="B78" s="36"/>
      <c r="C78" s="36"/>
      <c r="D78" s="36"/>
      <c r="F78" s="41">
        <f t="shared" si="5"/>
        <v>-114.45</v>
      </c>
      <c r="G78" s="41">
        <f t="shared" si="4"/>
      </c>
    </row>
    <row r="79" spans="1:7" x14ac:dyDescent="0.25">
      <c r="A79" s="36"/>
      <c r="B79" s="36"/>
      <c r="C79" s="36"/>
      <c r="D79" s="36"/>
      <c r="F79" s="41">
        <f t="shared" si="5"/>
        <v>-117.45</v>
      </c>
      <c r="G79" s="41">
        <f t="shared" si="4"/>
      </c>
    </row>
    <row r="80" spans="1:7" x14ac:dyDescent="0.25">
      <c r="A80" s="36"/>
      <c r="B80" s="36"/>
      <c r="C80" s="36"/>
      <c r="D80" s="36"/>
      <c r="F80" s="41">
        <f t="shared" si="5"/>
        <v>-120.45</v>
      </c>
      <c r="G80" s="41">
        <f t="shared" si="4"/>
      </c>
    </row>
    <row r="81" spans="1:7" x14ac:dyDescent="0.25">
      <c r="A81" s="36"/>
      <c r="B81" s="36"/>
      <c r="C81" s="36"/>
      <c r="D81" s="36"/>
      <c r="F81" s="41">
        <f t="shared" si="5"/>
        <v>-123.45</v>
      </c>
      <c r="G81" s="41">
        <f t="shared" si="4"/>
        <v>136.675</v>
      </c>
    </row>
    <row r="82" spans="1:7" x14ac:dyDescent="0.25">
      <c r="A82" s="36"/>
      <c r="B82" s="36"/>
      <c r="C82" s="36"/>
      <c r="D82" s="36"/>
      <c r="F82" s="41">
        <f t="shared" si="5"/>
        <v>-126.45</v>
      </c>
      <c r="G82" s="41">
        <f t="shared" si="4"/>
      </c>
    </row>
    <row r="83" spans="1:7" x14ac:dyDescent="0.25">
      <c r="A83" s="36"/>
      <c r="B83" s="36"/>
      <c r="C83" s="36"/>
      <c r="D83" s="36"/>
      <c r="F83" s="41">
        <f t="shared" si="5"/>
        <v>-129.45</v>
      </c>
      <c r="G83" s="41">
        <f t="shared" si="4"/>
      </c>
    </row>
    <row r="84" spans="1:7" x14ac:dyDescent="0.25">
      <c r="A84" s="36"/>
      <c r="B84" s="36"/>
      <c r="C84" s="36"/>
      <c r="D84" s="36"/>
      <c r="F84" s="41">
        <f t="shared" si="5"/>
        <v>-132.45</v>
      </c>
      <c r="G84" s="41">
        <f t="shared" si="4"/>
      </c>
    </row>
    <row r="85" spans="1:7" x14ac:dyDescent="0.25">
      <c r="A85" s="36"/>
      <c r="B85" s="36"/>
      <c r="C85" s="36"/>
      <c r="D85" s="36"/>
      <c r="F85" s="41">
        <f t="shared" si="5"/>
        <v>-135.45</v>
      </c>
      <c r="G85" s="41">
        <f t="shared" si="4"/>
      </c>
    </row>
    <row r="86" spans="1:7" x14ac:dyDescent="0.25">
      <c r="A86" s="36"/>
      <c r="B86" s="36"/>
      <c r="C86" s="36"/>
      <c r="D86" s="36"/>
      <c r="F86" s="41">
        <f t="shared" si="5"/>
        <v>-138.45</v>
      </c>
      <c r="G86" s="41">
        <f t="shared" si="4"/>
      </c>
    </row>
    <row r="87" spans="1:7" x14ac:dyDescent="0.25">
      <c r="A87" s="36"/>
      <c r="B87" s="36"/>
      <c r="C87" s="36"/>
      <c r="D87" s="36"/>
      <c r="F87" s="41">
        <f t="shared" si="5"/>
        <v>-141.45</v>
      </c>
      <c r="G87" s="41">
        <f t="shared" si="4"/>
        <v>136.68125</v>
      </c>
    </row>
    <row r="88" spans="1:7" x14ac:dyDescent="0.25">
      <c r="A88" s="36"/>
      <c r="B88" s="36"/>
      <c r="C88" s="36"/>
      <c r="D88" s="36"/>
      <c r="F88" s="41">
        <f t="shared" si="5"/>
        <v>-144.45</v>
      </c>
      <c r="G88" s="41">
        <f t="shared" si="4"/>
      </c>
    </row>
    <row r="89" spans="1:7" x14ac:dyDescent="0.25">
      <c r="A89" s="36"/>
      <c r="B89" s="36"/>
      <c r="C89" s="36"/>
      <c r="D89" s="36"/>
      <c r="F89" s="41">
        <f t="shared" si="5"/>
        <v>-147.45</v>
      </c>
      <c r="G89" s="41">
        <f t="shared" si="4"/>
      </c>
    </row>
    <row r="90" spans="1:7" x14ac:dyDescent="0.25">
      <c r="A90" s="36"/>
      <c r="B90" s="36"/>
      <c r="C90" s="36"/>
      <c r="D90" s="36"/>
      <c r="F90" s="41">
        <f t="shared" si="5"/>
        <v>-150.45</v>
      </c>
      <c r="G90" s="41">
        <f t="shared" si="4"/>
      </c>
    </row>
    <row r="91" spans="1:7" x14ac:dyDescent="0.25">
      <c r="A91" s="36"/>
      <c r="B91" s="36"/>
      <c r="C91" s="36"/>
      <c r="D91" s="36"/>
      <c r="F91" s="41">
        <f t="shared" si="5"/>
        <v>-153.45</v>
      </c>
      <c r="G91" s="41">
        <f t="shared" si="4"/>
      </c>
    </row>
    <row r="92" spans="1:7" x14ac:dyDescent="0.25">
      <c r="A92" s="36"/>
      <c r="B92" s="36"/>
      <c r="C92" s="36"/>
      <c r="D92" s="36"/>
      <c r="F92" s="41">
        <f t="shared" si="5"/>
        <v>-155.15</v>
      </c>
      <c r="G92" s="41">
        <f t="shared" si="4"/>
      </c>
    </row>
    <row r="93" spans="1:7" x14ac:dyDescent="0.25">
      <c r="A93" s="36"/>
      <c r="B93" s="36"/>
      <c r="C93" s="36"/>
      <c r="D93" s="36"/>
      <c r="F93" s="41">
        <f t="shared" si="5"/>
        <v>-157.85</v>
      </c>
      <c r="G93" s="41">
        <f t="shared" si="4"/>
        <v>134.06875</v>
      </c>
    </row>
    <row r="94" spans="1:7" x14ac:dyDescent="0.25">
      <c r="A94" s="36"/>
      <c r="B94" s="36"/>
      <c r="C94" s="36"/>
      <c r="D94" s="36"/>
      <c r="F94" s="41">
        <f t="shared" si="5"/>
        <v>-160.95</v>
      </c>
      <c r="G94" s="41">
        <f t="shared" si="4"/>
      </c>
    </row>
    <row r="95" spans="1:7" x14ac:dyDescent="0.25">
      <c r="A95" s="36"/>
      <c r="B95" s="36"/>
      <c r="C95" s="36"/>
      <c r="D95" s="36"/>
      <c r="F95" s="41">
        <f t="shared" si="5"/>
        <v>-163.95</v>
      </c>
      <c r="G95" s="41">
        <f t="shared" si="4"/>
      </c>
    </row>
    <row r="96" spans="1:7" x14ac:dyDescent="0.25">
      <c r="A96" s="36"/>
      <c r="B96" s="36"/>
      <c r="C96" s="36"/>
      <c r="D96" s="36"/>
      <c r="F96" s="41">
        <f t="shared" si="5"/>
        <v>-166.95</v>
      </c>
      <c r="G96" s="41">
        <f t="shared" si="4"/>
      </c>
    </row>
    <row r="97" spans="1:7" x14ac:dyDescent="0.25">
      <c r="A97" s="36"/>
      <c r="B97" s="36"/>
      <c r="C97" s="36"/>
      <c r="D97" s="36"/>
      <c r="F97" s="41">
        <f t="shared" si="5"/>
        <v>-169.95</v>
      </c>
      <c r="G97" s="41">
        <f t="shared" si="4"/>
      </c>
    </row>
    <row r="98" spans="1:7" x14ac:dyDescent="0.25">
      <c r="A98" s="36"/>
      <c r="B98" s="36"/>
      <c r="C98" s="36"/>
      <c r="D98" s="36"/>
      <c r="F98" s="41">
        <f t="shared" si="5"/>
        <v>-172.95</v>
      </c>
      <c r="G98" s="41">
        <f t="shared" si="4"/>
        <v>133.90625</v>
      </c>
    </row>
    <row r="99" spans="1:7" x14ac:dyDescent="0.25">
      <c r="A99" s="36"/>
      <c r="B99" s="36"/>
      <c r="C99" s="36"/>
      <c r="D99" s="36"/>
      <c r="F99" s="41">
        <f t="shared" si="5"/>
        <v>-175.95</v>
      </c>
      <c r="G99" s="41">
        <f t="shared" si="4"/>
      </c>
    </row>
    <row r="100" spans="1:7" x14ac:dyDescent="0.25">
      <c r="A100" s="36"/>
      <c r="B100" s="36"/>
      <c r="C100" s="36"/>
      <c r="D100" s="36"/>
      <c r="F100" s="41">
        <f t="shared" si="5"/>
        <v>-178.95</v>
      </c>
      <c r="G100" s="41">
        <f t="shared" si="4"/>
      </c>
    </row>
    <row r="101" spans="1:7" x14ac:dyDescent="0.25">
      <c r="A101" s="36"/>
      <c r="B101" s="36"/>
      <c r="C101" s="36"/>
      <c r="D101" s="36"/>
      <c r="F101" s="41">
        <f t="shared" si="5"/>
        <v>-181.95</v>
      </c>
      <c r="G101" s="41">
        <f t="shared" si="4"/>
      </c>
    </row>
    <row r="102" spans="1:7" x14ac:dyDescent="0.25">
      <c r="A102" s="36"/>
      <c r="B102" s="36"/>
      <c r="C102" s="36"/>
      <c r="D102" s="36"/>
      <c r="F102" s="41">
        <f t="shared" si="5"/>
        <v>-184.95</v>
      </c>
      <c r="G102" s="41">
        <f t="shared" si="4"/>
      </c>
    </row>
    <row r="103" spans="1:7" x14ac:dyDescent="0.25">
      <c r="A103" s="36"/>
      <c r="B103" s="36"/>
      <c r="C103" s="36"/>
      <c r="D103" s="36"/>
      <c r="F103" s="41">
        <f t="shared" si="5"/>
        <v>-187.95</v>
      </c>
      <c r="G103" s="41">
        <f t="shared" si="4"/>
      </c>
    </row>
    <row r="104" spans="1:7" x14ac:dyDescent="0.25">
      <c r="A104" s="36"/>
      <c r="B104" s="36"/>
      <c r="C104" s="36"/>
      <c r="D104" s="36"/>
      <c r="F104" s="41">
        <f t="shared" ref="F104:F128" si="6">IF(IF(A104&lt;&gt;"",0-A104,0-B103)=0,"",IF(A104&lt;&gt;"",0-A104,0-B103))</f>
        <v>-190.95</v>
      </c>
      <c r="G104" s="41">
        <f t="shared" si="4"/>
        <v>134.68125</v>
      </c>
    </row>
    <row r="105" spans="1:7" x14ac:dyDescent="0.25">
      <c r="A105" s="36"/>
      <c r="B105" s="36"/>
      <c r="C105" s="36"/>
      <c r="D105" s="36"/>
      <c r="F105" s="41">
        <f t="shared" si="6"/>
        <v>-193.95</v>
      </c>
      <c r="G105" s="41">
        <f t="shared" si="4"/>
      </c>
    </row>
    <row r="106" spans="1:7" x14ac:dyDescent="0.25">
      <c r="A106" s="36"/>
      <c r="B106" s="36"/>
      <c r="C106" s="36"/>
      <c r="D106" s="36"/>
      <c r="F106" s="41">
        <f t="shared" si="6"/>
        <v>-196.95</v>
      </c>
      <c r="G106" s="41">
        <f t="shared" si="4"/>
      </c>
    </row>
    <row r="107" spans="1:7" x14ac:dyDescent="0.25">
      <c r="A107" s="36"/>
      <c r="B107" s="36"/>
      <c r="C107" s="36"/>
      <c r="D107" s="36"/>
      <c r="F107" s="41">
        <f t="shared" si="6"/>
        <v>-199.95</v>
      </c>
      <c r="G107" s="41">
        <f t="shared" si="4"/>
      </c>
    </row>
    <row r="108" spans="1:7" x14ac:dyDescent="0.25">
      <c r="A108" s="36"/>
      <c r="B108" s="36"/>
      <c r="C108" s="36"/>
      <c r="D108" s="36"/>
      <c r="F108" s="41">
        <f t="shared" si="6"/>
        <v>-202.95</v>
      </c>
      <c r="G108" s="41">
        <f t="shared" si="4"/>
        <v>135.8625</v>
      </c>
    </row>
    <row r="109" spans="1:7" x14ac:dyDescent="0.25">
      <c r="A109" s="36"/>
      <c r="B109" s="36"/>
      <c r="C109" s="36"/>
      <c r="D109" s="36"/>
      <c r="F109" s="41">
        <f t="shared" si="6"/>
        <v>-205.95</v>
      </c>
      <c r="G109" s="41">
        <f t="shared" si="4"/>
      </c>
    </row>
    <row r="110" spans="1:7" x14ac:dyDescent="0.25">
      <c r="A110" s="36"/>
      <c r="B110" s="36"/>
      <c r="C110" s="36"/>
      <c r="D110" s="36"/>
      <c r="F110" s="41">
        <f t="shared" si="6"/>
        <v>-208.95</v>
      </c>
      <c r="G110" s="41">
        <f t="shared" si="4"/>
      </c>
    </row>
    <row r="111" spans="1:7" x14ac:dyDescent="0.25">
      <c r="A111" s="36"/>
      <c r="B111" s="36"/>
      <c r="C111" s="36"/>
      <c r="D111" s="36"/>
      <c r="F111" s="41">
        <f t="shared" si="6"/>
        <v>-211.95</v>
      </c>
      <c r="G111" s="41">
        <f t="shared" si="4"/>
      </c>
    </row>
    <row r="112" spans="1:7" x14ac:dyDescent="0.25">
      <c r="A112" s="36"/>
      <c r="B112" s="36"/>
      <c r="C112" s="36"/>
      <c r="D112" s="36"/>
      <c r="F112" s="41">
        <f t="shared" si="6"/>
        <v>-213.35</v>
      </c>
      <c r="G112" s="41">
        <f t="shared" si="4"/>
      </c>
    </row>
    <row r="113" spans="1:7" x14ac:dyDescent="0.25">
      <c r="A113" s="36"/>
      <c r="B113" s="36"/>
      <c r="C113" s="36"/>
      <c r="D113" s="36"/>
      <c r="F113" s="41">
        <f t="shared" si="6"/>
        <v>-216.45</v>
      </c>
      <c r="G113" s="41">
        <f t="shared" si="4"/>
        <v>135.93125</v>
      </c>
    </row>
    <row r="114" spans="1:7" x14ac:dyDescent="0.25">
      <c r="A114" s="36"/>
      <c r="B114" s="36"/>
      <c r="C114" s="36"/>
      <c r="D114" s="36"/>
      <c r="F114" s="41">
        <f t="shared" si="6"/>
        <v>-219.45</v>
      </c>
      <c r="G114" s="41">
        <f t="shared" si="4"/>
      </c>
    </row>
    <row r="115" spans="1:7" x14ac:dyDescent="0.25">
      <c r="A115" s="36"/>
      <c r="B115" s="36"/>
      <c r="C115" s="36"/>
      <c r="D115" s="36"/>
      <c r="F115" s="41">
        <f t="shared" si="6"/>
        <v>-221.65</v>
      </c>
      <c r="G115" s="41">
        <f t="shared" si="4"/>
        <v>134.31875</v>
      </c>
    </row>
    <row r="116" spans="1:7" x14ac:dyDescent="0.25">
      <c r="A116" s="36"/>
      <c r="B116" s="36"/>
      <c r="C116" s="36"/>
      <c r="D116" s="36"/>
      <c r="F116" s="41">
        <f t="shared" si="6"/>
        <v>-223.95</v>
      </c>
      <c r="G116" s="41">
        <f t="shared" si="4"/>
      </c>
    </row>
    <row r="117" spans="1:7" x14ac:dyDescent="0.25">
      <c r="A117" s="36"/>
      <c r="B117" s="36"/>
      <c r="C117" s="36"/>
      <c r="D117" s="36"/>
      <c r="F117" s="41">
        <f t="shared" si="6"/>
        <v>-226.95</v>
      </c>
      <c r="G117" s="41">
        <f t="shared" si="4"/>
      </c>
    </row>
    <row r="118" spans="1:7" x14ac:dyDescent="0.25">
      <c r="A118" s="36"/>
      <c r="B118" s="36"/>
      <c r="C118" s="36"/>
      <c r="D118" s="36"/>
      <c r="F118" s="41">
        <f t="shared" si="6"/>
        <v>-229.55</v>
      </c>
      <c r="G118" s="41">
        <f t="shared" si="4"/>
        <v>135.49375</v>
      </c>
    </row>
    <row r="119" spans="1:7" x14ac:dyDescent="0.25">
      <c r="A119" s="36"/>
      <c r="B119" s="36"/>
      <c r="C119" s="36"/>
      <c r="D119" s="36"/>
      <c r="F119" s="41">
        <f t="shared" si="6"/>
        <v>-232.55</v>
      </c>
      <c r="G119" s="41">
        <f t="shared" si="4"/>
      </c>
    </row>
    <row r="120" spans="1:7" x14ac:dyDescent="0.25">
      <c r="A120" s="36"/>
      <c r="B120" s="36"/>
      <c r="C120" s="36"/>
      <c r="D120" s="36"/>
      <c r="F120" s="41">
        <f t="shared" si="6"/>
        <v>-234.1</v>
      </c>
      <c r="G120" s="41">
        <f t="shared" si="4"/>
        <v>134.68125</v>
      </c>
    </row>
    <row r="121" spans="1:7" x14ac:dyDescent="0.25">
      <c r="A121" s="36"/>
      <c r="B121" s="36"/>
      <c r="C121" s="36"/>
      <c r="D121" s="36"/>
      <c r="F121" s="41">
        <f t="shared" si="6"/>
        <v>-236.15</v>
      </c>
      <c r="G121" s="41">
        <f t="shared" si="4"/>
      </c>
    </row>
    <row r="122" spans="1:7" x14ac:dyDescent="0.25">
      <c r="A122" s="36"/>
      <c r="B122" s="36"/>
      <c r="C122" s="36"/>
      <c r="D122" s="36"/>
      <c r="F122" s="41">
        <f t="shared" si="6"/>
        <v>-238.45</v>
      </c>
      <c r="G122" s="41">
        <f t="shared" si="4"/>
      </c>
    </row>
    <row r="123" spans="1:7" x14ac:dyDescent="0.25">
      <c r="A123" s="36"/>
      <c r="B123" s="36"/>
      <c r="C123" s="36"/>
      <c r="D123" s="36"/>
      <c r="F123" s="41">
        <f t="shared" si="6"/>
        <v>-240.65</v>
      </c>
      <c r="G123" s="41">
        <f t="shared" si="4"/>
      </c>
    </row>
    <row r="124" spans="1:7" x14ac:dyDescent="0.25">
      <c r="A124" s="36"/>
      <c r="B124" s="36"/>
      <c r="C124" s="36"/>
      <c r="D124" s="36"/>
      <c r="F124" s="41">
        <f t="shared" si="6"/>
        <v>-243.45</v>
      </c>
      <c r="G124" s="41">
        <f t="shared" si="4"/>
        <v>136.15</v>
      </c>
    </row>
    <row r="125" spans="1:7" x14ac:dyDescent="0.25">
      <c r="A125" s="36"/>
      <c r="B125" s="36"/>
      <c r="C125" s="36"/>
      <c r="D125" s="36"/>
      <c r="F125" s="41">
        <f t="shared" si="6"/>
        <v>-244.95</v>
      </c>
      <c r="G125" s="41">
        <f t="shared" si="4"/>
      </c>
    </row>
    <row r="126" spans="1:7" x14ac:dyDescent="0.25">
      <c r="A126" s="36"/>
      <c r="B126" s="36"/>
      <c r="C126" s="36"/>
      <c r="D126" s="36"/>
      <c r="F126" s="41">
        <f t="shared" si="6"/>
        <v>-247.95</v>
      </c>
      <c r="G126" s="41">
        <f t="shared" si="4"/>
      </c>
    </row>
    <row r="127" spans="1:7" x14ac:dyDescent="0.25">
      <c r="A127" s="36"/>
      <c r="B127" s="36"/>
      <c r="C127" s="36"/>
      <c r="D127" s="36"/>
      <c r="F127" s="41">
        <f t="shared" si="6"/>
        <v>-250.95</v>
      </c>
      <c r="G127" s="41">
        <f t="shared" si="4"/>
      </c>
    </row>
    <row r="128" spans="1:7" x14ac:dyDescent="0.25">
      <c r="A128" s="36"/>
      <c r="B128" s="36"/>
      <c r="C128" s="36"/>
      <c r="D128" s="36"/>
      <c r="F128" s="41">
        <f t="shared" si="6"/>
        <v>-253.85</v>
      </c>
      <c r="G128" s="41">
        <f t="shared" si="4"/>
      </c>
    </row>
    <row r="129" spans="1:7" x14ac:dyDescent="0.25">
      <c r="A129" s="36"/>
      <c r="B129" s="36"/>
      <c r="C129" s="36"/>
      <c r="D129" s="36"/>
      <c r="F129" s="41">
        <f t="shared" ref="F129:F160" si="7">IF(IF(A129&lt;&gt;"",0-A129,0-B128)=0,"",IF(A129&lt;&gt;"",0-A129,0-B128))</f>
        <v>-256.75</v>
      </c>
      <c r="G129" s="41">
        <f t="shared" si="4"/>
        <v>136.1125</v>
      </c>
    </row>
    <row r="130" spans="1:7" x14ac:dyDescent="0.25">
      <c r="A130" s="36"/>
      <c r="B130" s="36"/>
      <c r="C130" s="36"/>
      <c r="D130" s="36"/>
      <c r="F130" s="41">
        <f t="shared" si="7"/>
        <v>-259.75</v>
      </c>
      <c r="G130" s="41">
        <f t="shared" si="4"/>
      </c>
    </row>
    <row r="131" spans="1:7" x14ac:dyDescent="0.25">
      <c r="A131" s="36"/>
      <c r="B131" s="36"/>
      <c r="C131" s="36"/>
      <c r="D131" s="36"/>
      <c r="F131" s="41">
        <f t="shared" si="7"/>
        <v>-262.65</v>
      </c>
      <c r="G131" s="41">
        <f t="shared" si="4"/>
        <v>136.11875</v>
      </c>
    </row>
    <row r="132" spans="1:7" x14ac:dyDescent="0.25">
      <c r="A132" s="36"/>
      <c r="B132" s="36"/>
      <c r="C132" s="36"/>
      <c r="D132" s="36"/>
      <c r="F132" s="41">
        <f t="shared" si="7"/>
        <v>-265.45</v>
      </c>
      <c r="G132" s="41">
        <f t="shared" si="4"/>
      </c>
    </row>
    <row r="133" spans="1:7" x14ac:dyDescent="0.25">
      <c r="A133" s="36"/>
      <c r="B133" s="36"/>
      <c r="C133" s="36"/>
      <c r="D133" s="36"/>
      <c r="F133" s="41">
        <f t="shared" si="7"/>
        <v>-267.45</v>
      </c>
      <c r="G133" s="41">
        <f t="shared" ref="G133:G196" si="8">IF(((C132-D132)&lt;&gt;"")*(D132&lt;&gt;""),(137.5+(C132-D132)*5/8),"")</f>
      </c>
    </row>
    <row r="134" spans="1:7" x14ac:dyDescent="0.25">
      <c r="A134" s="36"/>
      <c r="B134" s="36"/>
      <c r="C134" s="36"/>
      <c r="D134" s="36"/>
      <c r="F134" s="41">
        <f t="shared" si="7"/>
        <v>-268.95</v>
      </c>
      <c r="G134" s="41">
        <f t="shared" si="8"/>
      </c>
    </row>
    <row r="135" spans="1:7" x14ac:dyDescent="0.25">
      <c r="A135" s="36"/>
      <c r="B135" s="36"/>
      <c r="C135" s="36"/>
      <c r="D135" s="36"/>
      <c r="F135" s="41">
        <f t="shared" si="7"/>
        <v>-271.95</v>
      </c>
      <c r="G135" s="41">
        <f t="shared" si="8"/>
        <v>135.65</v>
      </c>
    </row>
    <row r="136" spans="1:7" x14ac:dyDescent="0.25">
      <c r="A136" s="36"/>
      <c r="B136" s="36"/>
      <c r="C136" s="36"/>
      <c r="D136" s="36"/>
      <c r="F136" s="41">
        <f t="shared" si="7"/>
        <v>-274.95</v>
      </c>
      <c r="G136" s="41">
        <f t="shared" si="8"/>
      </c>
    </row>
    <row r="137" spans="1:7" x14ac:dyDescent="0.25">
      <c r="A137" s="36"/>
      <c r="B137" s="36"/>
      <c r="C137" s="36"/>
      <c r="D137" s="36"/>
      <c r="F137" s="41">
        <f t="shared" si="7"/>
        <v>-277.95</v>
      </c>
      <c r="G137" s="41">
        <f t="shared" si="8"/>
      </c>
    </row>
    <row r="138" spans="1:7" x14ac:dyDescent="0.25">
      <c r="A138" s="36"/>
      <c r="B138" s="36"/>
      <c r="C138" s="36"/>
      <c r="D138" s="36"/>
      <c r="F138" s="41">
        <f t="shared" si="7"/>
        <v>-280.95</v>
      </c>
      <c r="G138" s="41">
        <f t="shared" si="8"/>
        <v>134.475</v>
      </c>
    </row>
    <row r="139" spans="1:7" x14ac:dyDescent="0.25">
      <c r="A139" s="36"/>
      <c r="B139" s="36"/>
      <c r="C139" s="36"/>
      <c r="D139" s="36"/>
      <c r="F139" s="41">
        <f t="shared" si="7"/>
        <v>-283.55</v>
      </c>
      <c r="G139" s="41">
        <f t="shared" si="8"/>
      </c>
    </row>
    <row r="140" spans="1:7" x14ac:dyDescent="0.25">
      <c r="A140" s="36"/>
      <c r="B140" s="36"/>
      <c r="C140" s="36"/>
      <c r="D140" s="36"/>
      <c r="F140" s="41">
        <f t="shared" si="7"/>
        <v>-286.55</v>
      </c>
      <c r="G140" s="41">
        <f t="shared" si="8"/>
      </c>
    </row>
    <row r="141" spans="1:7" x14ac:dyDescent="0.25">
      <c r="A141" s="36"/>
      <c r="B141" s="36"/>
      <c r="C141" s="36"/>
      <c r="D141" s="36"/>
      <c r="F141" s="41">
        <f t="shared" si="7"/>
        <v>-289.55</v>
      </c>
      <c r="G141" s="41">
        <f t="shared" si="8"/>
      </c>
    </row>
    <row r="142" spans="1:7" x14ac:dyDescent="0.25">
      <c r="A142" s="36"/>
      <c r="B142" s="36"/>
      <c r="C142" s="36"/>
      <c r="D142" s="36"/>
      <c r="F142" s="41">
        <f t="shared" si="7"/>
        <v>-291.45</v>
      </c>
      <c r="G142" s="41">
        <f t="shared" si="8"/>
      </c>
    </row>
    <row r="143" spans="1:7" x14ac:dyDescent="0.25">
      <c r="A143" s="36"/>
      <c r="B143" s="36"/>
      <c r="C143" s="36"/>
      <c r="D143" s="36"/>
      <c r="F143" s="41">
        <f t="shared" si="7"/>
        <v>-294.45</v>
      </c>
      <c r="G143" s="41">
        <f t="shared" si="8"/>
      </c>
    </row>
    <row r="144" spans="1:7" x14ac:dyDescent="0.25">
      <c r="A144" s="36"/>
      <c r="B144" s="36"/>
      <c r="C144" s="36"/>
      <c r="D144" s="36"/>
      <c r="F144" s="41">
        <f t="shared" si="7"/>
        <v>-296.45</v>
      </c>
      <c r="G144" s="41">
        <f t="shared" si="8"/>
        <v>136.275</v>
      </c>
    </row>
    <row r="145" spans="1:7" x14ac:dyDescent="0.25">
      <c r="A145" s="36"/>
      <c r="B145" s="36"/>
      <c r="C145" s="36"/>
      <c r="D145" s="36"/>
      <c r="F145" s="41">
        <f t="shared" si="7"/>
        <v>-298.95</v>
      </c>
      <c r="G145" s="41">
        <f t="shared" si="8"/>
      </c>
    </row>
    <row r="146" spans="1:7" x14ac:dyDescent="0.25">
      <c r="A146" s="36"/>
      <c r="B146" s="36"/>
      <c r="C146" s="36"/>
      <c r="D146" s="36"/>
      <c r="F146" s="41">
        <f t="shared" si="7"/>
        <v>-301.95</v>
      </c>
      <c r="G146" s="41">
        <f t="shared" si="8"/>
        <v>135.975</v>
      </c>
    </row>
    <row r="147" spans="1:7" x14ac:dyDescent="0.25">
      <c r="A147" s="36"/>
      <c r="B147" s="36"/>
      <c r="C147" s="36"/>
      <c r="D147" s="36"/>
      <c r="F147" s="41">
        <f t="shared" si="7"/>
        <v>-304.95</v>
      </c>
      <c r="G147" s="41">
        <f t="shared" si="8"/>
      </c>
    </row>
    <row r="148" spans="1:7" x14ac:dyDescent="0.25">
      <c r="A148" s="36"/>
      <c r="B148" s="36"/>
      <c r="C148" s="36"/>
      <c r="D148" s="36"/>
      <c r="F148" s="41">
        <f t="shared" si="7"/>
        <v>-307.95</v>
      </c>
      <c r="G148" s="41">
        <f t="shared" si="8"/>
        <v>135.24375</v>
      </c>
    </row>
    <row r="149" spans="1:7" x14ac:dyDescent="0.25">
      <c r="A149" s="36"/>
      <c r="B149" s="36"/>
      <c r="C149" s="36"/>
      <c r="D149" s="36"/>
      <c r="F149" s="41">
        <f t="shared" si="7"/>
        <v>-310.95</v>
      </c>
      <c r="G149" s="41">
        <f t="shared" si="8"/>
      </c>
    </row>
    <row r="150" spans="1:7" x14ac:dyDescent="0.25">
      <c r="A150" s="36"/>
      <c r="B150" s="36"/>
      <c r="C150" s="36"/>
      <c r="D150" s="36"/>
      <c r="F150" s="41">
        <f t="shared" si="7"/>
        <v>-313.05</v>
      </c>
      <c r="G150" s="41">
        <f t="shared" si="8"/>
      </c>
    </row>
    <row r="151" spans="1:7" x14ac:dyDescent="0.25">
      <c r="A151" s="36"/>
      <c r="B151" s="36"/>
      <c r="C151" s="36"/>
      <c r="D151" s="36"/>
      <c r="F151" s="41">
        <f t="shared" si="7"/>
        <v>-315.45</v>
      </c>
      <c r="G151" s="41">
        <f t="shared" si="8"/>
        <v>134.525</v>
      </c>
    </row>
    <row r="152" spans="1:7" x14ac:dyDescent="0.25">
      <c r="A152" s="36"/>
      <c r="B152" s="36"/>
      <c r="C152" s="36"/>
      <c r="D152" s="36"/>
      <c r="F152" s="41">
        <f t="shared" si="7"/>
        <v>-318.45</v>
      </c>
      <c r="G152" s="41">
        <f t="shared" si="8"/>
      </c>
    </row>
    <row r="153" spans="1:7" x14ac:dyDescent="0.25">
      <c r="A153" s="36"/>
      <c r="B153" s="36"/>
      <c r="C153" s="36"/>
      <c r="D153" s="36"/>
      <c r="F153" s="41">
        <f t="shared" si="7"/>
        <v>-321.45</v>
      </c>
      <c r="G153" s="41">
        <f t="shared" si="8"/>
        <v>135.6</v>
      </c>
    </row>
    <row r="154" spans="1:7" x14ac:dyDescent="0.25">
      <c r="A154" s="36"/>
      <c r="B154" s="36"/>
      <c r="C154" s="36"/>
      <c r="D154" s="36"/>
      <c r="F154" s="41">
        <f t="shared" si="7"/>
        <v>-324.45</v>
      </c>
      <c r="G154" s="41">
        <f t="shared" si="8"/>
      </c>
    </row>
    <row r="155" spans="1:7" x14ac:dyDescent="0.25">
      <c r="A155" s="36"/>
      <c r="B155" s="36"/>
      <c r="C155" s="36"/>
      <c r="D155" s="36"/>
      <c r="F155" s="41">
        <f t="shared" si="7"/>
        <v>-327.15</v>
      </c>
      <c r="G155" s="41">
        <f t="shared" si="8"/>
      </c>
    </row>
    <row r="156" spans="1:7" x14ac:dyDescent="0.25">
      <c r="A156" s="36"/>
      <c r="B156" s="36"/>
      <c r="C156" s="36"/>
      <c r="D156" s="36"/>
      <c r="F156" s="41">
        <f t="shared" si="7"/>
        <v>-330.15</v>
      </c>
      <c r="G156" s="41">
        <f t="shared" si="8"/>
        <v>135.65625</v>
      </c>
    </row>
    <row r="157" spans="1:7" x14ac:dyDescent="0.25">
      <c r="A157" s="36"/>
      <c r="B157" s="36"/>
      <c r="C157" s="36"/>
      <c r="D157" s="36"/>
      <c r="F157" s="41">
        <f t="shared" si="7"/>
        <v>-333.15</v>
      </c>
      <c r="G157" s="41">
        <f t="shared" si="8"/>
      </c>
    </row>
    <row r="158" spans="1:7" x14ac:dyDescent="0.25">
      <c r="A158" s="36"/>
      <c r="B158" s="36"/>
      <c r="C158" s="36"/>
      <c r="D158" s="36"/>
      <c r="F158" s="41">
        <f t="shared" si="7"/>
        <v>-336.15</v>
      </c>
      <c r="G158" s="41">
        <f t="shared" si="8"/>
      </c>
    </row>
    <row r="159" spans="1:7" x14ac:dyDescent="0.25">
      <c r="A159" s="36"/>
      <c r="B159" s="36"/>
      <c r="C159" s="36"/>
      <c r="D159" s="36"/>
      <c r="F159" s="41">
        <f t="shared" si="7"/>
        <v>-339.15</v>
      </c>
      <c r="G159" s="41">
        <f t="shared" si="8"/>
        <v>134.85625</v>
      </c>
    </row>
    <row r="160" spans="1:7" x14ac:dyDescent="0.25">
      <c r="A160" s="36"/>
      <c r="B160" s="36"/>
      <c r="C160" s="36"/>
      <c r="D160" s="36"/>
      <c r="F160" s="41">
        <f t="shared" si="7"/>
        <v>-342.15</v>
      </c>
      <c r="G160" s="41">
        <f t="shared" si="8"/>
      </c>
    </row>
    <row r="161" spans="1:7" x14ac:dyDescent="0.25">
      <c r="A161" s="36"/>
      <c r="B161" s="36"/>
      <c r="C161" s="36"/>
      <c r="D161" s="36"/>
      <c r="F161" s="41">
        <f t="shared" ref="F161:F193" si="9">IF(IF(A161&lt;&gt;"",0-A161,0-B160)=0,"",IF(A161&lt;&gt;"",0-A161,0-B160))</f>
        <v>-345.15</v>
      </c>
      <c r="G161" s="41">
        <f t="shared" si="8"/>
      </c>
    </row>
    <row r="162" spans="1:7" x14ac:dyDescent="0.25">
      <c r="A162" s="36"/>
      <c r="B162" s="36"/>
      <c r="C162" s="36"/>
      <c r="D162" s="36"/>
      <c r="F162" s="41">
        <f t="shared" si="9"/>
        <v>-348.15</v>
      </c>
      <c r="G162" s="41">
        <f t="shared" si="8"/>
      </c>
    </row>
    <row r="163" spans="1:7" x14ac:dyDescent="0.25">
      <c r="A163" s="36"/>
      <c r="B163" s="36"/>
      <c r="C163" s="36"/>
      <c r="D163" s="36"/>
      <c r="F163" s="41">
        <f t="shared" si="9"/>
        <v>-351.15</v>
      </c>
      <c r="G163" s="41">
        <f t="shared" si="8"/>
      </c>
    </row>
    <row r="164" spans="1:7" x14ac:dyDescent="0.25">
      <c r="A164" s="36"/>
      <c r="B164" s="36"/>
      <c r="C164" s="36"/>
      <c r="D164" s="36"/>
      <c r="F164" s="41">
        <f t="shared" si="9"/>
        <v>-354.15</v>
      </c>
      <c r="G164" s="41">
        <f t="shared" si="8"/>
      </c>
    </row>
    <row r="165" spans="1:7" x14ac:dyDescent="0.25">
      <c r="A165" s="36"/>
      <c r="B165" s="36"/>
      <c r="C165" s="36"/>
      <c r="D165" s="36"/>
      <c r="F165" s="41">
        <f t="shared" si="9"/>
        <v>-357.15</v>
      </c>
      <c r="G165" s="41">
        <f t="shared" si="8"/>
        <v>134.9375</v>
      </c>
    </row>
    <row r="166" spans="1:7" x14ac:dyDescent="0.25">
      <c r="A166" s="36"/>
      <c r="B166" s="36"/>
      <c r="C166" s="36"/>
      <c r="D166" s="36"/>
      <c r="F166" s="41">
        <f t="shared" si="9"/>
        <v>-360.15</v>
      </c>
      <c r="G166" s="41">
        <f t="shared" si="8"/>
      </c>
    </row>
    <row r="167" spans="1:7" x14ac:dyDescent="0.25">
      <c r="A167" s="36"/>
      <c r="B167" s="36"/>
      <c r="C167" s="36"/>
      <c r="D167" s="36"/>
      <c r="F167" s="41">
        <f t="shared" si="9"/>
        <v>-363.15</v>
      </c>
      <c r="G167" s="41">
        <f t="shared" si="8"/>
      </c>
    </row>
    <row r="168" spans="1:7" x14ac:dyDescent="0.25">
      <c r="A168" s="36"/>
      <c r="B168" s="36"/>
      <c r="C168" s="36"/>
      <c r="D168" s="36"/>
      <c r="F168" s="41">
        <f t="shared" si="9"/>
        <v>-364.45</v>
      </c>
      <c r="G168" s="41">
        <f t="shared" si="8"/>
      </c>
    </row>
    <row r="169" spans="1:7" x14ac:dyDescent="0.25">
      <c r="A169" s="36"/>
      <c r="B169" s="36"/>
      <c r="C169" s="36"/>
      <c r="D169" s="36"/>
      <c r="F169" s="41">
        <f t="shared" si="9"/>
        <v>-366.45</v>
      </c>
      <c r="G169" s="41">
        <f t="shared" si="8"/>
      </c>
    </row>
    <row r="170" spans="1:7" x14ac:dyDescent="0.25">
      <c r="A170" s="36"/>
      <c r="B170" s="36"/>
      <c r="C170" s="36"/>
      <c r="D170" s="36"/>
      <c r="F170" s="41">
        <f t="shared" si="9"/>
        <v>-368.2</v>
      </c>
      <c r="G170" s="41">
        <f t="shared" si="8"/>
      </c>
    </row>
    <row r="171" spans="1:7" x14ac:dyDescent="0.25">
      <c r="A171" s="36"/>
      <c r="B171" s="36"/>
      <c r="C171" s="36"/>
      <c r="D171" s="36"/>
      <c r="F171" s="41">
        <f t="shared" si="9"/>
        <v>-369.6</v>
      </c>
      <c r="G171" s="41">
        <f t="shared" si="8"/>
        <v>135.7875</v>
      </c>
    </row>
    <row r="172" spans="1:7" x14ac:dyDescent="0.25">
      <c r="A172" s="36"/>
      <c r="B172" s="36"/>
      <c r="C172" s="36"/>
      <c r="D172" s="36"/>
      <c r="F172" s="41">
        <f t="shared" si="9"/>
        <v>-371.2</v>
      </c>
      <c r="G172" s="41">
        <f t="shared" si="8"/>
      </c>
    </row>
    <row r="173" spans="1:7" x14ac:dyDescent="0.25">
      <c r="A173" s="36"/>
      <c r="B173" s="36"/>
      <c r="C173" s="36"/>
      <c r="D173" s="36"/>
      <c r="F173" s="41">
        <f t="shared" si="9"/>
        <v>-373.95</v>
      </c>
      <c r="G173" s="41">
        <f t="shared" si="8"/>
        <v>135.8125</v>
      </c>
    </row>
    <row r="174" spans="1:7" x14ac:dyDescent="0.25">
      <c r="A174" s="36"/>
      <c r="B174" s="36"/>
      <c r="C174" s="36"/>
      <c r="D174" s="36"/>
      <c r="F174" s="41">
        <f t="shared" si="9"/>
        <v>-376.95</v>
      </c>
      <c r="G174" s="41">
        <f t="shared" si="8"/>
      </c>
    </row>
    <row r="175" spans="1:7" x14ac:dyDescent="0.25">
      <c r="A175" s="36"/>
      <c r="B175" s="36"/>
      <c r="C175" s="36"/>
      <c r="D175" s="36"/>
      <c r="F175" s="41">
        <f t="shared" si="9"/>
        <v>-379.95</v>
      </c>
      <c r="G175" s="41">
        <f t="shared" si="8"/>
      </c>
    </row>
    <row r="176" spans="1:7" x14ac:dyDescent="0.25">
      <c r="A176" s="36"/>
      <c r="B176" s="36"/>
      <c r="C176" s="36"/>
      <c r="D176" s="36"/>
      <c r="F176" s="41">
        <f t="shared" si="9"/>
        <v>-382.95</v>
      </c>
      <c r="G176" s="41">
        <f t="shared" si="8"/>
      </c>
    </row>
    <row r="177" spans="1:7" x14ac:dyDescent="0.25">
      <c r="A177" s="36"/>
      <c r="B177" s="36"/>
      <c r="C177" s="36"/>
      <c r="D177" s="36"/>
      <c r="F177" s="41">
        <f t="shared" si="9"/>
        <v>-385.95</v>
      </c>
      <c r="G177" s="41">
        <f t="shared" si="8"/>
        <v>134.9625</v>
      </c>
    </row>
    <row r="178" spans="1:7" x14ac:dyDescent="0.25">
      <c r="A178" s="36"/>
      <c r="B178" s="36"/>
      <c r="C178" s="36"/>
      <c r="D178" s="36"/>
      <c r="F178" s="41">
        <f t="shared" si="9"/>
        <v>-388.95</v>
      </c>
      <c r="G178" s="41">
        <f t="shared" si="8"/>
      </c>
    </row>
    <row r="179" spans="1:7" x14ac:dyDescent="0.25">
      <c r="A179" s="36"/>
      <c r="B179" s="36"/>
      <c r="C179" s="36"/>
      <c r="D179" s="36"/>
      <c r="F179" s="41">
        <f t="shared" si="9"/>
        <v>-391.95</v>
      </c>
      <c r="G179" s="41">
        <f t="shared" si="8"/>
      </c>
    </row>
    <row r="180" spans="1:7" x14ac:dyDescent="0.25">
      <c r="A180" s="36"/>
      <c r="B180" s="36"/>
      <c r="C180" s="36"/>
      <c r="D180" s="36"/>
      <c r="F180" s="41">
        <f t="shared" si="9"/>
        <v>-394.95</v>
      </c>
      <c r="G180" s="41">
        <f t="shared" si="8"/>
        <v>134.88125</v>
      </c>
    </row>
    <row r="181" spans="1:7" x14ac:dyDescent="0.25">
      <c r="A181" s="36"/>
      <c r="B181" s="36"/>
      <c r="C181" s="36"/>
      <c r="D181" s="36"/>
      <c r="F181" s="41">
        <f t="shared" si="9"/>
        <v>-397.95</v>
      </c>
      <c r="G181" s="41">
        <f t="shared" si="8"/>
      </c>
    </row>
    <row r="182" spans="1:7" x14ac:dyDescent="0.25">
      <c r="A182" s="36"/>
      <c r="B182" s="36"/>
      <c r="C182" s="36"/>
      <c r="D182" s="36"/>
      <c r="F182" s="41">
        <f t="shared" si="9"/>
        <v>-400.95</v>
      </c>
      <c r="G182" s="41">
        <f t="shared" si="8"/>
      </c>
    </row>
    <row r="183" spans="1:7" x14ac:dyDescent="0.25">
      <c r="A183" s="36"/>
      <c r="B183" s="36"/>
      <c r="C183" s="36"/>
      <c r="D183" s="36"/>
      <c r="F183" s="41">
        <f t="shared" si="9"/>
        <v>-403.95</v>
      </c>
      <c r="G183" s="41">
        <f t="shared" si="8"/>
      </c>
    </row>
    <row r="184" spans="1:7" x14ac:dyDescent="0.25">
      <c r="A184" s="36"/>
      <c r="B184" s="36"/>
      <c r="C184" s="36"/>
      <c r="D184" s="36"/>
      <c r="F184" s="41">
        <f t="shared" si="9"/>
        <v>-406.45</v>
      </c>
      <c r="G184" s="41">
        <f t="shared" si="8"/>
      </c>
    </row>
    <row r="185" spans="1:7" x14ac:dyDescent="0.25">
      <c r="A185" s="36"/>
      <c r="B185" s="36"/>
      <c r="C185" s="36"/>
      <c r="D185" s="36"/>
      <c r="F185" s="41">
        <f t="shared" si="9"/>
        <v>-408.3</v>
      </c>
      <c r="G185" s="41">
        <f t="shared" si="8"/>
      </c>
    </row>
    <row r="186" spans="1:7" x14ac:dyDescent="0.25">
      <c r="A186" s="36"/>
      <c r="B186" s="36"/>
      <c r="C186" s="36"/>
      <c r="D186" s="36"/>
      <c r="F186" s="41">
        <f t="shared" si="9"/>
        <v>-411.3</v>
      </c>
      <c r="G186" s="41">
        <f t="shared" si="8"/>
      </c>
    </row>
    <row r="187" spans="1:7" x14ac:dyDescent="0.25">
      <c r="A187" s="36"/>
      <c r="B187" s="36"/>
      <c r="C187" s="36"/>
      <c r="D187" s="36"/>
      <c r="F187" s="41">
        <f t="shared" si="9"/>
        <v>-414.3</v>
      </c>
      <c r="G187" s="41">
        <f t="shared" si="8"/>
        <v>136.30625</v>
      </c>
    </row>
    <row r="188" spans="1:7" x14ac:dyDescent="0.25">
      <c r="A188" s="36"/>
      <c r="B188" s="36"/>
      <c r="C188" s="36"/>
      <c r="D188" s="36"/>
      <c r="F188" s="41">
        <f t="shared" si="9"/>
        <v>-417.3</v>
      </c>
      <c r="G188" s="41">
        <f t="shared" si="8"/>
      </c>
    </row>
    <row r="189" spans="1:7" x14ac:dyDescent="0.25">
      <c r="A189" s="36"/>
      <c r="B189" s="36"/>
      <c r="C189" s="36"/>
      <c r="D189" s="36"/>
      <c r="F189" s="41">
        <f t="shared" si="9"/>
        <v>-420.3</v>
      </c>
      <c r="G189" s="41">
        <f t="shared" si="8"/>
      </c>
    </row>
    <row r="190" spans="1:7" x14ac:dyDescent="0.25">
      <c r="A190" s="36"/>
      <c r="B190" s="36"/>
      <c r="C190" s="36"/>
      <c r="D190" s="36"/>
      <c r="F190" s="41">
        <f t="shared" si="9"/>
        <v>-423.3</v>
      </c>
      <c r="G190" s="41">
        <f t="shared" si="8"/>
      </c>
    </row>
    <row r="191" spans="1:7" x14ac:dyDescent="0.25">
      <c r="A191" s="36"/>
      <c r="B191" s="36"/>
      <c r="C191" s="36"/>
      <c r="D191" s="36"/>
      <c r="F191" s="41">
        <f t="shared" si="9"/>
        <v>-426.3</v>
      </c>
      <c r="G191" s="41">
        <f t="shared" si="8"/>
      </c>
    </row>
    <row r="192" spans="1:7" x14ac:dyDescent="0.25">
      <c r="A192" s="36"/>
      <c r="B192" s="36"/>
      <c r="C192" s="36"/>
      <c r="D192" s="36"/>
      <c r="F192" s="41">
        <f t="shared" si="9"/>
        <v>-429.3</v>
      </c>
      <c r="G192" s="41">
        <f t="shared" si="8"/>
        <v>135.69375</v>
      </c>
    </row>
    <row r="193" spans="1:7" x14ac:dyDescent="0.25">
      <c r="A193" s="36"/>
      <c r="B193" s="36"/>
      <c r="C193" s="36"/>
      <c r="D193" s="36"/>
      <c r="F193" s="41">
        <f t="shared" si="9"/>
        <v>-432.3</v>
      </c>
      <c r="G193" s="41">
        <f t="shared" si="8"/>
      </c>
    </row>
    <row r="194" spans="1:7" x14ac:dyDescent="0.25">
      <c r="A194" s="36"/>
      <c r="B194" s="36"/>
      <c r="C194" s="36"/>
      <c r="D194" s="36"/>
      <c r="F194" s="41">
        <f t="shared" ref="F194:F225" si="10">IF(IF(A194&lt;&gt;"",0-A194,0-B193)=0,"",IF(A194&lt;&gt;"",0-A194,0-B193))</f>
        <v>-434.3</v>
      </c>
      <c r="G194" s="41">
        <f t="shared" si="8"/>
      </c>
    </row>
    <row r="195" spans="1:7" x14ac:dyDescent="0.25">
      <c r="A195" s="36"/>
      <c r="B195" s="36"/>
      <c r="C195" s="36"/>
      <c r="D195" s="36"/>
      <c r="F195" s="41">
        <f t="shared" si="10"/>
        <v>-436.8</v>
      </c>
      <c r="G195" s="41">
        <f t="shared" si="8"/>
        <v>135.5375</v>
      </c>
    </row>
    <row r="196" spans="1:7" x14ac:dyDescent="0.25">
      <c r="A196" s="36"/>
      <c r="B196" s="36"/>
      <c r="C196" s="36"/>
      <c r="D196" s="36"/>
      <c r="F196" s="41">
        <f t="shared" si="10"/>
        <v>-438.3</v>
      </c>
      <c r="G196" s="41">
        <f t="shared" si="8"/>
      </c>
    </row>
    <row r="197" spans="1:7" x14ac:dyDescent="0.25">
      <c r="A197" s="36"/>
      <c r="B197" s="36"/>
      <c r="C197" s="36"/>
      <c r="D197" s="36"/>
      <c r="F197" s="41">
        <f t="shared" si="10"/>
        <v>-440.7</v>
      </c>
      <c r="G197" s="41">
        <f t="shared" ref="G197:G260" si="11">IF(((C196-D196)&lt;&gt;"")*(D196&lt;&gt;""),(137.5+(C196-D196)*5/8),"")</f>
      </c>
    </row>
    <row r="198" spans="1:7" x14ac:dyDescent="0.25">
      <c r="A198" s="36"/>
      <c r="B198" s="36"/>
      <c r="C198" s="36"/>
      <c r="D198" s="36"/>
      <c r="F198" s="41">
        <f t="shared" si="10"/>
        <v>-442.8</v>
      </c>
      <c r="G198" s="41">
        <f t="shared" si="11"/>
      </c>
    </row>
    <row r="199" spans="1:7" x14ac:dyDescent="0.25">
      <c r="A199" s="36"/>
      <c r="B199" s="36"/>
      <c r="C199" s="36"/>
      <c r="D199" s="36"/>
      <c r="F199" s="41">
        <f t="shared" si="10"/>
        <v>-444.3</v>
      </c>
      <c r="G199" s="41">
        <f t="shared" si="11"/>
      </c>
    </row>
    <row r="200" spans="1:7" x14ac:dyDescent="0.25">
      <c r="A200" s="36"/>
      <c r="B200" s="36"/>
      <c r="C200" s="36"/>
      <c r="D200" s="36"/>
      <c r="F200" s="41">
        <f t="shared" si="10"/>
        <v>-447.3</v>
      </c>
      <c r="G200" s="41">
        <f t="shared" si="11"/>
        <v>135.59375</v>
      </c>
    </row>
    <row r="201" spans="1:7" x14ac:dyDescent="0.25">
      <c r="A201" s="36"/>
      <c r="B201" s="36"/>
      <c r="C201" s="36"/>
      <c r="D201" s="36"/>
      <c r="F201" s="41">
        <f t="shared" si="10"/>
        <v>-450.3</v>
      </c>
      <c r="G201" s="41">
        <f t="shared" si="11"/>
      </c>
    </row>
    <row r="202" spans="1:7" x14ac:dyDescent="0.25">
      <c r="A202" s="36"/>
      <c r="B202" s="36"/>
      <c r="C202" s="36"/>
      <c r="D202" s="36"/>
      <c r="F202" s="41">
        <f t="shared" si="10"/>
        <v>-453.3</v>
      </c>
      <c r="G202" s="41">
        <f t="shared" si="11"/>
      </c>
    </row>
    <row r="203" spans="1:7" x14ac:dyDescent="0.25">
      <c r="A203" s="36"/>
      <c r="B203" s="36"/>
      <c r="C203" s="36"/>
      <c r="D203" s="36"/>
      <c r="F203" s="41">
        <f t="shared" si="10"/>
        <v>-456</v>
      </c>
      <c r="G203" s="41">
        <f t="shared" si="11"/>
      </c>
    </row>
    <row r="204" spans="1:7" x14ac:dyDescent="0.25">
      <c r="A204" s="36"/>
      <c r="B204" s="36"/>
      <c r="C204" s="36"/>
      <c r="D204" s="36"/>
      <c r="F204" s="41">
        <f t="shared" si="10"/>
        <v>-457.8</v>
      </c>
      <c r="G204" s="41">
        <f t="shared" si="11"/>
      </c>
    </row>
    <row r="205" spans="1:7" x14ac:dyDescent="0.25">
      <c r="A205" s="36"/>
      <c r="B205" s="36"/>
      <c r="C205" s="36"/>
      <c r="D205" s="36"/>
      <c r="F205" s="41">
        <f t="shared" si="10"/>
        <v>-459.3</v>
      </c>
      <c r="G205" s="41">
        <f t="shared" si="11"/>
      </c>
    </row>
    <row r="206" spans="1:7" x14ac:dyDescent="0.25">
      <c r="A206" s="36"/>
      <c r="B206" s="36"/>
      <c r="C206" s="36"/>
      <c r="D206" s="36"/>
      <c r="F206" s="41">
        <f t="shared" si="10"/>
        <v>-462.3</v>
      </c>
      <c r="G206" s="41">
        <f t="shared" si="11"/>
        <v>135.79375</v>
      </c>
    </row>
    <row r="207" spans="1:7" x14ac:dyDescent="0.25">
      <c r="A207" s="36"/>
      <c r="B207" s="36"/>
      <c r="C207" s="36"/>
      <c r="D207" s="36"/>
      <c r="F207" s="41">
        <f t="shared" si="10"/>
        <v>-465.3</v>
      </c>
      <c r="G207" s="41">
        <f t="shared" si="11"/>
      </c>
    </row>
    <row r="208" spans="1:7" x14ac:dyDescent="0.25">
      <c r="A208" s="36"/>
      <c r="B208" s="36"/>
      <c r="C208" s="36"/>
      <c r="D208" s="36"/>
      <c r="F208" s="41">
        <f t="shared" si="10"/>
        <v>-468.3</v>
      </c>
      <c r="G208" s="41">
        <f t="shared" si="11"/>
      </c>
    </row>
    <row r="209" spans="1:7" x14ac:dyDescent="0.25">
      <c r="A209" s="36"/>
      <c r="B209" s="36"/>
      <c r="C209" s="36"/>
      <c r="D209" s="36"/>
      <c r="F209" s="41">
        <f t="shared" si="10"/>
        <v>-471.3</v>
      </c>
      <c r="G209" s="41">
        <f t="shared" si="11"/>
      </c>
    </row>
    <row r="210" spans="1:7" x14ac:dyDescent="0.25">
      <c r="A210" s="36"/>
      <c r="B210" s="36"/>
      <c r="C210" s="36"/>
      <c r="D210" s="36"/>
      <c r="F210" s="41">
        <f t="shared" si="10"/>
        <v>-473.2</v>
      </c>
      <c r="G210" s="41">
        <f t="shared" si="11"/>
      </c>
    </row>
    <row r="211" spans="1:7" x14ac:dyDescent="0.25">
      <c r="A211" s="36"/>
      <c r="B211" s="36"/>
      <c r="C211" s="36"/>
      <c r="D211" s="36"/>
      <c r="F211" s="41">
        <f t="shared" si="10"/>
        <v>-475.5</v>
      </c>
      <c r="G211" s="41">
        <f t="shared" si="11"/>
        <v>135.88125</v>
      </c>
    </row>
    <row r="212" spans="1:7" x14ac:dyDescent="0.25">
      <c r="A212" s="36"/>
      <c r="B212" s="36"/>
      <c r="C212" s="36"/>
      <c r="D212" s="36"/>
      <c r="F212" s="41">
        <f t="shared" si="10"/>
        <v>-478.5</v>
      </c>
      <c r="G212" s="41">
        <f t="shared" si="11"/>
      </c>
    </row>
    <row r="213" spans="1:7" x14ac:dyDescent="0.25">
      <c r="A213" s="36"/>
      <c r="B213" s="36"/>
      <c r="C213" s="36"/>
      <c r="D213" s="36"/>
      <c r="F213" s="41">
        <f t="shared" si="10"/>
        <v>-481.5</v>
      </c>
      <c r="G213" s="41">
        <f t="shared" si="11"/>
      </c>
    </row>
    <row r="214" spans="1:7" x14ac:dyDescent="0.25">
      <c r="A214" s="36"/>
      <c r="B214" s="36"/>
      <c r="C214" s="36"/>
      <c r="D214" s="36"/>
      <c r="F214" s="41">
        <f t="shared" si="10"/>
        <v>-483.7</v>
      </c>
      <c r="G214" s="41">
        <f t="shared" si="11"/>
      </c>
    </row>
    <row r="215" spans="1:7" x14ac:dyDescent="0.25">
      <c r="A215" s="36"/>
      <c r="B215" s="36"/>
      <c r="C215" s="36"/>
      <c r="D215" s="36"/>
      <c r="F215" s="41">
        <f t="shared" si="10"/>
        <v>-486.7</v>
      </c>
      <c r="G215" s="41">
        <f t="shared" si="11"/>
      </c>
    </row>
    <row r="216" spans="1:7" x14ac:dyDescent="0.25">
      <c r="A216" s="36"/>
      <c r="B216" s="36"/>
      <c r="C216" s="36"/>
      <c r="D216" s="36"/>
      <c r="F216" s="41">
        <f t="shared" si="10"/>
        <v>-489.3</v>
      </c>
      <c r="G216" s="41">
        <f t="shared" si="11"/>
        <v>135.025</v>
      </c>
    </row>
    <row r="217" spans="1:7" x14ac:dyDescent="0.25">
      <c r="A217" s="36"/>
      <c r="B217" s="36"/>
      <c r="C217" s="36"/>
      <c r="D217" s="36"/>
      <c r="F217" s="41">
        <f t="shared" si="10"/>
        <v>-492.3</v>
      </c>
      <c r="G217" s="41">
        <f t="shared" si="11"/>
      </c>
    </row>
    <row r="218" spans="1:7" x14ac:dyDescent="0.25">
      <c r="A218" s="36"/>
      <c r="B218" s="36"/>
      <c r="C218" s="36"/>
      <c r="D218" s="36"/>
      <c r="F218" s="41">
        <f t="shared" si="10"/>
        <v>-495.3</v>
      </c>
      <c r="G218" s="41">
        <f t="shared" si="11"/>
      </c>
    </row>
    <row r="219" spans="1:7" x14ac:dyDescent="0.25">
      <c r="A219" s="36"/>
      <c r="B219" s="36"/>
      <c r="C219" s="36"/>
      <c r="D219" s="36"/>
      <c r="F219" s="41">
        <f t="shared" si="10"/>
        <v>-498.3</v>
      </c>
      <c r="G219" s="41">
        <f t="shared" si="11"/>
      </c>
    </row>
    <row r="220" spans="1:7" x14ac:dyDescent="0.25">
      <c r="A220" s="36"/>
      <c r="B220" s="36"/>
      <c r="C220" s="36"/>
      <c r="D220" s="36"/>
      <c r="F220" s="41">
        <f t="shared" si="10"/>
        <v>-501.3</v>
      </c>
      <c r="G220" s="41">
        <f t="shared" si="11"/>
      </c>
    </row>
    <row r="221" spans="1:7" x14ac:dyDescent="0.25">
      <c r="A221" s="36"/>
      <c r="B221" s="36"/>
      <c r="C221" s="36"/>
      <c r="D221" s="36"/>
      <c r="F221" s="41">
        <f t="shared" si="10"/>
        <v>-504.3</v>
      </c>
      <c r="G221" s="41">
        <f t="shared" si="11"/>
        <v>135.29375</v>
      </c>
    </row>
    <row r="222" spans="1:7" x14ac:dyDescent="0.25">
      <c r="A222" s="36"/>
      <c r="B222" s="36"/>
      <c r="C222" s="36"/>
      <c r="D222" s="36"/>
      <c r="F222" s="41">
        <f t="shared" si="10"/>
        <v>-507.3</v>
      </c>
      <c r="G222" s="41">
        <f t="shared" si="11"/>
      </c>
    </row>
    <row r="223" spans="1:7" x14ac:dyDescent="0.25">
      <c r="A223" s="36"/>
      <c r="B223" s="36"/>
      <c r="C223" s="36"/>
      <c r="D223" s="36"/>
      <c r="F223" s="41">
        <f t="shared" si="10"/>
        <v>-510.3</v>
      </c>
      <c r="G223" s="41">
        <f t="shared" si="11"/>
      </c>
    </row>
    <row r="224" spans="1:7" x14ac:dyDescent="0.25">
      <c r="A224" s="36"/>
      <c r="B224" s="36"/>
      <c r="C224" s="36"/>
      <c r="D224" s="36"/>
      <c r="F224" s="41">
        <f t="shared" si="10"/>
        <v>-513.3</v>
      </c>
      <c r="G224" s="41">
        <f t="shared" si="11"/>
      </c>
    </row>
    <row r="225" spans="1:7" x14ac:dyDescent="0.25">
      <c r="A225" s="36"/>
      <c r="B225" s="36"/>
      <c r="C225" s="36"/>
      <c r="D225" s="36"/>
      <c r="F225" s="41">
        <f t="shared" si="10"/>
        <v>-516.3</v>
      </c>
      <c r="G225" s="41">
        <f t="shared" si="11"/>
      </c>
    </row>
    <row r="226" spans="1:7" x14ac:dyDescent="0.25">
      <c r="A226" s="36"/>
      <c r="B226" s="36"/>
      <c r="C226" s="36"/>
      <c r="D226" s="36"/>
      <c r="F226" s="41">
        <f t="shared" ref="F226:F244" si="12">IF(IF(A226&lt;&gt;"",0-A226,0-B225)=0,"",IF(A226&lt;&gt;"",0-A226,0-B225))</f>
        <v>-517.8</v>
      </c>
      <c r="G226" s="41">
        <f t="shared" si="11"/>
      </c>
    </row>
    <row r="227" spans="1:7" x14ac:dyDescent="0.25">
      <c r="A227" s="36"/>
      <c r="B227" s="36"/>
      <c r="C227" s="36"/>
      <c r="D227" s="36"/>
      <c r="F227" s="41">
        <f t="shared" si="12"/>
        <v>-520.8</v>
      </c>
      <c r="G227" s="41">
        <f t="shared" si="11"/>
      </c>
    </row>
    <row r="228" spans="1:7" x14ac:dyDescent="0.25">
      <c r="A228" s="36"/>
      <c r="B228" s="36"/>
      <c r="C228" s="36"/>
      <c r="D228" s="36"/>
      <c r="F228" s="41">
        <f t="shared" si="12"/>
        <v>-523.8</v>
      </c>
      <c r="G228" s="41">
        <f t="shared" si="11"/>
      </c>
    </row>
    <row r="229" spans="1:7" x14ac:dyDescent="0.25">
      <c r="A229" s="36"/>
      <c r="B229" s="36"/>
      <c r="C229" s="36"/>
      <c r="D229" s="36"/>
      <c r="F229" s="41">
        <f t="shared" si="12"/>
        <v>-526.8</v>
      </c>
      <c r="G229" s="41">
        <f t="shared" si="11"/>
        <v>135.96875</v>
      </c>
    </row>
    <row r="230" spans="1:7" x14ac:dyDescent="0.25">
      <c r="A230" s="36"/>
      <c r="B230" s="36"/>
      <c r="C230" s="36"/>
      <c r="D230" s="36"/>
      <c r="F230" s="41">
        <f t="shared" si="12"/>
        <v>-529.8</v>
      </c>
      <c r="G230" s="41">
        <f t="shared" si="11"/>
      </c>
    </row>
    <row r="231" spans="1:7" x14ac:dyDescent="0.25">
      <c r="A231" s="36"/>
      <c r="B231" s="36"/>
      <c r="C231" s="36"/>
      <c r="D231" s="36"/>
      <c r="F231" s="41">
        <f t="shared" si="12"/>
        <v>-532.8</v>
      </c>
      <c r="G231" s="41">
        <f t="shared" si="11"/>
      </c>
    </row>
    <row r="232" spans="1:7" x14ac:dyDescent="0.25">
      <c r="A232" s="36"/>
      <c r="B232" s="36"/>
      <c r="C232" s="36"/>
      <c r="D232" s="36"/>
      <c r="F232" s="41">
        <f t="shared" si="12"/>
        <v>-535.8</v>
      </c>
      <c r="G232" s="41">
        <f t="shared" si="11"/>
      </c>
    </row>
    <row r="233" spans="1:7" x14ac:dyDescent="0.25">
      <c r="A233" s="36"/>
      <c r="B233" s="36"/>
      <c r="C233" s="36"/>
      <c r="D233" s="36"/>
      <c r="F233" s="41">
        <f t="shared" si="12"/>
        <v>-538.8</v>
      </c>
      <c r="G233" s="41">
        <f t="shared" si="11"/>
      </c>
    </row>
    <row r="234" spans="1:7" x14ac:dyDescent="0.25">
      <c r="A234" s="36"/>
      <c r="B234" s="36"/>
      <c r="C234" s="36"/>
      <c r="D234" s="36"/>
      <c r="F234" s="41">
        <f t="shared" si="12"/>
        <v>-541.8</v>
      </c>
      <c r="G234" s="41">
        <f t="shared" si="11"/>
        <v>135.89375</v>
      </c>
    </row>
    <row r="235" spans="1:7" x14ac:dyDescent="0.25">
      <c r="A235" s="36"/>
      <c r="B235" s="36"/>
      <c r="C235" s="36"/>
      <c r="D235" s="36"/>
      <c r="F235" s="41">
        <f t="shared" si="12"/>
        <v>-544.8</v>
      </c>
      <c r="G235" s="41">
        <f t="shared" si="11"/>
      </c>
    </row>
    <row r="236" spans="1:7" x14ac:dyDescent="0.25">
      <c r="A236" s="36"/>
      <c r="B236" s="36"/>
      <c r="C236" s="36"/>
      <c r="D236" s="36"/>
      <c r="F236" s="41">
        <f t="shared" si="12"/>
        <v>-547.8</v>
      </c>
      <c r="G236" s="41">
        <f t="shared" si="11"/>
        <v>135.76875</v>
      </c>
    </row>
    <row r="237" spans="1:7" x14ac:dyDescent="0.25">
      <c r="A237" s="36"/>
      <c r="B237" s="36"/>
      <c r="C237" s="36"/>
      <c r="D237" s="36"/>
      <c r="F237" s="41">
        <f t="shared" si="12"/>
        <v>-550.8</v>
      </c>
      <c r="G237" s="41">
        <f t="shared" si="11"/>
      </c>
    </row>
    <row r="238" spans="1:7" x14ac:dyDescent="0.25">
      <c r="A238" s="36"/>
      <c r="B238" s="36"/>
      <c r="C238" s="36"/>
      <c r="D238" s="36"/>
      <c r="F238" s="41">
        <f t="shared" si="12"/>
        <v>-553.8</v>
      </c>
      <c r="G238" s="41">
        <f t="shared" si="11"/>
        <v>135.84375</v>
      </c>
    </row>
    <row r="239" spans="1:7" x14ac:dyDescent="0.25">
      <c r="A239" s="36"/>
      <c r="B239" s="36"/>
      <c r="C239" s="36"/>
      <c r="D239" s="36"/>
      <c r="F239" s="41">
        <f t="shared" si="12"/>
        <v>-556.8</v>
      </c>
      <c r="G239" s="41">
        <f t="shared" si="11"/>
      </c>
    </row>
    <row r="240" spans="1:7" x14ac:dyDescent="0.25">
      <c r="A240" s="36"/>
      <c r="B240" s="36"/>
      <c r="C240" s="36"/>
      <c r="D240" s="36"/>
      <c r="F240" s="41">
        <f t="shared" si="12"/>
        <v>-559.8</v>
      </c>
      <c r="G240" s="41">
        <f t="shared" si="11"/>
      </c>
    </row>
    <row r="241" spans="1:7" x14ac:dyDescent="0.25">
      <c r="A241" s="36"/>
      <c r="B241" s="36"/>
      <c r="C241" s="36"/>
      <c r="D241" s="36"/>
      <c r="F241" s="41">
        <f t="shared" si="12"/>
        <v>-562.8</v>
      </c>
      <c r="G241" s="41">
        <f t="shared" si="11"/>
      </c>
    </row>
    <row r="242" spans="1:7" x14ac:dyDescent="0.25">
      <c r="A242" s="36"/>
      <c r="B242" s="36"/>
      <c r="C242" s="36"/>
      <c r="D242" s="36"/>
      <c r="F242" s="41">
        <f t="shared" si="12"/>
        <v>-565.8</v>
      </c>
      <c r="G242" s="41">
        <f t="shared" si="11"/>
      </c>
    </row>
    <row r="243" spans="1:7" x14ac:dyDescent="0.25">
      <c r="A243" s="36"/>
      <c r="B243" s="36"/>
      <c r="C243" s="36"/>
      <c r="D243" s="36"/>
      <c r="F243" s="41">
        <f t="shared" si="12"/>
        <v>-568.8</v>
      </c>
      <c r="G243" s="41">
        <f t="shared" si="11"/>
        <v>135.475</v>
      </c>
    </row>
    <row r="244" spans="1:7" x14ac:dyDescent="0.25">
      <c r="A244" s="36"/>
      <c r="B244" s="36"/>
      <c r="C244" s="36"/>
      <c r="D244" s="36"/>
      <c r="F244" s="41">
        <f t="shared" si="12"/>
        <v>-571.8</v>
      </c>
      <c r="G244" s="41">
        <f t="shared" si="11"/>
      </c>
    </row>
    <row r="245" spans="1:7" x14ac:dyDescent="0.25">
      <c r="A245" s="36"/>
      <c r="B245" s="36"/>
      <c r="C245" s="36"/>
      <c r="D245" s="36"/>
      <c r="F245" s="41">
        <f t="shared" ref="F245:F253" si="13">IF(IF(A245&lt;&gt;"",0-A245,0-B244)=0,"",IF(A245&lt;&gt;"",0-A245,0-B244))</f>
        <v>-574.8</v>
      </c>
      <c r="G245" s="41">
        <f t="shared" si="11"/>
      </c>
    </row>
    <row r="246" spans="1:7" x14ac:dyDescent="0.25">
      <c r="A246" s="36"/>
      <c r="B246" s="36"/>
      <c r="C246" s="36"/>
      <c r="D246" s="36"/>
      <c r="F246" s="41">
        <f t="shared" si="13"/>
        <v>-577.8</v>
      </c>
      <c r="G246" s="41">
        <f t="shared" si="11"/>
      </c>
    </row>
    <row r="247" spans="1:7" x14ac:dyDescent="0.25">
      <c r="A247" s="36"/>
      <c r="B247" s="36"/>
      <c r="C247" s="36"/>
      <c r="D247" s="36"/>
      <c r="F247" s="41">
        <f t="shared" si="13"/>
        <v>-580.8</v>
      </c>
      <c r="G247" s="41">
        <f t="shared" si="11"/>
      </c>
    </row>
    <row r="248" spans="1:7" x14ac:dyDescent="0.25">
      <c r="A248" s="36"/>
      <c r="B248" s="36"/>
      <c r="C248" s="36"/>
      <c r="D248" s="36"/>
      <c r="F248" s="41">
        <f t="shared" si="13"/>
        <v>-583.8</v>
      </c>
      <c r="G248" s="41">
        <f t="shared" si="11"/>
        <v>135.1125</v>
      </c>
    </row>
    <row r="249" spans="1:7" x14ac:dyDescent="0.25">
      <c r="A249" s="36"/>
      <c r="B249" s="36"/>
      <c r="C249" s="36"/>
      <c r="D249" s="36"/>
      <c r="F249" s="41">
        <f t="shared" si="13"/>
        <v>-585.7</v>
      </c>
      <c r="G249" s="41">
        <f t="shared" si="11"/>
      </c>
    </row>
    <row r="250" spans="1:7" x14ac:dyDescent="0.25">
      <c r="A250" s="36"/>
      <c r="B250" s="36"/>
      <c r="C250" s="36"/>
      <c r="D250" s="36"/>
      <c r="F250" s="41">
        <f t="shared" si="13"/>
        <v>-586.7</v>
      </c>
      <c r="G250" s="41">
        <f t="shared" si="11"/>
      </c>
    </row>
    <row r="251" spans="1:7" x14ac:dyDescent="0.25">
      <c r="A251" s="36"/>
      <c r="B251" s="36"/>
      <c r="C251" s="36"/>
      <c r="D251" s="36"/>
      <c r="F251" s="41">
        <f t="shared" si="13"/>
        <v>-589.8</v>
      </c>
      <c r="G251" s="41">
        <f t="shared" si="11"/>
        <v>136.40625</v>
      </c>
    </row>
    <row r="252" spans="1:7" x14ac:dyDescent="0.25">
      <c r="A252" s="36"/>
      <c r="B252" s="36"/>
      <c r="C252" s="36"/>
      <c r="D252" s="36"/>
      <c r="F252" s="41">
        <f t="shared" si="13"/>
        <v>-592.8</v>
      </c>
      <c r="G252" s="41">
        <f t="shared" si="11"/>
      </c>
    </row>
    <row r="253" spans="1:7" x14ac:dyDescent="0.25">
      <c r="A253" s="36"/>
      <c r="B253" s="36"/>
      <c r="C253" s="36"/>
      <c r="D253" s="36"/>
      <c r="F253" s="41">
        <f t="shared" si="13"/>
        <v>-595.8</v>
      </c>
      <c r="G253" s="41">
        <f t="shared" si="11"/>
        <v>136.34375</v>
      </c>
    </row>
    <row r="254" spans="1:7" x14ac:dyDescent="0.25">
      <c r="A254" s="36"/>
      <c r="B254" s="36"/>
      <c r="C254" s="36"/>
      <c r="D254" s="36"/>
      <c r="F254" s="41">
        <f t="shared" ref="F254:F285" si="14">IF(IF(A254&lt;&gt;"",0-A254,0-B253)=0,"",IF(A254&lt;&gt;"",0-A254,0-B253))</f>
        <v>-598.8</v>
      </c>
      <c r="G254" s="41">
        <f t="shared" si="11"/>
      </c>
    </row>
    <row r="255" spans="1:7" x14ac:dyDescent="0.25">
      <c r="A255" s="36"/>
      <c r="B255" s="36"/>
      <c r="C255" s="36"/>
      <c r="D255" s="36"/>
      <c r="F255" s="41">
        <f t="shared" si="14"/>
        <v>-601.8</v>
      </c>
      <c r="G255" s="41">
        <f t="shared" si="11"/>
      </c>
    </row>
    <row r="256" spans="1:7" x14ac:dyDescent="0.25">
      <c r="A256" s="36"/>
      <c r="B256" s="36"/>
      <c r="C256" s="36"/>
      <c r="D256" s="36"/>
      <c r="F256" s="41">
        <f t="shared" si="14"/>
        <v>-603.3</v>
      </c>
      <c r="G256" s="41">
        <f t="shared" si="11"/>
        <v>135.7125</v>
      </c>
    </row>
    <row r="257" spans="1:7" x14ac:dyDescent="0.25">
      <c r="A257" s="36"/>
      <c r="B257" s="36"/>
      <c r="C257" s="36"/>
      <c r="D257" s="36"/>
      <c r="F257" s="41">
        <f t="shared" si="14"/>
        <v>-606.3</v>
      </c>
      <c r="G257" s="41">
        <f t="shared" si="11"/>
      </c>
    </row>
    <row r="258" spans="1:7" x14ac:dyDescent="0.25">
      <c r="A258" s="36"/>
      <c r="B258" s="36"/>
      <c r="C258" s="36"/>
      <c r="D258" s="36"/>
      <c r="F258" s="41">
        <f t="shared" si="14"/>
        <v>-609.3</v>
      </c>
      <c r="G258" s="41">
        <f t="shared" si="11"/>
      </c>
    </row>
    <row r="259" spans="1:7" x14ac:dyDescent="0.25">
      <c r="A259" s="36"/>
      <c r="B259" s="36"/>
      <c r="C259" s="36"/>
      <c r="D259" s="36"/>
      <c r="F259" s="41">
        <f t="shared" si="14"/>
        <v>-612.3</v>
      </c>
      <c r="G259" s="41">
        <f t="shared" si="11"/>
      </c>
    </row>
    <row r="260" spans="1:7" x14ac:dyDescent="0.25">
      <c r="A260" s="36"/>
      <c r="B260" s="36"/>
      <c r="C260" s="36"/>
      <c r="D260" s="36"/>
      <c r="F260" s="41">
        <f t="shared" si="14"/>
        <v>-615.3</v>
      </c>
      <c r="G260" s="41">
        <f t="shared" si="11"/>
      </c>
    </row>
    <row r="261" spans="1:7" x14ac:dyDescent="0.25">
      <c r="A261" s="36"/>
      <c r="B261" s="36"/>
      <c r="C261" s="36"/>
      <c r="D261" s="36"/>
      <c r="F261" s="41">
        <f t="shared" si="14"/>
        <v>-617.7</v>
      </c>
      <c r="G261" s="41">
        <f t="shared" ref="G261:G324" si="15">IF(((C260-D260)&lt;&gt;"")*(D260&lt;&gt;""),(137.5+(C260-D260)*5/8),"")</f>
      </c>
    </row>
    <row r="262" spans="1:7" x14ac:dyDescent="0.25">
      <c r="A262" s="36"/>
      <c r="B262" s="36"/>
      <c r="C262" s="36"/>
      <c r="D262" s="36"/>
      <c r="F262" s="41">
        <f t="shared" si="14"/>
        <v>-619.1</v>
      </c>
      <c r="G262" s="41">
        <f t="shared" si="15"/>
      </c>
    </row>
    <row r="263" spans="1:7" x14ac:dyDescent="0.25">
      <c r="A263" s="36"/>
      <c r="B263" s="36"/>
      <c r="C263" s="36"/>
      <c r="D263" s="36"/>
      <c r="F263" s="41">
        <f t="shared" si="14"/>
        <v>-620.1</v>
      </c>
      <c r="G263" s="41">
        <f t="shared" si="15"/>
        <v>136.63125</v>
      </c>
    </row>
    <row r="264" spans="1:7" x14ac:dyDescent="0.25">
      <c r="A264" s="36"/>
      <c r="B264" s="36"/>
      <c r="C264" s="36"/>
      <c r="D264" s="36"/>
      <c r="F264" s="41">
        <f t="shared" si="14"/>
        <v>-621.6</v>
      </c>
      <c r="G264" s="41">
        <f t="shared" si="15"/>
      </c>
    </row>
    <row r="265" spans="1:7" x14ac:dyDescent="0.25">
      <c r="A265" s="36"/>
      <c r="B265" s="36"/>
      <c r="C265" s="36"/>
      <c r="D265" s="36"/>
      <c r="F265" s="41">
        <f t="shared" si="14"/>
        <v>-623.75</v>
      </c>
      <c r="G265" s="41">
        <f t="shared" si="15"/>
      </c>
    </row>
    <row r="266" spans="1:7" x14ac:dyDescent="0.25">
      <c r="A266" s="36"/>
      <c r="B266" s="36"/>
      <c r="C266" s="36"/>
      <c r="D266" s="36"/>
      <c r="F266" s="41">
        <f t="shared" si="14"/>
        <v>-625.8</v>
      </c>
      <c r="G266" s="41">
        <f t="shared" si="15"/>
      </c>
    </row>
    <row r="267" spans="1:7" x14ac:dyDescent="0.25">
      <c r="A267" s="36"/>
      <c r="B267" s="36"/>
      <c r="C267" s="36"/>
      <c r="D267" s="36"/>
      <c r="F267" s="41">
        <f t="shared" si="14"/>
        <v>-628.8</v>
      </c>
      <c r="G267" s="41">
        <f t="shared" si="15"/>
      </c>
    </row>
    <row r="268" spans="1:7" x14ac:dyDescent="0.25">
      <c r="A268" s="36"/>
      <c r="B268" s="36"/>
      <c r="C268" s="36"/>
      <c r="D268" s="36"/>
      <c r="F268" s="41">
        <f t="shared" si="14"/>
        <v>-629.35</v>
      </c>
      <c r="G268" s="41">
        <f t="shared" si="15"/>
      </c>
    </row>
    <row r="269" spans="1:7" x14ac:dyDescent="0.25">
      <c r="A269" s="36"/>
      <c r="B269" s="36"/>
      <c r="C269" s="36"/>
      <c r="D269" s="36"/>
      <c r="F269" s="41">
        <f t="shared" si="14"/>
        <v>-631.8</v>
      </c>
      <c r="G269" s="41">
        <f t="shared" si="15"/>
        <v>135.7</v>
      </c>
    </row>
    <row r="270" spans="1:7" x14ac:dyDescent="0.25">
      <c r="A270" s="36"/>
      <c r="B270" s="36"/>
      <c r="C270" s="36"/>
      <c r="D270" s="36"/>
      <c r="F270" s="41">
        <f t="shared" si="14"/>
        <v>-634.8</v>
      </c>
      <c r="G270" s="41">
        <f t="shared" si="15"/>
      </c>
    </row>
    <row r="271" spans="1:7" x14ac:dyDescent="0.25">
      <c r="A271" s="36"/>
      <c r="B271" s="36"/>
      <c r="C271" s="36"/>
      <c r="D271" s="36"/>
      <c r="F271" s="41">
        <f t="shared" si="14"/>
        <v>-636.3</v>
      </c>
      <c r="G271" s="41">
        <f t="shared" si="15"/>
      </c>
    </row>
    <row r="272" spans="1:7" x14ac:dyDescent="0.25">
      <c r="A272" s="36"/>
      <c r="B272" s="36"/>
      <c r="C272" s="36"/>
      <c r="D272" s="36"/>
      <c r="F272" s="41">
        <f t="shared" si="14"/>
        <v>-639.3</v>
      </c>
      <c r="G272" s="41">
        <f t="shared" si="15"/>
        <v>135.1</v>
      </c>
    </row>
    <row r="273" spans="1:7" x14ac:dyDescent="0.25">
      <c r="A273" s="36"/>
      <c r="B273" s="36"/>
      <c r="C273" s="36"/>
      <c r="D273" s="36"/>
      <c r="F273" s="41">
        <f t="shared" si="14"/>
        <v>-642.3</v>
      </c>
      <c r="G273" s="41">
        <f t="shared" si="15"/>
      </c>
    </row>
    <row r="274" spans="1:7" x14ac:dyDescent="0.25">
      <c r="A274" s="36"/>
      <c r="B274" s="36"/>
      <c r="C274" s="36"/>
      <c r="D274" s="36"/>
      <c r="F274" s="41">
        <f t="shared" si="14"/>
        <v>-645.3</v>
      </c>
      <c r="G274" s="41">
        <f t="shared" si="15"/>
        <v>134.8375</v>
      </c>
    </row>
    <row r="275" spans="1:7" x14ac:dyDescent="0.25">
      <c r="A275" s="36"/>
      <c r="B275" s="36"/>
      <c r="C275" s="36"/>
      <c r="D275" s="36"/>
      <c r="F275" s="41">
        <f t="shared" si="14"/>
        <v>-648.3</v>
      </c>
      <c r="G275" s="41">
        <f t="shared" si="15"/>
      </c>
    </row>
    <row r="276" spans="1:7" x14ac:dyDescent="0.25">
      <c r="A276" s="36"/>
      <c r="B276" s="36"/>
      <c r="C276" s="36"/>
      <c r="D276" s="36"/>
      <c r="F276" s="41">
        <f t="shared" si="14"/>
        <v>-651.3</v>
      </c>
      <c r="G276" s="41">
        <f t="shared" si="15"/>
        <v>136.01875</v>
      </c>
    </row>
    <row r="277" spans="1:7" x14ac:dyDescent="0.25">
      <c r="A277" s="36"/>
      <c r="B277" s="36"/>
      <c r="C277" s="36"/>
      <c r="D277" s="36"/>
      <c r="F277" s="41">
        <f t="shared" si="14"/>
        <v>-654.3</v>
      </c>
      <c r="G277" s="41">
        <f t="shared" si="15"/>
      </c>
    </row>
    <row r="278" spans="1:7" x14ac:dyDescent="0.25">
      <c r="A278" s="36"/>
      <c r="B278" s="36"/>
      <c r="C278" s="36"/>
      <c r="D278" s="36"/>
      <c r="F278" s="41">
        <f t="shared" si="14"/>
        <v>-657</v>
      </c>
      <c r="G278" s="41">
        <f t="shared" si="15"/>
        <v>136.0125</v>
      </c>
    </row>
    <row r="279" spans="1:7" x14ac:dyDescent="0.25">
      <c r="A279" s="36"/>
      <c r="B279" s="36"/>
      <c r="C279" s="36"/>
      <c r="D279" s="36"/>
      <c r="F279" s="41">
        <f t="shared" si="14"/>
        <v>-657.7</v>
      </c>
      <c r="G279" s="41">
        <f t="shared" si="15"/>
      </c>
    </row>
    <row r="280" spans="1:7" x14ac:dyDescent="0.25">
      <c r="A280" s="36"/>
      <c r="B280" s="36"/>
      <c r="C280" s="36"/>
      <c r="D280" s="36"/>
      <c r="F280" s="41">
        <f t="shared" si="14"/>
        <v>-660.3</v>
      </c>
      <c r="G280" s="41">
        <f t="shared" si="15"/>
        <v>135.06875</v>
      </c>
    </row>
    <row r="281" spans="1:7" x14ac:dyDescent="0.25">
      <c r="A281" s="36"/>
      <c r="B281" s="36"/>
      <c r="C281" s="36"/>
      <c r="D281" s="36"/>
      <c r="F281" s="41">
        <f t="shared" si="14"/>
        <v>-662.5</v>
      </c>
      <c r="G281" s="41">
        <f t="shared" si="15"/>
      </c>
    </row>
    <row r="282" spans="1:7" x14ac:dyDescent="0.25">
      <c r="A282" s="36"/>
      <c r="B282" s="36"/>
      <c r="C282" s="36"/>
      <c r="D282" s="36"/>
      <c r="F282" s="41">
        <f t="shared" si="14"/>
        <v>-665.5</v>
      </c>
      <c r="G282" s="41">
        <f t="shared" si="15"/>
      </c>
    </row>
    <row r="283" spans="1:7" x14ac:dyDescent="0.25">
      <c r="A283" s="36"/>
      <c r="B283" s="36"/>
      <c r="C283" s="36"/>
      <c r="D283" s="36"/>
      <c r="F283" s="41">
        <f t="shared" si="14"/>
        <v>-668.5</v>
      </c>
      <c r="G283" s="41">
        <f t="shared" si="15"/>
      </c>
    </row>
    <row r="284" spans="1:7" x14ac:dyDescent="0.25">
      <c r="A284" s="36"/>
      <c r="B284" s="36"/>
      <c r="C284" s="36"/>
      <c r="D284" s="36"/>
      <c r="F284" s="41">
        <f t="shared" si="14"/>
        <v>-670.8</v>
      </c>
      <c r="G284" s="41">
        <f t="shared" si="15"/>
        <v>136.275</v>
      </c>
    </row>
    <row r="285" spans="1:7" x14ac:dyDescent="0.25">
      <c r="A285" s="36"/>
      <c r="B285" s="36"/>
      <c r="C285" s="36"/>
      <c r="D285" s="36"/>
      <c r="F285" s="41">
        <f t="shared" si="14"/>
        <v>-672.3</v>
      </c>
      <c r="G285" s="41">
        <f t="shared" si="15"/>
      </c>
    </row>
    <row r="286" spans="1:7" x14ac:dyDescent="0.25">
      <c r="A286" s="36"/>
      <c r="B286" s="36"/>
      <c r="C286" s="36"/>
      <c r="D286" s="36"/>
      <c r="F286" s="41">
        <f t="shared" ref="F286:F317" si="16">IF(IF(A286&lt;&gt;"",0-A286,0-B285)=0,"",IF(A286&lt;&gt;"",0-A286,0-B285))</f>
        <v>-673.6</v>
      </c>
      <c r="G286" s="41">
        <f t="shared" si="15"/>
      </c>
    </row>
    <row r="287" spans="1:7" x14ac:dyDescent="0.25">
      <c r="A287" s="36"/>
      <c r="B287" s="36"/>
      <c r="C287" s="36"/>
      <c r="D287" s="36"/>
      <c r="F287" s="41">
        <f t="shared" si="16"/>
        <v>-675.3</v>
      </c>
      <c r="G287" s="41">
        <f t="shared" si="15"/>
      </c>
    </row>
    <row r="288" spans="1:7" x14ac:dyDescent="0.25">
      <c r="A288" s="36"/>
      <c r="B288" s="36"/>
      <c r="C288" s="36"/>
      <c r="D288" s="36"/>
      <c r="F288" s="41">
        <f t="shared" si="16"/>
        <v>-676.8</v>
      </c>
      <c r="G288" s="41">
        <f t="shared" si="15"/>
        <v>135.86875</v>
      </c>
    </row>
    <row r="289" spans="1:7" x14ac:dyDescent="0.25">
      <c r="A289" s="36"/>
      <c r="B289" s="36"/>
      <c r="C289" s="36"/>
      <c r="D289" s="36"/>
      <c r="F289" s="41">
        <f t="shared" si="16"/>
        <v>-678.3</v>
      </c>
      <c r="G289" s="41">
        <f t="shared" si="15"/>
      </c>
    </row>
    <row r="290" spans="1:7" x14ac:dyDescent="0.25">
      <c r="A290" s="36"/>
      <c r="B290" s="36"/>
      <c r="C290" s="36"/>
      <c r="D290" s="36"/>
      <c r="F290" s="41">
        <f t="shared" si="16"/>
        <v>-679.8</v>
      </c>
      <c r="G290" s="41">
        <f t="shared" si="15"/>
        <v>135.95</v>
      </c>
    </row>
    <row r="291" spans="1:7" x14ac:dyDescent="0.25">
      <c r="A291" s="36"/>
      <c r="B291" s="36"/>
      <c r="C291" s="36"/>
      <c r="D291" s="36"/>
      <c r="F291" s="41">
        <f t="shared" si="16"/>
        <v>-681.25</v>
      </c>
      <c r="G291" s="41">
        <f t="shared" si="15"/>
      </c>
    </row>
    <row r="292" spans="1:7" x14ac:dyDescent="0.25">
      <c r="A292" s="36"/>
      <c r="B292" s="36"/>
      <c r="C292" s="36"/>
      <c r="D292" s="36"/>
      <c r="F292" s="41">
        <f t="shared" si="16"/>
        <v>-682.75</v>
      </c>
      <c r="G292" s="41">
        <f t="shared" si="15"/>
      </c>
    </row>
    <row r="293" spans="1:7" x14ac:dyDescent="0.25">
      <c r="A293" s="36"/>
      <c r="B293" s="36"/>
      <c r="C293" s="36"/>
      <c r="D293" s="36"/>
      <c r="F293" s="41">
        <f t="shared" si="16"/>
        <v>-684.25</v>
      </c>
      <c r="G293" s="41">
        <f t="shared" si="15"/>
      </c>
    </row>
    <row r="294" spans="1:7" x14ac:dyDescent="0.25">
      <c r="A294" s="36"/>
      <c r="B294" s="36"/>
      <c r="C294" s="36"/>
      <c r="D294" s="36"/>
      <c r="F294" s="41">
        <f t="shared" si="16"/>
        <v>-685.75</v>
      </c>
      <c r="G294" s="41">
        <f t="shared" si="15"/>
      </c>
    </row>
    <row r="295" spans="1:7" x14ac:dyDescent="0.25">
      <c r="A295" s="36"/>
      <c r="B295" s="36"/>
      <c r="C295" s="36"/>
      <c r="D295" s="36"/>
      <c r="F295" s="41">
        <f t="shared" si="16"/>
        <v>-687.25</v>
      </c>
      <c r="G295" s="41">
        <f t="shared" si="15"/>
      </c>
    </row>
    <row r="296" spans="1:7" x14ac:dyDescent="0.25">
      <c r="A296" s="36"/>
      <c r="B296" s="36"/>
      <c r="C296" s="36"/>
      <c r="D296" s="36"/>
      <c r="F296" s="41">
        <f t="shared" si="16"/>
        <v>-688.75</v>
      </c>
      <c r="G296" s="41">
        <f t="shared" si="15"/>
      </c>
    </row>
    <row r="297" spans="1:7" x14ac:dyDescent="0.25">
      <c r="A297" s="36"/>
      <c r="B297" s="36"/>
      <c r="C297" s="36"/>
      <c r="D297" s="36"/>
      <c r="F297" s="41">
        <f t="shared" si="16"/>
        <v>-690.25</v>
      </c>
      <c r="G297" s="41">
        <f t="shared" si="15"/>
      </c>
    </row>
    <row r="298" spans="1:7" x14ac:dyDescent="0.25">
      <c r="A298" s="36"/>
      <c r="B298" s="36"/>
      <c r="C298" s="36"/>
      <c r="D298" s="36"/>
      <c r="F298" s="41">
        <f t="shared" si="16"/>
        <v>-691.75</v>
      </c>
      <c r="G298" s="41">
        <f t="shared" si="15"/>
      </c>
    </row>
    <row r="299" spans="1:7" x14ac:dyDescent="0.25">
      <c r="A299" s="36"/>
      <c r="B299" s="36"/>
      <c r="C299" s="36"/>
      <c r="D299" s="36"/>
      <c r="F299" s="41">
        <f t="shared" si="16"/>
        <v>-693.25</v>
      </c>
      <c r="G299" s="41">
        <f t="shared" si="15"/>
        <v>135.99375</v>
      </c>
    </row>
    <row r="300" spans="1:7" x14ac:dyDescent="0.25">
      <c r="A300" s="36"/>
      <c r="B300" s="36"/>
      <c r="C300" s="36"/>
      <c r="D300" s="36"/>
      <c r="F300" s="41">
        <f t="shared" si="16"/>
        <v>-694.75</v>
      </c>
      <c r="G300" s="41">
        <f t="shared" si="15"/>
      </c>
    </row>
    <row r="301" spans="1:7" x14ac:dyDescent="0.25">
      <c r="A301" s="36"/>
      <c r="B301" s="36"/>
      <c r="C301" s="36"/>
      <c r="D301" s="36"/>
      <c r="F301" s="41">
        <f t="shared" si="16"/>
        <v>-696.25</v>
      </c>
      <c r="G301" s="41">
        <f t="shared" si="15"/>
        <v>135.94375</v>
      </c>
    </row>
    <row r="302" spans="1:7" x14ac:dyDescent="0.25">
      <c r="A302" s="36"/>
      <c r="B302" s="36"/>
      <c r="C302" s="36"/>
      <c r="D302" s="36"/>
      <c r="F302" s="41">
        <f t="shared" si="16"/>
      </c>
      <c r="G302" s="41">
        <f t="shared" si="15"/>
      </c>
    </row>
    <row r="303" spans="1:7" x14ac:dyDescent="0.25">
      <c r="A303" s="36"/>
      <c r="B303" s="36"/>
      <c r="C303" s="36"/>
      <c r="D303" s="36"/>
      <c r="F303" s="41">
        <f t="shared" si="16"/>
      </c>
      <c r="G303" s="41">
        <f t="shared" si="15"/>
      </c>
    </row>
    <row r="304" spans="1:7" x14ac:dyDescent="0.25">
      <c r="A304" s="36"/>
      <c r="B304" s="36"/>
      <c r="C304" s="36"/>
      <c r="D304" s="36"/>
      <c r="F304" s="41">
        <f t="shared" si="16"/>
      </c>
      <c r="G304" s="41">
        <f t="shared" si="15"/>
      </c>
    </row>
    <row r="305" spans="1:7" x14ac:dyDescent="0.25">
      <c r="A305" s="36"/>
      <c r="B305" s="36"/>
      <c r="C305" s="36"/>
      <c r="D305" s="36"/>
      <c r="F305" s="41">
        <f t="shared" si="16"/>
      </c>
      <c r="G305" s="41">
        <f t="shared" si="15"/>
      </c>
    </row>
    <row r="306" spans="1:7" x14ac:dyDescent="0.25">
      <c r="A306" s="36"/>
      <c r="B306" s="36"/>
      <c r="C306" s="36"/>
      <c r="D306" s="36"/>
      <c r="F306" s="41">
        <f t="shared" si="16"/>
      </c>
      <c r="G306" s="41">
        <f t="shared" si="15"/>
      </c>
    </row>
    <row r="307" spans="1:7" x14ac:dyDescent="0.25">
      <c r="A307" s="36"/>
      <c r="B307" s="36"/>
      <c r="C307" s="36"/>
      <c r="D307" s="36"/>
      <c r="F307" s="41">
        <f t="shared" si="16"/>
      </c>
      <c r="G307" s="41">
        <f t="shared" si="15"/>
      </c>
    </row>
    <row r="308" spans="1:7" x14ac:dyDescent="0.25">
      <c r="A308" s="36"/>
      <c r="B308" s="36"/>
      <c r="C308" s="36"/>
      <c r="D308" s="36"/>
      <c r="F308" s="41">
        <f t="shared" si="16"/>
      </c>
      <c r="G308" s="41">
        <f t="shared" si="15"/>
      </c>
    </row>
    <row r="309" spans="1:7" x14ac:dyDescent="0.25">
      <c r="A309" s="36"/>
      <c r="B309" s="36"/>
      <c r="C309" s="36"/>
      <c r="D309" s="36"/>
      <c r="F309" s="41">
        <f t="shared" si="16"/>
      </c>
      <c r="G309" s="41">
        <f t="shared" si="15"/>
      </c>
    </row>
    <row r="310" spans="1:7" x14ac:dyDescent="0.25">
      <c r="A310" s="36"/>
      <c r="B310" s="36"/>
      <c r="C310" s="36"/>
      <c r="D310" s="36"/>
      <c r="F310" s="41">
        <f t="shared" si="16"/>
      </c>
      <c r="G310" s="41">
        <f t="shared" si="15"/>
      </c>
    </row>
    <row r="311" spans="1:7" x14ac:dyDescent="0.25">
      <c r="A311" s="36"/>
      <c r="B311" s="36"/>
      <c r="C311" s="36"/>
      <c r="D311" s="36"/>
      <c r="F311" s="41">
        <f t="shared" si="16"/>
      </c>
      <c r="G311" s="41">
        <f t="shared" si="15"/>
      </c>
    </row>
    <row r="312" spans="1:7" x14ac:dyDescent="0.25">
      <c r="A312" s="36"/>
      <c r="B312" s="36"/>
      <c r="C312" s="36"/>
      <c r="D312" s="36"/>
      <c r="F312" s="41">
        <f t="shared" si="16"/>
      </c>
      <c r="G312" s="41">
        <f t="shared" si="15"/>
      </c>
    </row>
    <row r="313" spans="1:7" x14ac:dyDescent="0.25">
      <c r="A313" s="36"/>
      <c r="B313" s="36"/>
      <c r="C313" s="36"/>
      <c r="D313" s="36"/>
      <c r="F313" s="41">
        <f t="shared" si="16"/>
      </c>
      <c r="G313" s="41">
        <f t="shared" si="15"/>
      </c>
    </row>
    <row r="314" spans="1:7" x14ac:dyDescent="0.25">
      <c r="A314" s="36"/>
      <c r="B314" s="36"/>
      <c r="C314" s="36"/>
      <c r="D314" s="36"/>
      <c r="F314" s="41">
        <f t="shared" si="16"/>
      </c>
      <c r="G314" s="41">
        <f t="shared" si="15"/>
      </c>
    </row>
    <row r="315" spans="1:7" x14ac:dyDescent="0.25">
      <c r="A315" s="36"/>
      <c r="B315" s="36"/>
      <c r="C315" s="36"/>
      <c r="D315" s="36"/>
      <c r="F315" s="41">
        <f t="shared" si="16"/>
      </c>
      <c r="G315" s="41">
        <f t="shared" si="15"/>
      </c>
    </row>
    <row r="316" spans="1:7" x14ac:dyDescent="0.25">
      <c r="A316" s="36"/>
      <c r="B316" s="36"/>
      <c r="C316" s="36"/>
      <c r="D316" s="36"/>
      <c r="F316" s="41">
        <f t="shared" si="16"/>
      </c>
      <c r="G316" s="41">
        <f t="shared" si="15"/>
      </c>
    </row>
    <row r="317" spans="1:7" x14ac:dyDescent="0.25">
      <c r="A317" s="36"/>
      <c r="B317" s="36"/>
      <c r="C317" s="36"/>
      <c r="D317" s="36"/>
      <c r="F317" s="41">
        <f t="shared" si="16"/>
      </c>
      <c r="G317" s="41">
        <f t="shared" si="15"/>
      </c>
    </row>
    <row r="318" spans="1:7" x14ac:dyDescent="0.25">
      <c r="A318" s="36"/>
      <c r="B318" s="36"/>
      <c r="C318" s="36"/>
      <c r="D318" s="36"/>
      <c r="F318" s="41">
        <f t="shared" ref="F318:F333" si="17">IF(IF(A318&lt;&gt;"",0-A318,0-B317)=0,"",IF(A318&lt;&gt;"",0-A318,0-B317))</f>
      </c>
      <c r="G318" s="41">
        <f t="shared" si="15"/>
      </c>
    </row>
    <row r="319" spans="1:7" x14ac:dyDescent="0.25">
      <c r="A319" s="36"/>
      <c r="B319" s="36"/>
      <c r="C319" s="36"/>
      <c r="D319" s="36"/>
      <c r="F319" s="41">
        <f t="shared" si="17"/>
      </c>
      <c r="G319" s="41">
        <f t="shared" si="15"/>
      </c>
    </row>
    <row r="320" spans="1:7" x14ac:dyDescent="0.25">
      <c r="A320" s="36"/>
      <c r="B320" s="36"/>
      <c r="C320" s="36"/>
      <c r="D320" s="36"/>
      <c r="F320" s="41">
        <f t="shared" si="17"/>
      </c>
      <c r="G320" s="41">
        <f t="shared" si="15"/>
      </c>
    </row>
    <row r="321" spans="1:7" x14ac:dyDescent="0.25">
      <c r="A321" s="36"/>
      <c r="B321" s="36"/>
      <c r="C321" s="36"/>
      <c r="D321" s="36"/>
      <c r="F321" s="41">
        <f t="shared" si="17"/>
      </c>
      <c r="G321" s="41">
        <f t="shared" si="15"/>
      </c>
    </row>
    <row r="322" spans="1:7" x14ac:dyDescent="0.25">
      <c r="A322" s="36"/>
      <c r="B322" s="36"/>
      <c r="C322" s="36"/>
      <c r="D322" s="36"/>
      <c r="F322" s="41">
        <f t="shared" si="17"/>
      </c>
      <c r="G322" s="41">
        <f t="shared" si="15"/>
      </c>
    </row>
    <row r="323" spans="1:7" x14ac:dyDescent="0.25">
      <c r="A323" s="36"/>
      <c r="B323" s="36"/>
      <c r="C323" s="36"/>
      <c r="D323" s="36"/>
      <c r="F323" s="41">
        <f t="shared" si="17"/>
      </c>
      <c r="G323" s="41">
        <f t="shared" si="15"/>
      </c>
    </row>
    <row r="324" spans="1:7" x14ac:dyDescent="0.25">
      <c r="A324" s="36"/>
      <c r="B324" s="36"/>
      <c r="C324" s="36"/>
      <c r="D324" s="36"/>
      <c r="F324" s="41">
        <f t="shared" si="17"/>
      </c>
      <c r="G324" s="41">
        <f t="shared" si="15"/>
      </c>
    </row>
    <row r="325" spans="1:7" x14ac:dyDescent="0.25">
      <c r="A325" s="36"/>
      <c r="B325" s="36"/>
      <c r="C325" s="36"/>
      <c r="D325" s="36"/>
      <c r="F325" s="41">
        <f t="shared" si="17"/>
      </c>
      <c r="G325" s="41">
        <f t="shared" ref="G325:G333" si="18">IF(((C324-D324)&lt;&gt;"")*(D324&lt;&gt;""),(137.5+(C324-D324)*5/8),"")</f>
      </c>
    </row>
    <row r="326" spans="1:7" x14ac:dyDescent="0.25">
      <c r="A326" s="36"/>
      <c r="B326" s="36"/>
      <c r="C326" s="36"/>
      <c r="D326" s="36"/>
      <c r="F326" s="41">
        <f t="shared" si="17"/>
      </c>
      <c r="G326" s="41">
        <f t="shared" si="18"/>
      </c>
    </row>
    <row r="327" spans="1:7" x14ac:dyDescent="0.25">
      <c r="A327" s="36"/>
      <c r="B327" s="36"/>
      <c r="C327" s="36"/>
      <c r="D327" s="36"/>
      <c r="F327" s="41">
        <f t="shared" si="17"/>
      </c>
      <c r="G327" s="41">
        <f t="shared" si="18"/>
      </c>
    </row>
    <row r="328" spans="1:7" x14ac:dyDescent="0.25">
      <c r="A328" s="36"/>
      <c r="B328" s="36"/>
      <c r="C328" s="36"/>
      <c r="D328" s="36"/>
      <c r="F328" s="41">
        <f t="shared" si="17"/>
      </c>
      <c r="G328" s="41">
        <f t="shared" si="18"/>
      </c>
    </row>
    <row r="329" spans="1:7" x14ac:dyDescent="0.25">
      <c r="A329" s="36"/>
      <c r="B329" s="36"/>
      <c r="C329" s="36"/>
      <c r="D329" s="36"/>
      <c r="F329" s="41">
        <f t="shared" si="17"/>
      </c>
      <c r="G329" s="41">
        <f t="shared" si="18"/>
      </c>
    </row>
    <row r="330" spans="1:7" x14ac:dyDescent="0.25">
      <c r="A330" s="36"/>
      <c r="B330" s="36"/>
      <c r="C330" s="36"/>
      <c r="D330" s="36"/>
      <c r="F330" s="41">
        <f t="shared" si="17"/>
      </c>
      <c r="G330" s="41">
        <f t="shared" si="18"/>
      </c>
    </row>
    <row r="331" spans="1:7" x14ac:dyDescent="0.25">
      <c r="A331" s="36"/>
      <c r="B331" s="36"/>
      <c r="C331" s="36"/>
      <c r="D331" s="36"/>
      <c r="F331" s="41">
        <f t="shared" si="17"/>
      </c>
      <c r="G331" s="41">
        <f t="shared" si="18"/>
      </c>
    </row>
    <row r="332" spans="1:7" x14ac:dyDescent="0.25">
      <c r="A332" s="36"/>
      <c r="B332" s="36"/>
      <c r="C332" s="36"/>
      <c r="D332" s="36"/>
      <c r="F332" s="41">
        <f t="shared" si="17"/>
      </c>
      <c r="G332" s="41">
        <f t="shared" si="18"/>
      </c>
    </row>
    <row r="333" spans="1:7" x14ac:dyDescent="0.25">
      <c r="A333" s="36"/>
      <c r="B333" s="36"/>
      <c r="C333" s="36"/>
      <c r="D333" s="36"/>
      <c r="F333" s="41">
        <f t="shared" si="17"/>
      </c>
      <c r="G333" s="41">
        <f t="shared" si="18"/>
      </c>
    </row>
  </sheetData>
  <mergeCells count="1">
    <mergeCell ref="I3:J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9"/>
  <sheetViews>
    <sheetView workbookViewId="0" zoomScale="70" zoomScaleNormal="70">
      <selection activeCell="F4" sqref="F4"/>
    </sheetView>
  </sheetViews>
  <sheetFormatPr defaultRowHeight="15.6" outlineLevelRow="0" outlineLevelCol="0" x14ac:dyDescent="0" defaultColWidth="7" customHeight="1"/>
  <cols>
    <col min="1" max="2" width="8.5" style="2" customWidth="1"/>
    <col min="3" max="3" width="7" style="2" customWidth="1"/>
    <col min="4" max="4" width="12.5" style="2" customWidth="1"/>
    <col min="5" max="6" width="8.5" style="2" customWidth="1"/>
    <col min="7" max="7" width="7" style="2" customWidth="1"/>
    <col min="8" max="8" width="12.5" style="2" customWidth="1"/>
    <col min="9" max="9" width="8.1" style="2" customWidth="1"/>
    <col min="10" max="11" width="8.5" style="2" customWidth="1"/>
    <col min="12" max="12" width="7" style="1" customWidth="1"/>
    <col min="13" max="13" width="8.5" style="1" customWidth="1"/>
    <col min="14" max="16" width="7" style="1" customWidth="1"/>
    <col min="17" max="17" width="12.1" style="43" customWidth="1"/>
    <col min="18" max="18" width="12.1" style="1" customWidth="1"/>
    <col min="19" max="19" width="12.1" style="44" customWidth="1"/>
    <col min="20" max="20" width="12.1" style="45" customWidth="1"/>
    <col min="21" max="22" width="12.1" style="1" customWidth="1"/>
    <col min="23" max="16384" width="7" style="2" customWidth="1"/>
  </cols>
  <sheetData>
    <row r="1" spans="1:26" x14ac:dyDescent="0.25">
      <c r="A1" s="5" t="s">
        <v>31</v>
      </c>
      <c r="B1" s="6"/>
      <c r="C1" s="6"/>
      <c r="D1" s="46"/>
      <c r="E1" s="5" t="s">
        <v>32</v>
      </c>
      <c r="F1" s="6"/>
      <c r="G1" s="6"/>
      <c r="H1" s="46"/>
      <c r="I1" s="5" t="s">
        <v>33</v>
      </c>
      <c r="J1" s="6"/>
      <c r="K1" s="6"/>
      <c r="L1" s="3" t="s">
        <v>34</v>
      </c>
      <c r="M1" s="4"/>
      <c r="N1" s="4"/>
      <c r="O1" s="4"/>
      <c r="P1" s="4"/>
      <c r="Q1" s="47" t="s">
        <v>35</v>
      </c>
      <c r="R1" s="8"/>
      <c r="S1" s="48"/>
      <c r="T1" s="49" t="s">
        <v>36</v>
      </c>
      <c r="U1" s="8"/>
      <c r="V1" s="50"/>
      <c r="W1" s="6"/>
      <c r="X1" s="6" t="s">
        <v>37</v>
      </c>
      <c r="Y1" s="6"/>
      <c r="Z1" s="6"/>
    </row>
    <row r="2" spans="1:26" x14ac:dyDescent="0.25">
      <c r="A2" s="5"/>
      <c r="B2" s="6"/>
      <c r="C2" s="6"/>
      <c r="D2" s="46"/>
      <c r="E2" s="5"/>
      <c r="F2" s="6"/>
      <c r="G2" s="6"/>
      <c r="H2" s="46"/>
      <c r="I2" s="5"/>
      <c r="J2" s="6"/>
      <c r="K2" s="6"/>
      <c r="L2" s="3"/>
      <c r="M2" s="4"/>
      <c r="N2" s="4"/>
      <c r="O2" s="4"/>
      <c r="P2" s="4"/>
      <c r="Q2" s="47"/>
      <c r="R2" s="8"/>
      <c r="S2" s="48"/>
      <c r="T2" s="49"/>
      <c r="U2" s="8"/>
      <c r="V2" s="50"/>
      <c r="W2" s="6"/>
      <c r="X2" s="6"/>
      <c r="Y2" s="6"/>
      <c r="Z2" s="6"/>
    </row>
    <row r="3" spans="1:22" x14ac:dyDescent="0.25">
      <c r="A3" s="9" t="s">
        <v>4</v>
      </c>
      <c r="B3" s="10" t="s">
        <v>5</v>
      </c>
      <c r="C3" s="10"/>
      <c r="D3" s="10" t="s">
        <v>38</v>
      </c>
      <c r="E3" s="9" t="s">
        <v>4</v>
      </c>
      <c r="F3" s="10" t="s">
        <v>5</v>
      </c>
      <c r="G3" s="10"/>
      <c r="H3" s="10" t="s">
        <v>39</v>
      </c>
      <c r="I3" s="9" t="s">
        <v>4</v>
      </c>
      <c r="J3" s="10" t="s">
        <v>5</v>
      </c>
      <c r="K3" s="10"/>
      <c r="L3" s="9" t="s">
        <v>40</v>
      </c>
      <c r="M3" s="10" t="s">
        <v>41</v>
      </c>
      <c r="N3" s="51" t="s">
        <v>42</v>
      </c>
      <c r="O3" s="10" t="s">
        <v>5</v>
      </c>
      <c r="P3" s="10"/>
      <c r="Q3" s="52" t="s">
        <v>6</v>
      </c>
      <c r="R3" s="12" t="s">
        <v>5</v>
      </c>
      <c r="S3" s="53"/>
      <c r="T3" s="54" t="s">
        <v>6</v>
      </c>
      <c r="U3" s="12" t="s">
        <v>5</v>
      </c>
      <c r="V3" s="12"/>
    </row>
    <row r="4" spans="1:22" x14ac:dyDescent="0.25">
      <c r="A4" s="15"/>
      <c r="B4" s="13">
        <f t="array" ref="B4">-INDEX(A:A,ROUNDUP(ROW(A7)/2,0))</f>
        <v>-0.9</v>
      </c>
      <c r="C4" s="13">
        <v>142.5</v>
      </c>
      <c r="D4" s="55">
        <f>IF(A5&lt;&gt;"",A5-A4,"")</f>
        <v>20.95</v>
      </c>
      <c r="E4" s="9"/>
      <c r="F4" s="13">
        <f t="array" ref="F4">-INDEX(E:E,ROUNDUP(ROW(E7)/2,0))</f>
        <v>0</v>
      </c>
      <c r="G4" s="13">
        <v>162.5</v>
      </c>
      <c r="H4" s="19">
        <f>E5</f>
        <v>17.17</v>
      </c>
      <c r="I4" s="56"/>
      <c r="J4" s="57">
        <f t="array" ref="J4">-INDEX(I:I,ROUNDUP(ROW(I7)/2,0))</f>
        <v>-147.75</v>
      </c>
      <c r="K4" s="57">
        <v>162.5</v>
      </c>
      <c r="L4" s="9"/>
      <c r="M4" s="10"/>
      <c r="N4" s="51"/>
      <c r="O4" s="13">
        <f t="array" ref="O4">-INDEX(N:N,ROUNDUP(ROW(N8)/2,0))</f>
        <v>0</v>
      </c>
      <c r="P4" s="13">
        <f>70-2*N5/120</f>
        <v>68.75</v>
      </c>
      <c r="Q4" s="58">
        <f>A4</f>
        <v>0.9</v>
      </c>
      <c r="R4" s="14">
        <f>B4-1.5</f>
        <v>-2.4</v>
      </c>
      <c r="S4" s="14">
        <f>57*2.5-1.68</f>
        <v>140.82</v>
      </c>
      <c r="T4" s="59">
        <v>0</v>
      </c>
      <c r="U4" s="14">
        <f>F4-1.5</f>
        <v>-1.5</v>
      </c>
      <c r="V4" s="14">
        <f>61*2.5-1.68</f>
        <v>150.82</v>
      </c>
    </row>
    <row r="5" spans="1:22" x14ac:dyDescent="0.25">
      <c r="A5" s="15"/>
      <c r="B5" s="13">
        <f t="array" ref="B5">-INDEX(A:A,ROUNDUP(ROW(A8)/2,0))</f>
        <v>-0.9</v>
      </c>
      <c r="C5" s="13">
        <v>152.5</v>
      </c>
      <c r="D5" s="60"/>
      <c r="E5" s="2"/>
      <c r="F5" s="13">
        <f t="array" ref="F5">-INDEX(E:E,ROUNDUP(ROW(E9)/2,0))</f>
        <v>-17.17</v>
      </c>
      <c r="G5" s="13">
        <v>162.5</v>
      </c>
      <c r="H5" s="19"/>
      <c r="J5" s="57">
        <f t="array" ref="J5">-INDEX(I:I,ROUNDUP(ROW(I8)/2,0))</f>
        <v>-147.75</v>
      </c>
      <c r="K5" s="57">
        <v>170</v>
      </c>
      <c r="L5" s="61"/>
      <c r="M5" s="62"/>
      <c r="N5" s="63"/>
      <c r="O5" s="13">
        <f t="array" ref="O5">-INDEX(M:M,ROUNDUP(ROW(M9)/2,0))</f>
        <v>-6</v>
      </c>
      <c r="P5" s="13">
        <f>70-2*N5/120</f>
        <v>68.75</v>
      </c>
      <c r="Q5" s="58">
        <f t="array" ref="Q5">IF(MOD(ROW()-8,4)=0,"",IF(MOD(ROW()-8,4)=1,INDEX(A:A,7+INT((ROW()-8)/4)*2)-INDEX(A:A,6+INT((ROW()-8)/4)*2),IF(MOD(ROW()-8,4)=2,INDEX(A:A,7+INT((ROW()-8)/4)*2),INDEX(A:A,8+INT((ROW()-8)/4)*2))))</f>
        <v>20.95</v>
      </c>
      <c r="R5" s="14">
        <f>IF(R6&lt;R4,(R6+R4)/2-0.75,0)</f>
        <v>-12.875</v>
      </c>
      <c r="S5" s="14">
        <f>C6-IF(LEN(TEXT(Q5,"0"))=1,6.28,IF(LEN(TEXT(Q5,"0"))=2,6.55,7.05))</f>
        <v>145.95</v>
      </c>
      <c r="T5" s="59">
        <f t="array" ref="T5">IF(MOD(ROW()-8,4)=0,"",IF(MOD(ROW()-8,4)=1,INDEX(E:E,7+INT((ROW()-8)/4)*2)-INDEX(E:E,6+INT((ROW()-8)/4)*2),IF(MOD(ROW()-8,4)=2,INDEX(E:E,7+INT((ROW()-8)/4)*2),INDEX(E:E,8+INT((ROW()-8)/4)*2))))</f>
        <v>17.17</v>
      </c>
      <c r="U5" s="14">
        <f>IF(U6&lt;U4,(U6+U4)/2-0.75,0)</f>
        <v>-10.085</v>
      </c>
      <c r="V5" s="14">
        <f>G5-IF(LEN(TEXT(T5,"0"))=1,6.28,IF(LEN(TEXT(T5,"0"))=2,6.55,7.05))</f>
        <v>155.95</v>
      </c>
    </row>
    <row r="6" spans="1:22" x14ac:dyDescent="0.25">
      <c r="A6" s="2"/>
      <c r="B6" s="13">
        <f t="array" ref="B6">-INDEX(A:A,ROUNDUP(ROW(A9)/2,0))</f>
        <v>-21.85</v>
      </c>
      <c r="C6" s="13">
        <v>152.5</v>
      </c>
      <c r="D6" s="55">
        <f t="shared" ref="D6:D10" si="0">IF(A7&lt;&gt;"",A7-A6,"")</f>
        <v>11.35</v>
      </c>
      <c r="E6" s="2"/>
      <c r="F6" s="13">
        <f t="array" ref="F6">-INDEX(E:E,ROUNDUP(ROW(E10)/2,0))</f>
        <v>-17.17</v>
      </c>
      <c r="G6" s="13">
        <v>152.5</v>
      </c>
      <c r="H6" s="19">
        <f t="shared" ref="H6:H10" si="1">IF(E7&lt;&gt;"",E7-E6,"")</f>
        <v>6.36</v>
      </c>
      <c r="J6" s="57"/>
      <c r="K6" s="57"/>
      <c r="L6" s="64"/>
      <c r="M6" s="65"/>
      <c r="N6" s="66"/>
      <c r="O6" s="13">
        <f t="array" ref="O6">IF(OR(L6=0,L6="",M6=0,M6="",N6=0,N6=""),"",-INDEX(M:M,ROUNDUP(ROW(M10)/2,0)))</f>
      </c>
      <c r="P6" s="13">
        <f>IF(OR(L6=0,L6="",M6=0,M6="",N6=0,N6=""),"",70-2*N6/120)</f>
      </c>
      <c r="Q6" s="58">
        <f t="array" ref="Q6">IF(MOD(ROW()-8,4)=0,"",IF(MOD(ROW()-8,4)=1,INDEX(A:A,7+INT((ROW()-8)/4)*2)-INDEX(A:A,6+INT((ROW()-8)/4)*2),IF(MOD(ROW()-8,4)=2,INDEX(A:A,7+INT((ROW()-8)/4)*2),INDEX(A:A,8+INT((ROW()-8)/4)*2))))</f>
        <v>21.85</v>
      </c>
      <c r="R6" s="14">
        <f>B7</f>
        <v>-21.85</v>
      </c>
      <c r="S6" s="14">
        <f>C7-IF(LEN(TEXT(Q6,"0"))=1,1.25,IF(LEN(TEXT(Q6,"0"))=2,1.525,2.025))</f>
        <v>140.975</v>
      </c>
      <c r="T6" s="59">
        <f t="array" ref="T6">IF(MOD(ROW()-8,4)=0,"",IF(MOD(ROW()-8,4)=1,INDEX(E:E,7+INT((ROW()-8)/4)*2)-INDEX(E:E,6+INT((ROW()-8)/4)*2),IF(MOD(ROW()-8,4)=2,INDEX(E:E,7+INT((ROW()-8)/4)*2),INDEX(E:E,8+INT((ROW()-8)/4)*2))))</f>
        <v>17.17</v>
      </c>
      <c r="U6" s="14">
        <f t="shared" ref="U6:U10" si="2">F6</f>
        <v>-17.17</v>
      </c>
      <c r="V6" s="14">
        <f>G6-IF(LEN(TEXT(T6,"0"))=1,1.25,IF(LEN(TEXT(T6,"0"))=2,1.525,2.025))</f>
        <v>150.975</v>
      </c>
    </row>
    <row r="7" spans="1:22" x14ac:dyDescent="0.25">
      <c r="A7" s="2"/>
      <c r="B7" s="13">
        <f t="array" ref="B7">-INDEX(A:A,ROUNDUP(ROW(A10)/2,0))</f>
        <v>-21.85</v>
      </c>
      <c r="C7" s="13">
        <v>142.5</v>
      </c>
      <c r="D7" s="60"/>
      <c r="E7" s="2"/>
      <c r="F7" s="13">
        <f t="array" ref="F7">-INDEX(E:E,ROUNDUP(ROW(E11)/2,0))</f>
        <v>-26.6</v>
      </c>
      <c r="G7" s="13">
        <v>152.5</v>
      </c>
      <c r="H7" s="19"/>
      <c r="J7" s="57">
        <f>-I4</f>
        <v>-147.75</v>
      </c>
      <c r="K7" s="57">
        <v>166.25</v>
      </c>
      <c r="L7" s="2"/>
      <c r="M7" s="2"/>
      <c r="N7" s="2"/>
      <c r="O7" s="13">
        <f t="array" ref="O7">IF(OR(L6=0,L6="",M6=0,M6="",N6=0,N6=""),"",-INDEX(M:M,ROUNDUP(ROW(M11)/2,0)))</f>
      </c>
      <c r="P7" s="13">
        <f>IF(OR(L6=0,L6="",M6=0,M6="",N6=0,N6=""),"",70-2*N6/120)</f>
      </c>
      <c r="Q7" s="58">
        <f t="array" ref="Q7">IF(MOD(ROW()-8,4)=0,"",IF(MOD(ROW()-8,4)=1,INDEX(A:A,7+INT((ROW()-8)/4)*2)-INDEX(A:A,6+INT((ROW()-8)/4)*2),IF(MOD(ROW()-8,4)=2,INDEX(A:A,7+INT((ROW()-8)/4)*2),INDEX(A:A,8+INT((ROW()-8)/4)*2))))</f>
        <v>26.6</v>
      </c>
      <c r="R7" s="14">
        <f>B8-1.5</f>
        <v>-28.1</v>
      </c>
      <c r="S7" s="14">
        <f>C8-IF(LEN(TEXT(Q7,"0"))=1,1.25,IF(LEN(TEXT(Q7,"0"))=2,1.525,2.025))</f>
        <v>140.975</v>
      </c>
      <c r="T7" s="59">
        <f t="array" ref="T7">IF(MOD(ROW()-8,4)=0,"",IF(MOD(ROW()-8,4)=1,INDEX(E:E,7+INT((ROW()-8)/4)*2)-INDEX(E:E,6+INT((ROW()-8)/4)*2),IF(MOD(ROW()-8,4)=2,INDEX(E:E,7+INT((ROW()-8)/4)*2),INDEX(E:E,8+INT((ROW()-8)/4)*2))))</f>
        <v>26.6</v>
      </c>
      <c r="U7" s="14">
        <f>F7-1.5</f>
        <v>-28.1</v>
      </c>
      <c r="V7" s="14">
        <f>G7-IF(LEN(TEXT(T7,"0"))=1,1.25,IF(LEN(TEXT(T7,"0"))=2,1.525,2.025))</f>
        <v>150.975</v>
      </c>
    </row>
    <row r="8" spans="1:22" x14ac:dyDescent="0.25">
      <c r="A8" s="2"/>
      <c r="B8" s="13">
        <f t="array" ref="B8">-INDEX(A:A,ROUNDUP(ROW(A11)/2,0))</f>
        <v>-26.6</v>
      </c>
      <c r="C8" s="13">
        <v>142.5</v>
      </c>
      <c r="D8" s="55">
        <f t="shared" si="0"/>
        <v>96.93</v>
      </c>
      <c r="E8" s="2"/>
      <c r="F8" s="13">
        <f t="array" ref="F8">-INDEX(E:E,ROUNDUP(ROW(E12)/2,0))</f>
        <v>-26.6</v>
      </c>
      <c r="G8" s="13">
        <v>162.5</v>
      </c>
      <c r="H8" s="19">
        <f t="shared" si="1"/>
        <v>1.68</v>
      </c>
      <c r="J8" s="57">
        <f>-(I4-1.25)</f>
        <v>-146.5</v>
      </c>
      <c r="K8" s="57">
        <v>165</v>
      </c>
      <c r="L8" s="2"/>
      <c r="M8" s="2"/>
      <c r="N8" s="2"/>
      <c r="O8" s="13">
        <f>O7</f>
      </c>
      <c r="P8" s="13">
        <f>IF(OR(L6=0,L6="",M6=0,M6="",N6=0,N6=""),"",70+70-P7)</f>
      </c>
      <c r="Q8" s="58">
        <f t="array" ref="Q8">IF(MOD(ROW()-8,4)=0,"",IF(MOD(ROW()-8,4)=1,INDEX(A:A,7+INT((ROW()-8)/4)*2)-INDEX(A:A,6+INT((ROW()-8)/4)*2),IF(MOD(ROW()-8,4)=2,INDEX(A:A,7+INT((ROW()-8)/4)*2),INDEX(A:A,8+INT((ROW()-8)/4)*2))))</f>
      </c>
      <c r="R8" s="14">
        <f>B9</f>
        <v>-26.6</v>
      </c>
      <c r="S8" s="14">
        <f>C9</f>
        <v>152.5</v>
      </c>
      <c r="T8" s="59">
        <f t="array" ref="T8">IF(MOD(ROW()-8,4)=0,"",IF(MOD(ROW()-8,4)=1,INDEX(E:E,7+INT((ROW()-8)/4)*2)-INDEX(E:E,6+INT((ROW()-8)/4)*2),IF(MOD(ROW()-8,4)=2,INDEX(E:E,7+INT((ROW()-8)/4)*2),INDEX(E:E,8+INT((ROW()-8)/4)*2))))</f>
      </c>
      <c r="U8" s="14">
        <f t="shared" si="2"/>
        <v>-26.6</v>
      </c>
      <c r="V8" s="14">
        <f>G8</f>
        <v>162.5</v>
      </c>
    </row>
    <row r="9" spans="1:22" x14ac:dyDescent="0.25">
      <c r="A9" s="2"/>
      <c r="B9" s="13">
        <f t="array" ref="B9">-INDEX(A:A,ROUNDUP(ROW(A12)/2,0))</f>
        <v>-26.6</v>
      </c>
      <c r="C9" s="13">
        <v>152.5</v>
      </c>
      <c r="D9" s="60"/>
      <c r="E9" s="56"/>
      <c r="F9" s="13">
        <f t="array" ref="F9">-INDEX(E:E,ROUNDUP(ROW(E13)/2,0))</f>
        <v>-32.96</v>
      </c>
      <c r="G9" s="13">
        <v>162.5</v>
      </c>
      <c r="H9" s="19"/>
      <c r="J9" s="57">
        <f>-(I4-1.25)</f>
        <v>-146.5</v>
      </c>
      <c r="K9" s="57">
        <v>167.5</v>
      </c>
      <c r="L9" s="2"/>
      <c r="M9" s="2"/>
      <c r="N9" s="2"/>
      <c r="O9" s="13">
        <f>O6</f>
      </c>
      <c r="P9" s="13">
        <f>IF(OR(L6=0,L6="",M6=0,M6="",N6=0,N6=""),"",70+70-P6)</f>
      </c>
      <c r="Q9" s="58">
        <f t="array" ref="Q9">IF(MOD(ROW()-8,4)=0,"",IF(MOD(ROW()-8,4)=1,INDEX(A:A,7+INT((ROW()-8)/4)*2)-INDEX(A:A,6+INT((ROW()-8)/4)*2),IF(MOD(ROW()-8,4)=2,INDEX(A:A,7+INT((ROW()-8)/4)*2),INDEX(A:A,8+INT((ROW()-8)/4)*2))))</f>
        <v>11.35</v>
      </c>
      <c r="R9" s="14">
        <f>IF(R10&lt;R8,(R10+R8)/2-0.75,0)</f>
        <v>-33.025</v>
      </c>
      <c r="S9" s="14">
        <f>C10-IF(LEN(TEXT(Q9,"0"))=1,6.28,IF(LEN(TEXT(Q9,"0"))=2,6.55,7.05))</f>
        <v>145.95</v>
      </c>
      <c r="T9" s="59">
        <f t="array" ref="T9">IF(MOD(ROW()-8,4)=0,"",IF(MOD(ROW()-8,4)=1,INDEX(E:E,7+INT((ROW()-8)/4)*2)-INDEX(E:E,6+INT((ROW()-8)/4)*2),IF(MOD(ROW()-8,4)=2,INDEX(E:E,7+INT((ROW()-8)/4)*2),INDEX(E:E,8+INT((ROW()-8)/4)*2))))</f>
        <v>6.36</v>
      </c>
      <c r="U9" s="14">
        <f>IF(U10&lt;U8,(U10+U8)/2-0.75,0)</f>
        <v>-30.53</v>
      </c>
      <c r="V9" s="14">
        <f>G9-IF(LEN(TEXT(T9,"0"))=1,6.28,IF(LEN(TEXT(T9,"0"))=2,6.55,7.05))</f>
        <v>156.22</v>
      </c>
    </row>
    <row r="10" spans="1:22" x14ac:dyDescent="0.25">
      <c r="A10" s="2"/>
      <c r="B10" s="13">
        <f t="array" ref="B10">-INDEX(A:A,ROUNDUP(ROW(A13)/2,0))</f>
        <v>-37.95</v>
      </c>
      <c r="C10" s="13">
        <v>152.5</v>
      </c>
      <c r="D10" s="55">
        <f t="shared" si="0"/>
        <v>113.72</v>
      </c>
      <c r="E10" s="2"/>
      <c r="F10" s="13">
        <f t="array" ref="F10">-INDEX(E:E,ROUNDUP(ROW(E14)/2,0))</f>
        <v>-32.96</v>
      </c>
      <c r="G10" s="13">
        <v>152.5</v>
      </c>
      <c r="H10" s="19">
        <f t="shared" si="1"/>
        <v>4.82</v>
      </c>
      <c r="J10" s="57">
        <f>J7</f>
        <v>-147.75</v>
      </c>
      <c r="K10" s="57">
        <v>166.25</v>
      </c>
      <c r="L10" s="2"/>
      <c r="M10" s="2"/>
      <c r="N10" s="2"/>
      <c r="O10" s="13">
        <f>O5</f>
        <v>-6</v>
      </c>
      <c r="P10" s="13">
        <f>70+70-P5</f>
        <v>71.25</v>
      </c>
      <c r="Q10" s="58">
        <f t="array" ref="Q10">IF(MOD(ROW()-8,4)=0,"",IF(MOD(ROW()-8,4)=1,INDEX(A:A,7+INT((ROW()-8)/4)*2)-INDEX(A:A,6+INT((ROW()-8)/4)*2),IF(MOD(ROW()-8,4)=2,INDEX(A:A,7+INT((ROW()-8)/4)*2),INDEX(A:A,8+INT((ROW()-8)/4)*2))))</f>
        <v>37.95</v>
      </c>
      <c r="R10" s="14">
        <f>B11</f>
        <v>-37.95</v>
      </c>
      <c r="S10" s="14">
        <f>C11-IF(LEN(TEXT(Q10,"0"))=1,1.25,IF(LEN(TEXT(Q10,"0"))=2,1.525,2.025))</f>
        <v>140.975</v>
      </c>
      <c r="T10" s="59">
        <f t="array" ref="T10">IF(MOD(ROW()-8,4)=0,"",IF(MOD(ROW()-8,4)=1,INDEX(E:E,7+INT((ROW()-8)/4)*2)-INDEX(E:E,6+INT((ROW()-8)/4)*2),IF(MOD(ROW()-8,4)=2,INDEX(E:E,7+INT((ROW()-8)/4)*2),INDEX(E:E,8+INT((ROW()-8)/4)*2))))</f>
        <v>32.96</v>
      </c>
      <c r="U10" s="14">
        <f t="shared" si="2"/>
        <v>-32.96</v>
      </c>
      <c r="V10" s="14">
        <f>G10-IF(LEN(TEXT(T10,"0"))=1,1.25,IF(LEN(TEXT(T10,"0"))=2,1.525,2.025))</f>
        <v>150.975</v>
      </c>
    </row>
    <row r="11" spans="1:22" x14ac:dyDescent="0.25">
      <c r="A11" s="2"/>
      <c r="B11" s="13">
        <f t="array" ref="B11">-INDEX(A:A,ROUNDUP(ROW(A14)/2,0))</f>
        <v>-37.95</v>
      </c>
      <c r="C11" s="13">
        <v>142.5</v>
      </c>
      <c r="D11" s="60"/>
      <c r="E11" s="2"/>
      <c r="F11" s="13">
        <f t="array" ref="F11">-INDEX(E:E,ROUNDUP(ROW(E15)/2,0))</f>
        <v>-34.85</v>
      </c>
      <c r="G11" s="13">
        <v>152.5</v>
      </c>
      <c r="H11" s="19"/>
      <c r="J11" s="57"/>
      <c r="K11" s="57"/>
      <c r="L11" s="2"/>
      <c r="M11" s="2"/>
      <c r="N11" s="2"/>
      <c r="O11" s="13">
        <f>O4</f>
        <v>0</v>
      </c>
      <c r="P11" s="13">
        <f>70+70-P4</f>
        <v>71.25</v>
      </c>
      <c r="Q11" s="58">
        <f t="array" ref="Q11">IF(MOD(ROW()-8,4)=0,"",IF(MOD(ROW()-8,4)=1,INDEX(A:A,7+INT((ROW()-8)/4)*2)-INDEX(A:A,6+INT((ROW()-8)/4)*2),IF(MOD(ROW()-8,4)=2,INDEX(A:A,7+INT((ROW()-8)/4)*2),INDEX(A:A,8+INT((ROW()-8)/4)*2))))</f>
        <v>42.77</v>
      </c>
      <c r="R11" s="14">
        <f>B12-1.5</f>
        <v>-44.27</v>
      </c>
      <c r="S11" s="14">
        <f>C12-IF(LEN(TEXT(Q11,"0"))=1,1.25,IF(LEN(TEXT(Q11,"0"))=2,1.525,2.025))</f>
        <v>140.975</v>
      </c>
      <c r="T11" s="59">
        <f t="array" ref="T11">IF(MOD(ROW()-8,4)=0,"",IF(MOD(ROW()-8,4)=1,INDEX(E:E,7+INT((ROW()-8)/4)*2)-INDEX(E:E,6+INT((ROW()-8)/4)*2),IF(MOD(ROW()-8,4)=2,INDEX(E:E,7+INT((ROW()-8)/4)*2),INDEX(E:E,8+INT((ROW()-8)/4)*2))))</f>
        <v>34.85</v>
      </c>
      <c r="U11" s="14">
        <f>F11-1.5</f>
        <v>-36.35</v>
      </c>
      <c r="V11" s="14">
        <f>G11-IF(LEN(TEXT(T11,"0"))=1,1.25,IF(LEN(TEXT(T11,"0"))=2,1.525,2.025))</f>
        <v>150.975</v>
      </c>
    </row>
    <row r="12" spans="1:22" x14ac:dyDescent="0.25">
      <c r="A12" s="2"/>
      <c r="B12" s="13">
        <f t="array" ref="B12">-INDEX(A:A,ROUNDUP(ROW(A15)/2,0))</f>
        <v>-42.77</v>
      </c>
      <c r="C12" s="13">
        <v>142.5</v>
      </c>
      <c r="D12" s="55">
        <f t="shared" ref="D12:D16" si="3">IF(A13&lt;&gt;"",A13-A12,"")</f>
        <v>183.71</v>
      </c>
      <c r="E12" s="2"/>
      <c r="F12" s="13">
        <f t="array" ref="F12">-INDEX(E:E,ROUNDUP(ROW(E16)/2,0))</f>
        <v>-34.85</v>
      </c>
      <c r="G12" s="13">
        <v>162.5</v>
      </c>
      <c r="H12" s="19">
        <f t="shared" ref="H12:H16" si="4">IF(E13&lt;&gt;"",E13-E12,"")</f>
        <v>2.03</v>
      </c>
      <c r="J12" s="57">
        <f>-(I4+0.4)</f>
        <v>-148.15</v>
      </c>
      <c r="K12" s="57">
        <v>165.5</v>
      </c>
      <c r="L12" s="2"/>
      <c r="M12" s="2"/>
      <c r="N12" s="2"/>
      <c r="Q12" s="58">
        <f t="array" ref="Q12">IF(MOD(ROW()-8,4)=0,"",IF(MOD(ROW()-8,4)=1,INDEX(A:A,7+INT((ROW()-8)/4)*2)-INDEX(A:A,6+INT((ROW()-8)/4)*2),IF(MOD(ROW()-8,4)=2,INDEX(A:A,7+INT((ROW()-8)/4)*2),INDEX(A:A,8+INT((ROW()-8)/4)*2))))</f>
      </c>
      <c r="R12" s="14">
        <f>B13</f>
        <v>-42.77</v>
      </c>
      <c r="S12" s="14">
        <f>C13</f>
        <v>152.5</v>
      </c>
      <c r="T12" s="59">
        <f t="array" ref="T12">IF(MOD(ROW()-8,4)=0,"",IF(MOD(ROW()-8,4)=1,INDEX(E:E,7+INT((ROW()-8)/4)*2)-INDEX(E:E,6+INT((ROW()-8)/4)*2),IF(MOD(ROW()-8,4)=2,INDEX(E:E,7+INT((ROW()-8)/4)*2),INDEX(E:E,8+INT((ROW()-8)/4)*2))))</f>
      </c>
      <c r="U12" s="14">
        <f>F12</f>
        <v>-34.85</v>
      </c>
      <c r="V12" s="14">
        <f>G12</f>
        <v>162.5</v>
      </c>
    </row>
    <row r="13" spans="1:22" x14ac:dyDescent="0.25">
      <c r="A13" s="2"/>
      <c r="B13" s="13">
        <f t="array" ref="B13">-INDEX(A:A,ROUNDUP(ROW(A16)/2,0))</f>
        <v>-42.77</v>
      </c>
      <c r="C13" s="13">
        <v>152.5</v>
      </c>
      <c r="D13" s="60"/>
      <c r="E13" s="2"/>
      <c r="F13" s="13">
        <f t="array" ref="F13">-INDEX(E:E,ROUNDUP(ROW(E17)/2,0))</f>
        <v>-36.53</v>
      </c>
      <c r="G13" s="13">
        <v>162.5</v>
      </c>
      <c r="H13" s="19"/>
      <c r="J13" s="57">
        <f>-(I4+0.4)</f>
        <v>-148.15</v>
      </c>
      <c r="K13" s="57">
        <v>167</v>
      </c>
      <c r="L13" s="2"/>
      <c r="M13" s="2"/>
      <c r="N13" s="2"/>
      <c r="P13" s="2"/>
      <c r="Q13" s="58">
        <f t="array" ref="Q13">IF(MOD(ROW()-8,4)=0,"",IF(MOD(ROW()-8,4)=1,INDEX(A:A,7+INT((ROW()-8)/4)*2)-INDEX(A:A,6+INT((ROW()-8)/4)*2),IF(MOD(ROW()-8,4)=2,INDEX(A:A,7+INT((ROW()-8)/4)*2),INDEX(A:A,8+INT((ROW()-8)/4)*2))))</f>
        <v>96.93</v>
      </c>
      <c r="R13" s="14">
        <f>IF(R14&lt;R12,(R14+R12)/2-0.75,0)</f>
        <v>-91.985</v>
      </c>
      <c r="S13" s="14">
        <f>C14-IF(LEN(TEXT(Q13,"0"))=1,6.28,IF(LEN(TEXT(Q13,"0"))=2,6.55,7.05))</f>
        <v>145.95</v>
      </c>
      <c r="T13" s="59">
        <f t="array" ref="T13">IF(MOD(ROW()-8,4)=0,"",IF(MOD(ROW()-8,4)=1,INDEX(E:E,7+INT((ROW()-8)/4)*2)-INDEX(E:E,6+INT((ROW()-8)/4)*2),IF(MOD(ROW()-8,4)=2,INDEX(E:E,7+INT((ROW()-8)/4)*2),INDEX(E:E,8+INT((ROW()-8)/4)*2))))</f>
        <v>1.68</v>
      </c>
      <c r="U13" s="14">
        <f>IF(U14&lt;U12,(U14+U12)/2-0.75,0)</f>
        <v>-36.44</v>
      </c>
      <c r="V13" s="14">
        <f>G13-IF(LEN(TEXT(T13,"0"))=1,6.28,IF(LEN(TEXT(T13,"0"))=2,6.55,7.05))</f>
        <v>156.22</v>
      </c>
    </row>
    <row r="14" spans="1:22" x14ac:dyDescent="0.25">
      <c r="A14" s="2"/>
      <c r="B14" s="13">
        <f t="array" ref="B14">-INDEX(A:A,ROUNDUP(ROW(A17)/2,0))</f>
        <v>-139.7</v>
      </c>
      <c r="C14" s="13">
        <v>152.5</v>
      </c>
      <c r="D14" s="55">
        <f t="shared" si="3"/>
        <v>3.48000000000002</v>
      </c>
      <c r="E14" s="2"/>
      <c r="F14" s="13">
        <f t="array" ref="F14">-INDEX(E:E,ROUNDUP(ROW(E18)/2,0))</f>
        <v>-36.53</v>
      </c>
      <c r="G14" s="13">
        <v>152.5</v>
      </c>
      <c r="H14" s="19">
        <f t="shared" si="4"/>
        <v>8.59999999999997</v>
      </c>
      <c r="J14" s="57"/>
      <c r="K14" s="57"/>
      <c r="L14" s="2"/>
      <c r="M14" s="2"/>
      <c r="N14" s="2"/>
      <c r="O14" s="2"/>
      <c r="P14" s="2"/>
      <c r="Q14" s="58">
        <f t="array" ref="Q14">IF(MOD(ROW()-8,4)=0,"",IF(MOD(ROW()-8,4)=1,INDEX(A:A,7+INT((ROW()-8)/4)*2)-INDEX(A:A,6+INT((ROW()-8)/4)*2),IF(MOD(ROW()-8,4)=2,INDEX(A:A,7+INT((ROW()-8)/4)*2),INDEX(A:A,8+INT((ROW()-8)/4)*2))))</f>
        <v>139.7</v>
      </c>
      <c r="R14" s="14">
        <f>B15</f>
        <v>-139.7</v>
      </c>
      <c r="S14" s="14">
        <f>C15-IF(LEN(TEXT(Q14,"0"))=1,1.25,IF(LEN(TEXT(Q14,"0"))=2,1.525,2.025))</f>
        <v>140.475</v>
      </c>
      <c r="T14" s="59">
        <f t="array" ref="T14">IF(MOD(ROW()-8,4)=0,"",IF(MOD(ROW()-8,4)=1,INDEX(E:E,7+INT((ROW()-8)/4)*2)-INDEX(E:E,6+INT((ROW()-8)/4)*2),IF(MOD(ROW()-8,4)=2,INDEX(E:E,7+INT((ROW()-8)/4)*2),INDEX(E:E,8+INT((ROW()-8)/4)*2))))</f>
        <v>36.53</v>
      </c>
      <c r="U14" s="14">
        <f>F14</f>
        <v>-36.53</v>
      </c>
      <c r="V14" s="14">
        <f>G14-IF(LEN(TEXT(T14,"0"))=1,1.25,IF(LEN(TEXT(T14,"0"))=2,1.525,2.025))</f>
        <v>150.975</v>
      </c>
    </row>
    <row r="15" spans="1:22" x14ac:dyDescent="0.25">
      <c r="A15" s="2"/>
      <c r="B15" s="13">
        <f t="array" ref="B15">-INDEX(A:A,ROUNDUP(ROW(A18)/2,0))</f>
        <v>-139.7</v>
      </c>
      <c r="C15" s="13">
        <v>142.5</v>
      </c>
      <c r="D15" s="60"/>
      <c r="E15" s="2"/>
      <c r="F15" s="13">
        <f t="array" ref="F15">-INDEX(E:E,ROUNDUP(ROW(E19)/2,0))</f>
        <v>-37.95</v>
      </c>
      <c r="G15" s="13">
        <v>152.5</v>
      </c>
      <c r="H15" s="19"/>
      <c r="J15" s="57">
        <f>-(I4+0.8)</f>
        <v>-148.55</v>
      </c>
      <c r="K15" s="57">
        <v>165.75</v>
      </c>
      <c r="L15" s="2"/>
      <c r="M15" s="2"/>
      <c r="N15" s="2"/>
      <c r="O15" s="2"/>
      <c r="P15" s="2"/>
      <c r="Q15" s="58">
        <f t="array" ref="Q15">IF(MOD(ROW()-8,4)=0,"",IF(MOD(ROW()-8,4)=1,INDEX(A:A,7+INT((ROW()-8)/4)*2)-INDEX(A:A,6+INT((ROW()-8)/4)*2),IF(MOD(ROW()-8,4)=2,INDEX(A:A,7+INT((ROW()-8)/4)*2),INDEX(A:A,8+INT((ROW()-8)/4)*2))))</f>
        <v>187.01</v>
      </c>
      <c r="R15" s="14">
        <f>B16-1.5</f>
        <v>-188.51</v>
      </c>
      <c r="S15" s="14">
        <f>C16-IF(LEN(TEXT(Q15,"0"))=1,1.25,IF(LEN(TEXT(Q15,"0"))=2,1.525,2.025))</f>
        <v>140.475</v>
      </c>
      <c r="T15" s="59">
        <f t="array" ref="T15">IF(MOD(ROW()-8,4)=0,"",IF(MOD(ROW()-8,4)=1,INDEX(E:E,7+INT((ROW()-8)/4)*2)-INDEX(E:E,6+INT((ROW()-8)/4)*2),IF(MOD(ROW()-8,4)=2,INDEX(E:E,7+INT((ROW()-8)/4)*2),INDEX(E:E,8+INT((ROW()-8)/4)*2))))</f>
        <v>37.95</v>
      </c>
      <c r="U15" s="14">
        <f>F15-1.5</f>
        <v>-39.45</v>
      </c>
      <c r="V15" s="14">
        <f>G15-IF(LEN(TEXT(T15,"0"))=1,1.25,IF(LEN(TEXT(T15,"0"))=2,1.525,2.025))</f>
        <v>150.975</v>
      </c>
    </row>
    <row r="16" spans="1:22" x14ac:dyDescent="0.25">
      <c r="A16" s="2"/>
      <c r="B16" s="13">
        <f t="array" ref="B16">-INDEX(A:A,ROUNDUP(ROW(A19)/2,0))</f>
        <v>-187.01</v>
      </c>
      <c r="C16" s="13">
        <v>142.5</v>
      </c>
      <c r="D16" s="55">
        <f t="shared" si="3"/>
        <v>21.0899999999999</v>
      </c>
      <c r="E16" s="2"/>
      <c r="F16" s="13">
        <f t="array" ref="F16">-INDEX(E:E,ROUNDUP(ROW(E20)/2,0))</f>
        <v>-37.95</v>
      </c>
      <c r="G16" s="13">
        <v>162.5</v>
      </c>
      <c r="H16" s="19">
        <f t="shared" si="4"/>
        <v>2.73000000000002</v>
      </c>
      <c r="J16" s="57">
        <f>-(I4+0.8)</f>
        <v>-148.55</v>
      </c>
      <c r="K16" s="57">
        <v>166.75</v>
      </c>
      <c r="L16" s="2"/>
      <c r="M16" s="2"/>
      <c r="N16" s="2"/>
      <c r="O16" s="2"/>
      <c r="P16" s="2"/>
      <c r="Q16" s="58">
        <f t="array" ref="Q16">IF(MOD(ROW()-8,4)=0,"",IF(MOD(ROW()-8,4)=1,INDEX(A:A,7+INT((ROW()-8)/4)*2)-INDEX(A:A,6+INT((ROW()-8)/4)*2),IF(MOD(ROW()-8,4)=2,INDEX(A:A,7+INT((ROW()-8)/4)*2),INDEX(A:A,8+INT((ROW()-8)/4)*2))))</f>
      </c>
      <c r="R16" s="14">
        <f>B17</f>
        <v>-187.01</v>
      </c>
      <c r="S16" s="14">
        <f>C17</f>
        <v>152.5</v>
      </c>
      <c r="T16" s="59">
        <f t="array" ref="T16">IF(MOD(ROW()-8,4)=0,"",IF(MOD(ROW()-8,4)=1,INDEX(E:E,7+INT((ROW()-8)/4)*2)-INDEX(E:E,6+INT((ROW()-8)/4)*2),IF(MOD(ROW()-8,4)=2,INDEX(E:E,7+INT((ROW()-8)/4)*2),INDEX(E:E,8+INT((ROW()-8)/4)*2))))</f>
      </c>
      <c r="U16" s="14">
        <f>F16</f>
        <v>-37.95</v>
      </c>
      <c r="V16" s="14">
        <f>G16</f>
        <v>162.5</v>
      </c>
    </row>
    <row r="17" spans="1:22" x14ac:dyDescent="0.25">
      <c r="A17" s="2"/>
      <c r="B17" s="13">
        <f t="array" ref="B17">-INDEX(A:A,ROUNDUP(ROW(A20)/2,0))</f>
        <v>-187.01</v>
      </c>
      <c r="C17" s="13">
        <v>152.5</v>
      </c>
      <c r="D17" s="60"/>
      <c r="E17" s="2"/>
      <c r="F17" s="13">
        <f t="array" ref="F17">-INDEX(E:E,ROUNDUP(ROW(E21)/2,0))</f>
        <v>-42.77</v>
      </c>
      <c r="G17" s="13">
        <v>162.5</v>
      </c>
      <c r="H17" s="19"/>
      <c r="I17" s="7" t="s">
        <v>43</v>
      </c>
      <c r="J17" s="8"/>
      <c r="K17" s="50"/>
      <c r="L17" s="2"/>
      <c r="M17" s="2"/>
      <c r="N17" s="2"/>
      <c r="O17" s="2"/>
      <c r="P17" s="2"/>
      <c r="Q17" s="58">
        <f t="array" ref="Q17">IF(MOD(ROW()-8,4)=0,"",IF(MOD(ROW()-8,4)=1,INDEX(A:A,7+INT((ROW()-8)/4)*2)-INDEX(A:A,6+INT((ROW()-8)/4)*2),IF(MOD(ROW()-8,4)=2,INDEX(A:A,7+INT((ROW()-8)/4)*2),INDEX(A:A,8+INT((ROW()-8)/4)*2))))</f>
        <v>113.72</v>
      </c>
      <c r="R17" s="14">
        <f>IF(R18&lt;R16,(R18+R16)/2-0.75,0)</f>
        <v>-244.62</v>
      </c>
      <c r="S17" s="14">
        <f>C18-IF(LEN(TEXT(Q17,"0"))=1,6.28,IF(LEN(TEXT(Q17,"0"))=2,6.55,7.05))</f>
        <v>145.45</v>
      </c>
      <c r="T17" s="59">
        <f t="array" ref="T17">IF(MOD(ROW()-8,4)=0,"",IF(MOD(ROW()-8,4)=1,INDEX(E:E,7+INT((ROW()-8)/4)*2)-INDEX(E:E,6+INT((ROW()-8)/4)*2),IF(MOD(ROW()-8,4)=2,INDEX(E:E,7+INT((ROW()-8)/4)*2),INDEX(E:E,8+INT((ROW()-8)/4)*2))))</f>
        <v>4.82</v>
      </c>
      <c r="U17" s="14">
        <f>IF(U18&lt;U16,(U18+U16)/2-0.75,0)</f>
        <v>-41.11</v>
      </c>
      <c r="V17" s="14">
        <f>G17-IF(LEN(TEXT(T17,"0"))=1,6.28,IF(LEN(TEXT(T17,"0"))=2,6.55,7.05))</f>
        <v>156.22</v>
      </c>
    </row>
    <row r="18" spans="1:22" x14ac:dyDescent="0.25">
      <c r="A18" s="2"/>
      <c r="B18" s="13">
        <f t="array" ref="B18">-INDEX(A:A,ROUNDUP(ROW(A21)/2,0))</f>
        <v>-300.73</v>
      </c>
      <c r="C18" s="13">
        <v>152.5</v>
      </c>
      <c r="D18" s="55">
        <f t="shared" ref="D18:D22" si="5">IF(A19&lt;&gt;"",A19-A18,"")</f>
        <v>15.8</v>
      </c>
      <c r="E18" s="2"/>
      <c r="F18" s="13">
        <f t="array" ref="F18">-INDEX(E:E,ROUNDUP(ROW(E22)/2,0))</f>
        <v>-42.77</v>
      </c>
      <c r="G18" s="13">
        <v>152.5</v>
      </c>
      <c r="H18" s="19">
        <f t="shared" ref="H18:H20" si="6">IF(E19&lt;&gt;"",E19-E18,"")</f>
        <v>1.14999999999998</v>
      </c>
      <c r="I18" s="7"/>
      <c r="J18" s="8"/>
      <c r="K18" s="50"/>
      <c r="L18" s="2"/>
      <c r="M18" s="2"/>
      <c r="N18" s="2"/>
      <c r="O18" s="2"/>
      <c r="P18" s="2"/>
      <c r="Q18" s="58">
        <f t="array" ref="Q18">IF(MOD(ROW()-8,4)=0,"",IF(MOD(ROW()-8,4)=1,INDEX(A:A,7+INT((ROW()-8)/4)*2)-INDEX(A:A,6+INT((ROW()-8)/4)*2),IF(MOD(ROW()-8,4)=2,INDEX(A:A,7+INT((ROW()-8)/4)*2),INDEX(A:A,8+INT((ROW()-8)/4)*2))))</f>
        <v>300.73</v>
      </c>
      <c r="R18" s="14">
        <f>B19</f>
        <v>-300.73</v>
      </c>
      <c r="S18" s="14">
        <f>C19-IF(LEN(TEXT(Q18,"0"))=1,1.25,IF(LEN(TEXT(Q18,"0"))=2,1.525,2.025))</f>
        <v>140.475</v>
      </c>
      <c r="T18" s="59">
        <f t="array" ref="T18">IF(MOD(ROW()-8,4)=0,"",IF(MOD(ROW()-8,4)=1,INDEX(E:E,7+INT((ROW()-8)/4)*2)-INDEX(E:E,6+INT((ROW()-8)/4)*2),IF(MOD(ROW()-8,4)=2,INDEX(E:E,7+INT((ROW()-8)/4)*2),INDEX(E:E,8+INT((ROW()-8)/4)*2))))</f>
        <v>42.77</v>
      </c>
      <c r="U18" s="14">
        <f>F18</f>
        <v>-42.77</v>
      </c>
      <c r="V18" s="14">
        <f>G18-IF(LEN(TEXT(T18,"0"))=1,1.25,IF(LEN(TEXT(T18,"0"))=2,1.525,2.025))</f>
        <v>150.975</v>
      </c>
    </row>
    <row r="19" spans="1:22" x14ac:dyDescent="0.25">
      <c r="A19" s="2"/>
      <c r="B19" s="13">
        <f t="array" ref="B19">-INDEX(A:A,ROUNDUP(ROW(A22)/2,0))</f>
        <v>-300.73</v>
      </c>
      <c r="C19" s="13">
        <v>142.5</v>
      </c>
      <c r="D19" s="60"/>
      <c r="E19" s="2"/>
      <c r="F19" s="13">
        <f t="array" ref="F19">-INDEX(E:E,ROUNDUP(ROW(E23)/2,0))</f>
        <v>-105.55</v>
      </c>
      <c r="G19" s="13">
        <v>152.5</v>
      </c>
      <c r="H19" s="19"/>
      <c r="I19" s="11" t="s">
        <v>6</v>
      </c>
      <c r="J19" s="12" t="s">
        <v>5</v>
      </c>
      <c r="K19" s="67"/>
      <c r="L19" s="2"/>
      <c r="M19" s="2"/>
      <c r="N19" s="2"/>
      <c r="O19" s="2"/>
      <c r="P19" s="2"/>
      <c r="Q19" s="58">
        <f t="array" ref="Q19">IF(MOD(ROW()-8,4)=0,"",IF(MOD(ROW()-8,4)=1,INDEX(A:A,7+INT((ROW()-8)/4)*2)-INDEX(A:A,6+INT((ROW()-8)/4)*2),IF(MOD(ROW()-8,4)=2,INDEX(A:A,7+INT((ROW()-8)/4)*2),INDEX(A:A,8+INT((ROW()-8)/4)*2))))</f>
        <v>305.66</v>
      </c>
      <c r="R19" s="14">
        <f>B20-1.5</f>
        <v>-307.16</v>
      </c>
      <c r="S19" s="14">
        <f>C20-IF(LEN(TEXT(Q19,"0"))=1,1.25,IF(LEN(TEXT(Q19,"0"))=2,1.525,2.025))</f>
        <v>140.475</v>
      </c>
      <c r="T19" s="59">
        <f t="array" ref="T19">IF(MOD(ROW()-8,4)=0,"",IF(MOD(ROW()-8,4)=1,INDEX(E:E,7+INT((ROW()-8)/4)*2)-INDEX(E:E,6+INT((ROW()-8)/4)*2),IF(MOD(ROW()-8,4)=2,INDEX(E:E,7+INT((ROW()-8)/4)*2),INDEX(E:E,8+INT((ROW()-8)/4)*2))))</f>
        <v>105.55</v>
      </c>
      <c r="U19" s="14">
        <f>F19-1.5</f>
        <v>-107.05</v>
      </c>
      <c r="V19" s="14">
        <f>G19-IF(LEN(TEXT(T19,"0"))=1,1.25,IF(LEN(TEXT(T19,"0"))=2,1.525,2.025))</f>
        <v>150.475</v>
      </c>
    </row>
    <row r="20" spans="1:22" x14ac:dyDescent="0.25">
      <c r="A20" s="56"/>
      <c r="B20" s="13">
        <f t="array" ref="B20">-INDEX(A:A,ROUNDUP(ROW(A23)/2,0))</f>
        <v>-305.66</v>
      </c>
      <c r="C20" s="13">
        <v>142.5</v>
      </c>
      <c r="D20" s="55">
        <f t="shared" si="5"/>
      </c>
      <c r="E20" s="2"/>
      <c r="F20" s="13">
        <f t="array" ref="F20">-INDEX(E:E,ROUNDUP(ROW(E24)/2,0))</f>
        <v>-105.55</v>
      </c>
      <c r="G20" s="13">
        <v>162.5</v>
      </c>
      <c r="H20" s="19">
        <f t="shared" si="6"/>
        <v>8.50999999999999</v>
      </c>
      <c r="I20" s="56">
        <f>I4</f>
        <v>147.75</v>
      </c>
      <c r="J20" s="14">
        <f>-(I4+2.6)</f>
        <v>-150.35</v>
      </c>
      <c r="K20" s="14">
        <f>L20*2.5</f>
        <v>161.125</v>
      </c>
      <c r="L20" s="68">
        <f>65-IF(LEN(TEXT(I4,"0"))=1,0.25,IF(LEN(TEXT(I4,"0"))=2,0.35,0.55))</f>
        <v>64.45</v>
      </c>
      <c r="M20" s="2"/>
      <c r="N20" s="2"/>
      <c r="O20" s="2"/>
      <c r="P20" s="2"/>
      <c r="Q20" s="58">
        <f t="array" ref="Q20">IF(MOD(ROW()-8,4)=0,"",IF(MOD(ROW()-8,4)=1,INDEX(A:A,7+INT((ROW()-8)/4)*2)-INDEX(A:A,6+INT((ROW()-8)/4)*2),IF(MOD(ROW()-8,4)=2,INDEX(A:A,7+INT((ROW()-8)/4)*2),INDEX(A:A,8+INT((ROW()-8)/4)*2))))</f>
      </c>
      <c r="R20" s="14">
        <f>B21</f>
        <v>-305.66</v>
      </c>
      <c r="S20" s="14">
        <f>C21</f>
        <v>152.5</v>
      </c>
      <c r="T20" s="59">
        <f t="array" ref="T20">IF(MOD(ROW()-8,4)=0,"",IF(MOD(ROW()-8,4)=1,INDEX(E:E,7+INT((ROW()-8)/4)*2)-INDEX(E:E,6+INT((ROW()-8)/4)*2),IF(MOD(ROW()-8,4)=2,INDEX(E:E,7+INT((ROW()-8)/4)*2),INDEX(E:E,8+INT((ROW()-8)/4)*2))))</f>
      </c>
      <c r="U20" s="14">
        <f t="shared" ref="U18:U22" si="7">F20</f>
        <v>-105.55</v>
      </c>
      <c r="V20" s="14">
        <f>G20</f>
        <v>162.5</v>
      </c>
    </row>
    <row r="21" spans="1:22" x14ac:dyDescent="0.25">
      <c r="A21" s="2"/>
      <c r="B21" s="13">
        <f t="array" ref="B21">-INDEX(A:A,ROUNDUP(ROW(A24)/2,0))</f>
        <v>-305.66</v>
      </c>
      <c r="C21" s="13">
        <v>152.5</v>
      </c>
      <c r="D21" s="60"/>
      <c r="E21" s="2"/>
      <c r="F21" s="13">
        <f t="array" ref="F21">-INDEX(E:E,ROUNDUP(ROW(E25)/2,0))</f>
        <v>-107.58</v>
      </c>
      <c r="G21" s="13">
        <v>162.5</v>
      </c>
      <c r="H21" s="19"/>
      <c r="I21" s="69"/>
      <c r="M21" s="2"/>
      <c r="N21" s="2"/>
      <c r="O21" s="2"/>
      <c r="P21" s="2"/>
      <c r="Q21" s="58">
        <f t="array" ref="Q21">IF(MOD(ROW()-8,4)=0,"",IF(MOD(ROW()-8,4)=1,INDEX(A:A,7+INT((ROW()-8)/4)*2)-INDEX(A:A,6+INT((ROW()-8)/4)*2),IF(MOD(ROW()-8,4)=2,INDEX(A:A,7+INT((ROW()-8)/4)*2),INDEX(A:A,8+INT((ROW()-8)/4)*2))))</f>
        <v>183.71</v>
      </c>
      <c r="R21" s="14">
        <f>IF(R22&lt;R20,(R22+R20)/2-0.75,0)</f>
        <v>-398.265</v>
      </c>
      <c r="S21" s="14">
        <f>C22-IF(LEN(TEXT(Q21,"0"))=1,6.28,IF(LEN(TEXT(Q21,"0"))=2,6.55,7.05))</f>
        <v>145.45</v>
      </c>
      <c r="T21" s="59">
        <f t="array" ref="T21">IF(MOD(ROW()-8,4)=0,"",IF(MOD(ROW()-8,4)=1,INDEX(E:E,7+INT((ROW()-8)/4)*2)-INDEX(E:E,6+INT((ROW()-8)/4)*2),IF(MOD(ROW()-8,4)=2,INDEX(E:E,7+INT((ROW()-8)/4)*2),INDEX(E:E,8+INT((ROW()-8)/4)*2))))</f>
        <v>2.03</v>
      </c>
      <c r="U21" s="14">
        <f>IF(U22&lt;U20,(U22+U20)/2-0.75,0)</f>
        <v>-107.315</v>
      </c>
      <c r="V21" s="14">
        <f>G21-IF(LEN(TEXT(T21,"0"))=1,6.28,IF(LEN(TEXT(T21,"0"))=2,6.55,7.05))</f>
        <v>156.22</v>
      </c>
    </row>
    <row r="22" spans="1:22" x14ac:dyDescent="0.25">
      <c r="A22" s="56"/>
      <c r="B22" s="13">
        <f t="array" ref="B22">-INDEX(A:A,ROUNDUP(ROW(A25)/2,0))</f>
        <v>-489.37</v>
      </c>
      <c r="C22" s="13">
        <v>152.5</v>
      </c>
      <c r="D22" s="55">
        <f t="shared" si="5"/>
      </c>
      <c r="E22" s="2"/>
      <c r="F22" s="13">
        <f t="array" ref="F22">-INDEX(E:E,ROUNDUP(ROW(E26)/2,0))</f>
        <v>-107.58</v>
      </c>
      <c r="G22" s="13">
        <v>152.5</v>
      </c>
      <c r="H22" s="19">
        <f>IF(E23&lt;&gt;"",E23-E22,"")</f>
      </c>
      <c r="I22" s="70"/>
      <c r="M22" s="2"/>
      <c r="N22" s="2"/>
      <c r="O22" s="2"/>
      <c r="P22" s="2"/>
      <c r="Q22" s="58">
        <f t="array" ref="Q22">IF(MOD(ROW()-8,4)=0,"",IF(MOD(ROW()-8,4)=1,INDEX(A:A,7+INT((ROW()-8)/4)*2)-INDEX(A:A,6+INT((ROW()-8)/4)*2),IF(MOD(ROW()-8,4)=2,INDEX(A:A,7+INT((ROW()-8)/4)*2),INDEX(A:A,8+INT((ROW()-8)/4)*2))))</f>
        <v>489.37</v>
      </c>
      <c r="R22" s="14">
        <f>B23</f>
        <v>-489.37</v>
      </c>
      <c r="S22" s="14">
        <f>C23-IF(LEN(TEXT(Q22,"0"))=1,1.25,IF(LEN(TEXT(Q22,"0"))=2,1.525,2.025))</f>
        <v>140.475</v>
      </c>
      <c r="T22" s="59">
        <f t="array" ref="T22">IF(MOD(ROW()-8,4)=0,"",IF(MOD(ROW()-8,4)=1,INDEX(E:E,7+INT((ROW()-8)/4)*2)-INDEX(E:E,6+INT((ROW()-8)/4)*2),IF(MOD(ROW()-8,4)=2,INDEX(E:E,7+INT((ROW()-8)/4)*2),INDEX(E:E,8+INT((ROW()-8)/4)*2))))</f>
        <v>107.58</v>
      </c>
      <c r="U22" s="14">
        <f t="shared" si="7"/>
        <v>-107.58</v>
      </c>
      <c r="V22" s="14">
        <f>G22-IF(LEN(TEXT(T22,"0"))=1,1.25,IF(LEN(TEXT(T22,"0"))=2,1.525,2.025))</f>
        <v>150.475</v>
      </c>
    </row>
    <row r="23" spans="1:22" x14ac:dyDescent="0.25">
      <c r="A23" s="56"/>
      <c r="B23" s="13">
        <f t="array" ref="B23">-INDEX(A:A,ROUNDUP(ROW(A26)/2,0))</f>
        <v>-489.37</v>
      </c>
      <c r="C23" s="13">
        <v>142.5</v>
      </c>
      <c r="D23" s="60"/>
      <c r="E23" s="2"/>
      <c r="F23" s="13">
        <f t="array" ref="F23">-INDEX(E:E,ROUNDUP(ROW(E27)/2,0))</f>
        <v>-260.35</v>
      </c>
      <c r="G23" s="13">
        <v>152.5</v>
      </c>
      <c r="H23" s="19"/>
      <c r="M23" s="2"/>
      <c r="N23" s="2"/>
      <c r="O23" s="2"/>
      <c r="P23" s="2"/>
      <c r="Q23" s="58">
        <f t="array" ref="Q23">IF(MOD(ROW()-8,4)=0,"",IF(MOD(ROW()-8,4)=1,INDEX(A:A,7+INT((ROW()-8)/4)*2)-INDEX(A:A,6+INT((ROW()-8)/4)*2),IF(MOD(ROW()-8,4)=2,INDEX(A:A,7+INT((ROW()-8)/4)*2),INDEX(A:A,8+INT((ROW()-8)/4)*2))))</f>
        <v>625.8</v>
      </c>
      <c r="R23" s="14">
        <f>B24-1.5</f>
        <v>-627.3</v>
      </c>
      <c r="S23" s="14">
        <f>C24-IF(LEN(TEXT(Q23,"0"))=1,1.25,IF(LEN(TEXT(Q23,"0"))=2,1.525,2.025))</f>
        <v>140.475</v>
      </c>
      <c r="T23" s="59">
        <f t="array" ref="T23">IF(MOD(ROW()-8,4)=0,"",IF(MOD(ROW()-8,4)=1,INDEX(E:E,7+INT((ROW()-8)/4)*2)-INDEX(E:E,6+INT((ROW()-8)/4)*2),IF(MOD(ROW()-8,4)=2,INDEX(E:E,7+INT((ROW()-8)/4)*2),INDEX(E:E,8+INT((ROW()-8)/4)*2))))</f>
        <v>260.35</v>
      </c>
      <c r="U23" s="14">
        <f>F23-1.5</f>
        <v>-261.85</v>
      </c>
      <c r="V23" s="14">
        <f>G23-IF(LEN(TEXT(T23,"0"))=1,1.25,IF(LEN(TEXT(T23,"0"))=2,1.525,2.025))</f>
        <v>150.475</v>
      </c>
    </row>
    <row r="24" spans="1:22" x14ac:dyDescent="0.25">
      <c r="A24" s="2"/>
      <c r="B24" s="13">
        <f t="array" ref="B24">-INDEX(A:A,ROUNDUP(ROW(A27)/2,0))</f>
        <v>-625.8</v>
      </c>
      <c r="C24" s="13">
        <v>142.5</v>
      </c>
      <c r="D24" s="55">
        <f t="shared" ref="D24:D28" si="8">IF(A25&lt;&gt;"",A25-A24,"")</f>
      </c>
      <c r="E24" s="2"/>
      <c r="F24" s="13">
        <f t="array" ref="F24">-INDEX(E:E,ROUNDUP(ROW(E28)/2,0))</f>
        <v>-260.35</v>
      </c>
      <c r="G24" s="13">
        <v>162.5</v>
      </c>
      <c r="H24" s="19">
        <f>IF(E25&lt;&gt;"",E25-E24,"")</f>
      </c>
      <c r="I24" s="56"/>
      <c r="L24" s="2"/>
      <c r="M24" s="2"/>
      <c r="N24" s="2"/>
      <c r="O24" s="2"/>
      <c r="P24" s="2"/>
      <c r="Q24" s="58">
        <f t="array" ref="Q24">IF(MOD(ROW()-8,4)=0,"",IF(MOD(ROW()-8,4)=1,INDEX(A:A,7+INT((ROW()-8)/4)*2)-INDEX(A:A,6+INT((ROW()-8)/4)*2),IF(MOD(ROW()-8,4)=2,INDEX(A:A,7+INT((ROW()-8)/4)*2),INDEX(A:A,8+INT((ROW()-8)/4)*2))))</f>
      </c>
      <c r="R24" s="14">
        <f>B25</f>
        <v>-625.8</v>
      </c>
      <c r="S24" s="14">
        <f>C25</f>
        <v>152.5</v>
      </c>
      <c r="T24" s="59">
        <f t="array" ref="T24">IF(MOD(ROW()-8,4)=0,"",IF(MOD(ROW()-8,4)=1,INDEX(E:E,7+INT((ROW()-8)/4)*2)-INDEX(E:E,6+INT((ROW()-8)/4)*2),IF(MOD(ROW()-8,4)=2,INDEX(E:E,7+INT((ROW()-8)/4)*2),INDEX(E:E,8+INT((ROW()-8)/4)*2))))</f>
      </c>
      <c r="U24" s="14">
        <f t="shared" ref="U24:U28" si="9">F24</f>
        <v>-260.35</v>
      </c>
      <c r="V24" s="14">
        <f>G24</f>
        <v>162.5</v>
      </c>
    </row>
    <row r="25" spans="1:22" x14ac:dyDescent="0.25">
      <c r="A25" s="2"/>
      <c r="B25" s="13">
        <f t="array" ref="B25">-INDEX(A:A,ROUNDUP(ROW(A28)/2,0))</f>
        <v>-625.8</v>
      </c>
      <c r="C25" s="13">
        <v>152.5</v>
      </c>
      <c r="D25" s="60"/>
      <c r="E25" s="2"/>
      <c r="F25" s="13">
        <f t="array" ref="F25">-INDEX(E:E,ROUNDUP(ROW(E29)/2,0))</f>
        <v>-268.95</v>
      </c>
      <c r="G25" s="13">
        <v>162.5</v>
      </c>
      <c r="H25" s="19"/>
      <c r="L25" s="2"/>
      <c r="M25" s="2"/>
      <c r="N25" s="2"/>
      <c r="O25" s="2"/>
      <c r="P25" s="2"/>
      <c r="Q25" s="58">
        <f t="array" ref="Q25">IF(MOD(ROW()-8,4)=0,"",IF(MOD(ROW()-8,4)=1,INDEX(A:A,7+INT((ROW()-8)/4)*2)-INDEX(A:A,6+INT((ROW()-8)/4)*2),IF(MOD(ROW()-8,4)=2,INDEX(A:A,7+INT((ROW()-8)/4)*2),INDEX(A:A,8+INT((ROW()-8)/4)*2))))</f>
        <v>3.48000000000002</v>
      </c>
      <c r="R25" s="14">
        <f>IF(R26&lt;R24,(R26+R24)/2-0.75,0)</f>
        <v>-628.29</v>
      </c>
      <c r="S25" s="14">
        <f>C26-IF(LEN(TEXT(Q25,"0"))=1,6.28,IF(LEN(TEXT(Q25,"0"))=2,6.55,7.05))</f>
        <v>146.22</v>
      </c>
      <c r="T25" s="59">
        <f t="array" ref="T25">IF(MOD(ROW()-8,4)=0,"",IF(MOD(ROW()-8,4)=1,INDEX(E:E,7+INT((ROW()-8)/4)*2)-INDEX(E:E,6+INT((ROW()-8)/4)*2),IF(MOD(ROW()-8,4)=2,INDEX(E:E,7+INT((ROW()-8)/4)*2),INDEX(E:E,8+INT((ROW()-8)/4)*2))))</f>
        <v>8.59999999999997</v>
      </c>
      <c r="U25" s="14">
        <f>IF(U26&lt;U24,(U26+U24)/2-0.75,0)</f>
        <v>-265.4</v>
      </c>
      <c r="V25" s="14">
        <f>G25-IF(LEN(TEXT(T25,"0"))=1,6.28,IF(LEN(TEXT(T25,"0"))=2,6.55,7.05))</f>
        <v>156.22</v>
      </c>
    </row>
    <row r="26" spans="1:22" x14ac:dyDescent="0.25">
      <c r="A26" s="2"/>
      <c r="B26" s="13">
        <f t="array" ref="B26">-INDEX(A:A,ROUNDUP(ROW(A29)/2,0))</f>
        <v>-629.28</v>
      </c>
      <c r="C26" s="13">
        <v>152.5</v>
      </c>
      <c r="D26" s="55">
        <f t="shared" si="8"/>
      </c>
      <c r="E26" s="2"/>
      <c r="F26" s="13">
        <f t="array" ref="F26">-INDEX(E:E,ROUNDUP(ROW(E30)/2,0))</f>
        <v>-268.95</v>
      </c>
      <c r="G26" s="13">
        <v>152.5</v>
      </c>
      <c r="H26" s="19">
        <f>IF(E27&lt;&gt;"",E27-E26,"")</f>
      </c>
      <c r="L26" s="2"/>
      <c r="N26" s="2"/>
      <c r="O26" s="2"/>
      <c r="P26" s="2"/>
      <c r="Q26" s="58">
        <f t="array" ref="Q26">IF(MOD(ROW()-8,4)=0,"",IF(MOD(ROW()-8,4)=1,INDEX(A:A,7+INT((ROW()-8)/4)*2)-INDEX(A:A,6+INT((ROW()-8)/4)*2),IF(MOD(ROW()-8,4)=2,INDEX(A:A,7+INT((ROW()-8)/4)*2),INDEX(A:A,8+INT((ROW()-8)/4)*2))))</f>
        <v>629.28</v>
      </c>
      <c r="R26" s="14">
        <f>B27</f>
        <v>-629.28</v>
      </c>
      <c r="S26" s="14">
        <f>C27-IF(LEN(TEXT(Q26,"0"))=1,1.25,IF(LEN(TEXT(Q26,"0"))=2,1.525,2.025))</f>
        <v>140.475</v>
      </c>
      <c r="T26" s="59">
        <f t="array" ref="T26">IF(MOD(ROW()-8,4)=0,"",IF(MOD(ROW()-8,4)=1,INDEX(E:E,7+INT((ROW()-8)/4)*2)-INDEX(E:E,6+INT((ROW()-8)/4)*2),IF(MOD(ROW()-8,4)=2,INDEX(E:E,7+INT((ROW()-8)/4)*2),INDEX(E:E,8+INT((ROW()-8)/4)*2))))</f>
        <v>268.95</v>
      </c>
      <c r="U26" s="14">
        <f t="shared" si="9"/>
        <v>-268.95</v>
      </c>
      <c r="V26" s="14">
        <f>G26-IF(LEN(TEXT(T26,"0"))=1,1.25,IF(LEN(TEXT(T26,"0"))=2,1.525,2.025))</f>
        <v>150.475</v>
      </c>
    </row>
    <row r="27" spans="1:22" x14ac:dyDescent="0.25">
      <c r="A27" s="2"/>
      <c r="B27" s="13">
        <f t="array" ref="B27">-INDEX(A:A,ROUNDUP(ROW(A30)/2,0))</f>
        <v>-629.28</v>
      </c>
      <c r="C27" s="13">
        <v>142.5</v>
      </c>
      <c r="D27" s="60"/>
      <c r="E27" s="2"/>
      <c r="F27" s="13">
        <f t="array" ref="F27">-INDEX(E:E,ROUNDUP(ROW(E31)/2,0))</f>
        <v>-292.82</v>
      </c>
      <c r="G27" s="13">
        <v>152.5</v>
      </c>
      <c r="H27" s="19"/>
      <c r="L27" s="2"/>
      <c r="N27" s="2"/>
      <c r="O27" s="2"/>
      <c r="P27" s="2"/>
      <c r="Q27" s="58">
        <f t="array" ref="Q27">IF(MOD(ROW()-8,4)=0,"",IF(MOD(ROW()-8,4)=1,INDEX(A:A,7+INT((ROW()-8)/4)*2)-INDEX(A:A,6+INT((ROW()-8)/4)*2),IF(MOD(ROW()-8,4)=2,INDEX(A:A,7+INT((ROW()-8)/4)*2),INDEX(A:A,8+INT((ROW()-8)/4)*2))))</f>
        <v>635.71</v>
      </c>
      <c r="R27" s="14">
        <f>B28-1.5</f>
        <v>-637.21</v>
      </c>
      <c r="S27" s="14">
        <f>C28-IF(LEN(TEXT(Q27,"0"))=1,1.25,IF(LEN(TEXT(Q27,"0"))=2,1.525,2.025))</f>
        <v>140.475</v>
      </c>
      <c r="T27" s="59">
        <f t="array" ref="T27">IF(MOD(ROW()-8,4)=0,"",IF(MOD(ROW()-8,4)=1,INDEX(E:E,7+INT((ROW()-8)/4)*2)-INDEX(E:E,6+INT((ROW()-8)/4)*2),IF(MOD(ROW()-8,4)=2,INDEX(E:E,7+INT((ROW()-8)/4)*2),INDEX(E:E,8+INT((ROW()-8)/4)*2))))</f>
        <v>292.82</v>
      </c>
      <c r="U27" s="14">
        <f>F27-1.5</f>
        <v>-294.32</v>
      </c>
      <c r="V27" s="14">
        <f>G27-IF(LEN(TEXT(T27,"0"))=1,1.25,IF(LEN(TEXT(T27,"0"))=2,1.525,2.025))</f>
        <v>150.475</v>
      </c>
    </row>
    <row r="28" spans="1:22" x14ac:dyDescent="0.25">
      <c r="A28" s="2"/>
      <c r="B28" s="13">
        <f t="array" ref="B28">-INDEX(A:A,ROUNDUP(ROW(A31)/2,0))</f>
        <v>-635.71</v>
      </c>
      <c r="C28" s="13">
        <v>142.5</v>
      </c>
      <c r="D28" s="55">
        <f t="shared" si="8"/>
      </c>
      <c r="E28" s="2"/>
      <c r="F28" s="13">
        <f t="array" ref="F28">-INDEX(E:E,ROUNDUP(ROW(E32)/2,0))</f>
        <v>-292.82</v>
      </c>
      <c r="G28" s="13">
        <v>162.5</v>
      </c>
      <c r="H28" s="19">
        <f>IF(E29&lt;&gt;"",E29-E28,"")</f>
      </c>
      <c r="L28" s="2"/>
      <c r="N28" s="2"/>
      <c r="O28" s="2"/>
      <c r="P28" s="2"/>
      <c r="Q28" s="58">
        <f t="array" ref="Q28">IF(MOD(ROW()-8,4)=0,"",IF(MOD(ROW()-8,4)=1,INDEX(A:A,7+INT((ROW()-8)/4)*2)-INDEX(A:A,6+INT((ROW()-8)/4)*2),IF(MOD(ROW()-8,4)=2,INDEX(A:A,7+INT((ROW()-8)/4)*2),INDEX(A:A,8+INT((ROW()-8)/4)*2))))</f>
      </c>
      <c r="R28" s="14">
        <f>B29</f>
        <v>-635.71</v>
      </c>
      <c r="S28" s="14">
        <f>C29</f>
        <v>152.5</v>
      </c>
      <c r="T28" s="59">
        <f t="array" ref="T28">IF(MOD(ROW()-8,4)=0,"",IF(MOD(ROW()-8,4)=1,INDEX(E:E,7+INT((ROW()-8)/4)*2)-INDEX(E:E,6+INT((ROW()-8)/4)*2),IF(MOD(ROW()-8,4)=2,INDEX(E:E,7+INT((ROW()-8)/4)*2),INDEX(E:E,8+INT((ROW()-8)/4)*2))))</f>
      </c>
      <c r="U28" s="14">
        <f t="shared" si="9"/>
        <v>-292.82</v>
      </c>
      <c r="V28" s="14">
        <f>G28</f>
        <v>162.5</v>
      </c>
    </row>
    <row r="29" spans="1:22" x14ac:dyDescent="0.25">
      <c r="A29" s="2"/>
      <c r="B29" s="13">
        <f t="array" ref="B29">-INDEX(A:A,ROUNDUP(ROW(A32)/2,0))</f>
        <v>-635.71</v>
      </c>
      <c r="C29" s="13">
        <v>152.5</v>
      </c>
      <c r="D29" s="60"/>
      <c r="E29" s="2"/>
      <c r="F29" s="13">
        <f t="array" ref="F29">-INDEX(E:E,ROUNDUP(ROW(E33)/2,0))</f>
        <v>-295.55</v>
      </c>
      <c r="G29" s="13">
        <v>162.5</v>
      </c>
      <c r="H29" s="19"/>
      <c r="L29" s="2"/>
      <c r="N29" s="2"/>
      <c r="O29" s="2"/>
      <c r="P29" s="2"/>
      <c r="Q29" s="58">
        <f t="array" ref="Q29">IF(MOD(ROW()-8,4)=0,"",IF(MOD(ROW()-8,4)=1,INDEX(A:A,7+INT((ROW()-8)/4)*2)-INDEX(A:A,6+INT((ROW()-8)/4)*2),IF(MOD(ROW()-8,4)=2,INDEX(A:A,7+INT((ROW()-8)/4)*2),INDEX(A:A,8+INT((ROW()-8)/4)*2))))</f>
        <v>21.0899999999999</v>
      </c>
      <c r="R29" s="14">
        <f>IF(R30&lt;R28,(R30+R28)/2-0.75,0)</f>
        <v>-647.005</v>
      </c>
      <c r="S29" s="14">
        <f>C30-IF(LEN(TEXT(Q29,"0"))=1,6.28,IF(LEN(TEXT(Q29,"0"))=2,6.55,7.05))</f>
        <v>145.95</v>
      </c>
      <c r="T29" s="59">
        <f t="array" ref="T29">IF(MOD(ROW()-8,4)=0,"",IF(MOD(ROW()-8,4)=1,INDEX(E:E,7+INT((ROW()-8)/4)*2)-INDEX(E:E,6+INT((ROW()-8)/4)*2),IF(MOD(ROW()-8,4)=2,INDEX(E:E,7+INT((ROW()-8)/4)*2),INDEX(E:E,8+INT((ROW()-8)/4)*2))))</f>
        <v>2.73000000000002</v>
      </c>
      <c r="U29" s="14">
        <f>IF(U30&lt;U28,(U30+U28)/2-0.75,0)</f>
        <v>-294.935</v>
      </c>
      <c r="V29" s="14">
        <f>G29-IF(LEN(TEXT(T29,"0"))=1,6.28,IF(LEN(TEXT(T29,"0"))=2,6.55,7.05))</f>
        <v>156.22</v>
      </c>
    </row>
    <row r="30" spans="1:22" x14ac:dyDescent="0.25">
      <c r="A30" s="2"/>
      <c r="B30" s="13">
        <f t="array" ref="B30">-INDEX(A:A,ROUNDUP(ROW(A33)/2,0))</f>
        <v>-656.8</v>
      </c>
      <c r="C30" s="13">
        <v>152.5</v>
      </c>
      <c r="D30" s="55">
        <f t="shared" ref="D30:D34" si="10">IF(A31&lt;&gt;"",A31-A30,"")</f>
      </c>
      <c r="E30" s="2"/>
      <c r="F30" s="13">
        <f t="array" ref="F30">-INDEX(E:E,ROUNDUP(ROW(E34)/2,0))</f>
        <v>-295.55</v>
      </c>
      <c r="G30" s="13">
        <v>152.5</v>
      </c>
      <c r="H30" s="19">
        <f>IF(E31&lt;&gt;"",E31-E30,"")</f>
      </c>
      <c r="L30" s="2"/>
      <c r="N30" s="2"/>
      <c r="O30" s="2"/>
      <c r="P30" s="2"/>
      <c r="Q30" s="58">
        <f t="array" ref="Q30">IF(MOD(ROW()-8,4)=0,"",IF(MOD(ROW()-8,4)=1,INDEX(A:A,7+INT((ROW()-8)/4)*2)-INDEX(A:A,6+INT((ROW()-8)/4)*2),IF(MOD(ROW()-8,4)=2,INDEX(A:A,7+INT((ROW()-8)/4)*2),INDEX(A:A,8+INT((ROW()-8)/4)*2))))</f>
        <v>656.8</v>
      </c>
      <c r="R30" s="14">
        <f>B31</f>
        <v>-656.8</v>
      </c>
      <c r="S30" s="14">
        <f>C31-IF(LEN(TEXT(Q30,"0"))=1,1.25,IF(LEN(TEXT(Q30,"0"))=2,1.525,2.025))</f>
        <v>140.475</v>
      </c>
      <c r="T30" s="59">
        <f t="array" ref="T30">IF(MOD(ROW()-8,4)=0,"",IF(MOD(ROW()-8,4)=1,INDEX(E:E,7+INT((ROW()-8)/4)*2)-INDEX(E:E,6+INT((ROW()-8)/4)*2),IF(MOD(ROW()-8,4)=2,INDEX(E:E,7+INT((ROW()-8)/4)*2),INDEX(E:E,8+INT((ROW()-8)/4)*2))))</f>
        <v>295.55</v>
      </c>
      <c r="U30" s="14">
        <f t="shared" ref="U30:U34" si="11">F30</f>
        <v>-295.55</v>
      </c>
      <c r="V30" s="14">
        <f>G30-IF(LEN(TEXT(T30,"0"))=1,1.25,IF(LEN(TEXT(T30,"0"))=2,1.525,2.025))</f>
        <v>150.475</v>
      </c>
    </row>
    <row r="31" spans="1:22" x14ac:dyDescent="0.25">
      <c r="A31" s="2"/>
      <c r="B31" s="13">
        <f t="array" ref="B31">-INDEX(A:A,ROUNDUP(ROW(A34)/2,0))</f>
        <v>-656.8</v>
      </c>
      <c r="C31" s="13">
        <v>142.5</v>
      </c>
      <c r="D31" s="60"/>
      <c r="E31" s="2"/>
      <c r="F31" s="13">
        <f t="array" ref="F31">-INDEX(E:E,ROUNDUP(ROW(E35)/2,0))</f>
        <v>-347</v>
      </c>
      <c r="G31" s="13">
        <v>152.5</v>
      </c>
      <c r="H31" s="19"/>
      <c r="L31" s="2"/>
      <c r="N31" s="2"/>
      <c r="O31" s="2"/>
      <c r="P31" s="2"/>
      <c r="Q31" s="58">
        <f t="array" ref="Q31">IF(MOD(ROW()-8,4)=0,"",IF(MOD(ROW()-8,4)=1,INDEX(A:A,7+INT((ROW()-8)/4)*2)-INDEX(A:A,6+INT((ROW()-8)/4)*2),IF(MOD(ROW()-8,4)=2,INDEX(A:A,7+INT((ROW()-8)/4)*2),INDEX(A:A,8+INT((ROW()-8)/4)*2))))</f>
        <v>680.45</v>
      </c>
      <c r="R31" s="14">
        <f>B32-1.5</f>
        <v>-681.95</v>
      </c>
      <c r="S31" s="14">
        <f>C32-IF(LEN(TEXT(Q31,"0"))=1,1.25,IF(LEN(TEXT(Q31,"0"))=2,1.525,2.025))</f>
        <v>140.475</v>
      </c>
      <c r="T31" s="59">
        <f t="array" ref="T31">IF(MOD(ROW()-8,4)=0,"",IF(MOD(ROW()-8,4)=1,INDEX(E:E,7+INT((ROW()-8)/4)*2)-INDEX(E:E,6+INT((ROW()-8)/4)*2),IF(MOD(ROW()-8,4)=2,INDEX(E:E,7+INT((ROW()-8)/4)*2),INDEX(E:E,8+INT((ROW()-8)/4)*2))))</f>
        <v>347</v>
      </c>
      <c r="U31" s="14">
        <f>F31-1.5</f>
        <v>-348.5</v>
      </c>
      <c r="V31" s="14">
        <f>G31-IF(LEN(TEXT(T31,"0"))=1,1.25,IF(LEN(TEXT(T31,"0"))=2,1.525,2.025))</f>
        <v>150.475</v>
      </c>
    </row>
    <row r="32" spans="1:22" x14ac:dyDescent="0.25">
      <c r="A32" s="2"/>
      <c r="B32" s="13">
        <f t="array" ref="B32">-INDEX(A:A,ROUNDUP(ROW(A35)/2,0))</f>
        <v>-680.45</v>
      </c>
      <c r="C32" s="13">
        <v>142.5</v>
      </c>
      <c r="D32" s="55">
        <f t="shared" si="10"/>
      </c>
      <c r="E32" s="2"/>
      <c r="F32" s="13">
        <f t="array" ref="F32">-INDEX(E:E,ROUNDUP(ROW(E36)/2,0))</f>
        <v>-347</v>
      </c>
      <c r="G32" s="13">
        <v>162.5</v>
      </c>
      <c r="H32" s="19">
        <f>IF(E33&lt;&gt;"",E33-E32,"")</f>
      </c>
      <c r="L32" s="2"/>
      <c r="N32" s="2"/>
      <c r="O32" s="2"/>
      <c r="P32" s="2"/>
      <c r="Q32" s="58">
        <f t="array" ref="Q32">IF(MOD(ROW()-8,4)=0,"",IF(MOD(ROW()-8,4)=1,INDEX(A:A,7+INT((ROW()-8)/4)*2)-INDEX(A:A,6+INT((ROW()-8)/4)*2),IF(MOD(ROW()-8,4)=2,INDEX(A:A,7+INT((ROW()-8)/4)*2),INDEX(A:A,8+INT((ROW()-8)/4)*2))))</f>
      </c>
      <c r="R32" s="14">
        <f>B33</f>
        <v>-680.45</v>
      </c>
      <c r="S32" s="14">
        <f>C33</f>
        <v>152.5</v>
      </c>
      <c r="T32" s="59">
        <f t="array" ref="T32">IF(MOD(ROW()-8,4)=0,"",IF(MOD(ROW()-8,4)=1,INDEX(E:E,7+INT((ROW()-8)/4)*2)-INDEX(E:E,6+INT((ROW()-8)/4)*2),IF(MOD(ROW()-8,4)=2,INDEX(E:E,7+INT((ROW()-8)/4)*2),INDEX(E:E,8+INT((ROW()-8)/4)*2))))</f>
      </c>
      <c r="U32" s="14">
        <f t="shared" si="11"/>
        <v>-347</v>
      </c>
      <c r="V32" s="14">
        <f>G32</f>
        <v>162.5</v>
      </c>
    </row>
    <row r="33" spans="1:22" x14ac:dyDescent="0.25">
      <c r="A33" s="2"/>
      <c r="B33" s="13">
        <f t="array" ref="B33">-INDEX(A:A,ROUNDUP(ROW(A36)/2,0))</f>
        <v>-680.45</v>
      </c>
      <c r="C33" s="13">
        <v>152.5</v>
      </c>
      <c r="D33" s="60"/>
      <c r="E33" s="2"/>
      <c r="F33" s="13">
        <f t="array" ref="F33">-INDEX(E:E,ROUNDUP(ROW(E37)/2,0))</f>
        <v>-348.15</v>
      </c>
      <c r="G33" s="13">
        <v>162.5</v>
      </c>
      <c r="H33" s="19"/>
      <c r="L33" s="2"/>
      <c r="N33" s="2"/>
      <c r="O33" s="2"/>
      <c r="P33" s="2"/>
      <c r="Q33" s="58">
        <f t="array" ref="Q33">IF(MOD(ROW()-8,4)=0,"",IF(MOD(ROW()-8,4)=1,INDEX(A:A,7+INT((ROW()-8)/4)*2)-INDEX(A:A,6+INT((ROW()-8)/4)*2),IF(MOD(ROW()-8,4)=2,INDEX(A:A,7+INT((ROW()-8)/4)*2),INDEX(A:A,8+INT((ROW()-8)/4)*2))))</f>
        <v>15.8</v>
      </c>
      <c r="R33" s="14">
        <f>IF(R34&lt;R32,(R34+R32)/2-0.75,0)</f>
        <v>-689.1</v>
      </c>
      <c r="S33" s="14">
        <f>C34-IF(LEN(TEXT(Q33,"0"))=1,6.28,IF(LEN(TEXT(Q33,"0"))=2,6.55,7.05))</f>
        <v>145.95</v>
      </c>
      <c r="T33" s="59">
        <f t="array" ref="T33">IF(MOD(ROW()-8,4)=0,"",IF(MOD(ROW()-8,4)=1,INDEX(E:E,7+INT((ROW()-8)/4)*2)-INDEX(E:E,6+INT((ROW()-8)/4)*2),IF(MOD(ROW()-8,4)=2,INDEX(E:E,7+INT((ROW()-8)/4)*2),INDEX(E:E,8+INT((ROW()-8)/4)*2))))</f>
        <v>1.14999999999998</v>
      </c>
      <c r="U33" s="14">
        <f>IF(U34&lt;U32,(U34+U32)/2-0.75,0)</f>
        <v>-348.325</v>
      </c>
      <c r="V33" s="14">
        <f>G33-IF(LEN(TEXT(T33,"0"))=1,6.28,IF(LEN(TEXT(T33,"0"))=2,6.55,7.05))</f>
        <v>156.22</v>
      </c>
    </row>
    <row r="34" spans="1:22" x14ac:dyDescent="0.25">
      <c r="A34" s="2"/>
      <c r="B34" s="13">
        <f t="array" ref="B34">-INDEX(A:A,ROUNDUP(ROW(A37)/2,0))</f>
        <v>-696.25</v>
      </c>
      <c r="C34" s="13">
        <v>152.5</v>
      </c>
      <c r="D34" s="55">
        <f t="shared" si="10"/>
      </c>
      <c r="E34" s="2"/>
      <c r="F34" s="13">
        <f t="array" ref="F34">-INDEX(E:E,ROUNDUP(ROW(E38)/2,0))</f>
        <v>-348.15</v>
      </c>
      <c r="G34" s="13">
        <v>152.5</v>
      </c>
      <c r="H34" s="19">
        <f>IF(E35&lt;&gt;"",E35-E34,"")</f>
      </c>
      <c r="L34" s="2"/>
      <c r="N34" s="2"/>
      <c r="O34" s="2"/>
      <c r="P34" s="2"/>
      <c r="Q34" s="58">
        <f t="array" ref="Q34">IF(MOD(ROW()-8,4)=0,"",IF(MOD(ROW()-8,4)=1,INDEX(A:A,7+INT((ROW()-8)/4)*2)-INDEX(A:A,6+INT((ROW()-8)/4)*2),IF(MOD(ROW()-8,4)=2,INDEX(A:A,7+INT((ROW()-8)/4)*2),INDEX(A:A,8+INT((ROW()-8)/4)*2))))</f>
        <v>696.25</v>
      </c>
      <c r="R34" s="14">
        <f>B35</f>
        <v>-696.25</v>
      </c>
      <c r="S34" s="14">
        <f>C35-IF(LEN(TEXT(Q34,"0"))=1,1.25,IF(LEN(TEXT(Q34,"0"))=2,1.525,2.025))</f>
        <v>140.475</v>
      </c>
      <c r="T34" s="59">
        <f t="array" ref="T34">IF(MOD(ROW()-8,4)=0,"",IF(MOD(ROW()-8,4)=1,INDEX(E:E,7+INT((ROW()-8)/4)*2)-INDEX(E:E,6+INT((ROW()-8)/4)*2),IF(MOD(ROW()-8,4)=2,INDEX(E:E,7+INT((ROW()-8)/4)*2),INDEX(E:E,8+INT((ROW()-8)/4)*2))))</f>
        <v>348.15</v>
      </c>
      <c r="U34" s="14">
        <f t="shared" si="11"/>
        <v>-348.15</v>
      </c>
      <c r="V34" s="14">
        <f>G34-IF(LEN(TEXT(T34,"0"))=1,1.25,IF(LEN(TEXT(T34,"0"))=2,1.525,2.025))</f>
        <v>150.475</v>
      </c>
    </row>
    <row r="35" spans="1:22" x14ac:dyDescent="0.25">
      <c r="A35" s="2"/>
      <c r="B35" s="13">
        <f t="array" ref="B35">-INDEX(A:A,ROUNDUP(ROW(A38)/2,0))</f>
        <v>-696.25</v>
      </c>
      <c r="C35" s="13">
        <v>142.5</v>
      </c>
      <c r="D35" s="60"/>
      <c r="E35" s="2"/>
      <c r="F35" s="13">
        <f t="array" ref="F35">-INDEX(E:E,ROUNDUP(ROW(E39)/2,0))</f>
        <v>-362.82</v>
      </c>
      <c r="G35" s="13">
        <v>152.5</v>
      </c>
      <c r="H35" s="19"/>
      <c r="L35" s="2"/>
      <c r="N35" s="2"/>
      <c r="O35" s="2"/>
      <c r="P35" s="2"/>
      <c r="Q35" s="58">
        <f t="array" ref="Q35">IF(MOD(ROW()-8,4)=0,"",IF(MOD(ROW()-8,4)=1,INDEX(A:A,7+INT((ROW()-8)/4)*2)-INDEX(A:A,6+INT((ROW()-8)/4)*2),IF(MOD(ROW()-8,4)=2,INDEX(A:A,7+INT((ROW()-8)/4)*2),INDEX(A:A,8+INT((ROW()-8)/4)*2))))</f>
        <v>0</v>
      </c>
      <c r="R35" s="14">
        <f>B36-1.5</f>
        <v>-1.5</v>
      </c>
      <c r="S35" s="14">
        <f>C36-IF(LEN(TEXT(Q35,"0"))=1,1.25,IF(LEN(TEXT(Q35,"0"))=2,1.525,2.025))</f>
        <v>141.25</v>
      </c>
      <c r="T35" s="59">
        <f t="array" ref="T35">IF(MOD(ROW()-8,4)=0,"",IF(MOD(ROW()-8,4)=1,INDEX(E:E,7+INT((ROW()-8)/4)*2)-INDEX(E:E,6+INT((ROW()-8)/4)*2),IF(MOD(ROW()-8,4)=2,INDEX(E:E,7+INT((ROW()-8)/4)*2),INDEX(E:E,8+INT((ROW()-8)/4)*2))))</f>
        <v>362.82</v>
      </c>
      <c r="U35" s="14">
        <f>F35-1.5</f>
        <v>-364.32</v>
      </c>
      <c r="V35" s="14">
        <f>G35-IF(LEN(TEXT(T35,"0"))=1,1.25,IF(LEN(TEXT(T35,"0"))=2,1.525,2.025))</f>
        <v>150.475</v>
      </c>
    </row>
    <row r="36" spans="1:22" x14ac:dyDescent="0.25">
      <c r="A36" s="2"/>
      <c r="B36" s="13">
        <f t="array" ref="B36">-INDEX(A:A,ROUNDUP(ROW(A39)/2,0))</f>
        <v>0</v>
      </c>
      <c r="C36" s="13">
        <v>142.5</v>
      </c>
      <c r="D36" s="55">
        <f t="shared" ref="D36:D40" si="12">IF(A37&lt;&gt;"",A37-A36,"")</f>
      </c>
      <c r="E36" s="2"/>
      <c r="F36" s="13">
        <f t="array" ref="F36">-INDEX(E:E,ROUNDUP(ROW(E40)/2,0))</f>
        <v>-362.82</v>
      </c>
      <c r="G36" s="13">
        <v>162.5</v>
      </c>
      <c r="H36" s="19">
        <f>IF(E37&lt;&gt;"",E37-E36,"")</f>
      </c>
      <c r="L36" s="2"/>
      <c r="N36" s="2"/>
      <c r="O36" s="2"/>
      <c r="P36" s="2"/>
      <c r="Q36" s="58">
        <f t="array" ref="Q36">IF(MOD(ROW()-8,4)=0,"",IF(MOD(ROW()-8,4)=1,INDEX(A:A,7+INT((ROW()-8)/4)*2)-INDEX(A:A,6+INT((ROW()-8)/4)*2),IF(MOD(ROW()-8,4)=2,INDEX(A:A,7+INT((ROW()-8)/4)*2),INDEX(A:A,8+INT((ROW()-8)/4)*2))))</f>
      </c>
      <c r="R36" s="14">
        <f>B37</f>
        <v>0</v>
      </c>
      <c r="S36" s="14">
        <f>C37</f>
        <v>152.5</v>
      </c>
      <c r="T36" s="59">
        <f t="array" ref="T36">IF(MOD(ROW()-8,4)=0,"",IF(MOD(ROW()-8,4)=1,INDEX(E:E,7+INT((ROW()-8)/4)*2)-INDEX(E:E,6+INT((ROW()-8)/4)*2),IF(MOD(ROW()-8,4)=2,INDEX(E:E,7+INT((ROW()-8)/4)*2),INDEX(E:E,8+INT((ROW()-8)/4)*2))))</f>
      </c>
      <c r="U36" s="14">
        <f t="shared" ref="U36:U40" si="13">F36</f>
        <v>-362.82</v>
      </c>
      <c r="V36" s="14">
        <f>G36</f>
        <v>162.5</v>
      </c>
    </row>
    <row r="37" spans="1:22" x14ac:dyDescent="0.25">
      <c r="A37" s="2"/>
      <c r="B37" s="13">
        <f t="array" ref="B37">-INDEX(A:A,ROUNDUP(ROW(A40)/2,0))</f>
        <v>0</v>
      </c>
      <c r="C37" s="13">
        <v>152.5</v>
      </c>
      <c r="D37" s="60"/>
      <c r="E37" s="2"/>
      <c r="F37" s="13">
        <f t="array" ref="F37">-INDEX(E:E,ROUNDUP(ROW(E41)/2,0))</f>
        <v>-371.33</v>
      </c>
      <c r="G37" s="13">
        <v>162.5</v>
      </c>
      <c r="H37" s="19"/>
      <c r="L37" s="2"/>
      <c r="N37" s="2"/>
      <c r="O37" s="2"/>
      <c r="P37" s="2"/>
      <c r="Q37" s="58">
        <f t="array" ref="Q37">IF(MOD(ROW()-8,4)=0,"",IF(MOD(ROW()-8,4)=1,INDEX(A:A,7+INT((ROW()-8)/4)*2)-INDEX(A:A,6+INT((ROW()-8)/4)*2),IF(MOD(ROW()-8,4)=2,INDEX(A:A,7+INT((ROW()-8)/4)*2),INDEX(A:A,8+INT((ROW()-8)/4)*2))))</f>
        <v>0</v>
      </c>
      <c r="R37" s="14">
        <f>IF(R38&lt;R36,(R38+R36)/2-0.75,0)</f>
        <v>0</v>
      </c>
      <c r="S37" s="14">
        <f>C38-IF(LEN(TEXT(Q37,"0"))=1,6.28,IF(LEN(TEXT(Q37,"0"))=2,6.55,7.05))</f>
        <v>146.22</v>
      </c>
      <c r="T37" s="59">
        <f t="array" ref="T37">IF(MOD(ROW()-8,4)=0,"",IF(MOD(ROW()-8,4)=1,INDEX(E:E,7+INT((ROW()-8)/4)*2)-INDEX(E:E,6+INT((ROW()-8)/4)*2),IF(MOD(ROW()-8,4)=2,INDEX(E:E,7+INT((ROW()-8)/4)*2),INDEX(E:E,8+INT((ROW()-8)/4)*2))))</f>
        <v>8.50999999999999</v>
      </c>
      <c r="U37" s="14">
        <f>IF(U38&lt;U36,(U38+U36)/2-0.75,0)</f>
        <v>-367.825</v>
      </c>
      <c r="V37" s="14">
        <f>G37-IF(LEN(TEXT(T37,"0"))=1,6.28,IF(LEN(TEXT(T37,"0"))=2,6.55,7.05))</f>
        <v>156.22</v>
      </c>
    </row>
    <row r="38" spans="1:22" x14ac:dyDescent="0.25">
      <c r="A38" s="2"/>
      <c r="B38" s="13">
        <f t="array" ref="B38">-INDEX(A:A,ROUNDUP(ROW(A41)/2,0))</f>
        <v>0</v>
      </c>
      <c r="C38" s="13">
        <v>152.5</v>
      </c>
      <c r="D38" s="55">
        <f t="shared" si="12"/>
      </c>
      <c r="E38" s="2"/>
      <c r="F38" s="13">
        <f t="array" ref="F38">-INDEX(E:E,ROUNDUP(ROW(E42)/2,0))</f>
        <v>-371.33</v>
      </c>
      <c r="G38" s="13">
        <v>152.5</v>
      </c>
      <c r="H38" s="19">
        <f>IF(E39&lt;&gt;"",E39-E38,"")</f>
      </c>
      <c r="L38" s="2"/>
      <c r="N38" s="2"/>
      <c r="O38" s="2"/>
      <c r="P38" s="2"/>
      <c r="Q38" s="58">
        <f t="array" ref="Q38">IF(MOD(ROW()-8,4)=0,"",IF(MOD(ROW()-8,4)=1,INDEX(A:A,7+INT((ROW()-8)/4)*2)-INDEX(A:A,6+INT((ROW()-8)/4)*2),IF(MOD(ROW()-8,4)=2,INDEX(A:A,7+INT((ROW()-8)/4)*2),INDEX(A:A,8+INT((ROW()-8)/4)*2))))</f>
        <v>0</v>
      </c>
      <c r="R38" s="14">
        <f>B39</f>
        <v>0</v>
      </c>
      <c r="S38" s="14">
        <f>C39-IF(LEN(TEXT(Q38,"0"))=1,1.25,IF(LEN(TEXT(Q38,"0"))=2,1.525,2.025))</f>
        <v>141.25</v>
      </c>
      <c r="T38" s="59">
        <f t="array" ref="T38">IF(MOD(ROW()-8,4)=0,"",IF(MOD(ROW()-8,4)=1,INDEX(E:E,7+INT((ROW()-8)/4)*2)-INDEX(E:E,6+INT((ROW()-8)/4)*2),IF(MOD(ROW()-8,4)=2,INDEX(E:E,7+INT((ROW()-8)/4)*2),INDEX(E:E,8+INT((ROW()-8)/4)*2))))</f>
        <v>371.33</v>
      </c>
      <c r="U38" s="14">
        <f t="shared" si="13"/>
        <v>-371.33</v>
      </c>
      <c r="V38" s="14">
        <f>G38-IF(LEN(TEXT(T38,"0"))=1,1.25,IF(LEN(TEXT(T38,"0"))=2,1.525,2.025))</f>
        <v>150.475</v>
      </c>
    </row>
    <row r="39" spans="1:22" x14ac:dyDescent="0.25">
      <c r="A39" s="2"/>
      <c r="B39" s="13">
        <f t="array" ref="B39">-INDEX(A:A,ROUNDUP(ROW(A42)/2,0))</f>
        <v>0</v>
      </c>
      <c r="C39" s="13">
        <v>142.5</v>
      </c>
      <c r="D39" s="60"/>
      <c r="E39" s="2"/>
      <c r="F39" s="13">
        <f t="array" ref="F39">-INDEX(E:E,ROUNDUP(ROW(E43)/2,0))</f>
        <v>0</v>
      </c>
      <c r="G39" s="13">
        <v>152.5</v>
      </c>
      <c r="H39" s="19"/>
      <c r="L39" s="2"/>
      <c r="N39" s="2"/>
      <c r="O39" s="2"/>
      <c r="P39" s="2"/>
      <c r="Q39" s="58">
        <f t="array" ref="Q39">IF(MOD(ROW()-8,4)=0,"",IF(MOD(ROW()-8,4)=1,INDEX(A:A,7+INT((ROW()-8)/4)*2)-INDEX(A:A,6+INT((ROW()-8)/4)*2),IF(MOD(ROW()-8,4)=2,INDEX(A:A,7+INT((ROW()-8)/4)*2),INDEX(A:A,8+INT((ROW()-8)/4)*2))))</f>
        <v>0</v>
      </c>
      <c r="R39" s="14">
        <f>B40-1.5</f>
        <v>-1.5</v>
      </c>
      <c r="S39" s="14">
        <f>C40-IF(LEN(TEXT(Q39,"0"))=1,1.25,IF(LEN(TEXT(Q39,"0"))=2,1.525,2.025))</f>
        <v>141.25</v>
      </c>
      <c r="T39" s="59">
        <f t="array" ref="T39">IF(MOD(ROW()-8,4)=0,"",IF(MOD(ROW()-8,4)=1,INDEX(E:E,7+INT((ROW()-8)/4)*2)-INDEX(E:E,6+INT((ROW()-8)/4)*2),IF(MOD(ROW()-8,4)=2,INDEX(E:E,7+INT((ROW()-8)/4)*2),INDEX(E:E,8+INT((ROW()-8)/4)*2))))</f>
        <v>0</v>
      </c>
      <c r="U39" s="14">
        <f>F39-1.5</f>
        <v>-1.5</v>
      </c>
      <c r="V39" s="14">
        <f>G39-IF(LEN(TEXT(T39,"0"))=1,1.25,IF(LEN(TEXT(T39,"0"))=2,1.525,2.025))</f>
        <v>151.25</v>
      </c>
    </row>
    <row r="40" spans="1:22" x14ac:dyDescent="0.25">
      <c r="A40" s="2"/>
      <c r="B40" s="13">
        <f t="array" ref="B40">-INDEX(A:A,ROUNDUP(ROW(A43)/2,0))</f>
        <v>0</v>
      </c>
      <c r="C40" s="13">
        <v>142.5</v>
      </c>
      <c r="D40" s="55">
        <f t="shared" si="12"/>
      </c>
      <c r="E40" s="2"/>
      <c r="F40" s="13">
        <f t="array" ref="F40">-INDEX(E:E,ROUNDUP(ROW(E44)/2,0))</f>
        <v>0</v>
      </c>
      <c r="G40" s="13">
        <v>162.5</v>
      </c>
      <c r="H40" s="19">
        <f>IF(E41&lt;&gt;"",E41-E40,"")</f>
      </c>
      <c r="L40" s="2"/>
      <c r="N40" s="2"/>
      <c r="O40" s="2"/>
      <c r="P40" s="2"/>
      <c r="Q40" s="58">
        <f t="array" ref="Q40">IF(MOD(ROW()-8,4)=0,"",IF(MOD(ROW()-8,4)=1,INDEX(A:A,7+INT((ROW()-8)/4)*2)-INDEX(A:A,6+INT((ROW()-8)/4)*2),IF(MOD(ROW()-8,4)=2,INDEX(A:A,7+INT((ROW()-8)/4)*2),INDEX(A:A,8+INT((ROW()-8)/4)*2))))</f>
      </c>
      <c r="R40" s="14">
        <f>B41</f>
        <v>0</v>
      </c>
      <c r="S40" s="14">
        <f>C41</f>
        <v>152.5</v>
      </c>
      <c r="T40" s="59">
        <f t="array" ref="T40">IF(MOD(ROW()-8,4)=0,"",IF(MOD(ROW()-8,4)=1,INDEX(E:E,7+INT((ROW()-8)/4)*2)-INDEX(E:E,6+INT((ROW()-8)/4)*2),IF(MOD(ROW()-8,4)=2,INDEX(E:E,7+INT((ROW()-8)/4)*2),INDEX(E:E,8+INT((ROW()-8)/4)*2))))</f>
      </c>
      <c r="U40" s="14">
        <f t="shared" si="13"/>
        <v>0</v>
      </c>
      <c r="V40" s="14">
        <f>G40</f>
        <v>162.5</v>
      </c>
    </row>
    <row r="41" spans="1:22" x14ac:dyDescent="0.25">
      <c r="A41" s="2"/>
      <c r="B41" s="13">
        <f t="array" ref="B41">-INDEX(A:A,ROUNDUP(ROW(A44)/2,0))</f>
        <v>0</v>
      </c>
      <c r="C41" s="13">
        <v>152.5</v>
      </c>
      <c r="D41" s="60"/>
      <c r="E41" s="2"/>
      <c r="F41" s="13">
        <f t="array" ref="F41">-INDEX(E:E,ROUNDUP(ROW(E45)/2,0))</f>
        <v>0</v>
      </c>
      <c r="G41" s="13">
        <v>162.5</v>
      </c>
      <c r="H41" s="19"/>
      <c r="L41" s="2"/>
      <c r="N41" s="2"/>
      <c r="O41" s="2"/>
      <c r="P41" s="2"/>
      <c r="Q41" s="58">
        <f t="array" ref="Q41">IF(MOD(ROW()-8,4)=0,"",IF(MOD(ROW()-8,4)=1,INDEX(A:A,7+INT((ROW()-8)/4)*2)-INDEX(A:A,6+INT((ROW()-8)/4)*2),IF(MOD(ROW()-8,4)=2,INDEX(A:A,7+INT((ROW()-8)/4)*2),INDEX(A:A,8+INT((ROW()-8)/4)*2))))</f>
        <v>0</v>
      </c>
      <c r="R41" s="14">
        <f>IF(R42&lt;R40,(R42+R40)/2-0.75,0)</f>
        <v>0</v>
      </c>
      <c r="S41" s="14">
        <f>C42-IF(LEN(TEXT(Q41,"0"))=1,6.28,IF(LEN(TEXT(Q41,"0"))=2,6.55,7.05))</f>
        <v>146.22</v>
      </c>
      <c r="T41" s="59">
        <f t="array" ref="T41">IF(MOD(ROW()-8,4)=0,"",IF(MOD(ROW()-8,4)=1,INDEX(E:E,7+INT((ROW()-8)/4)*2)-INDEX(E:E,6+INT((ROW()-8)/4)*2),IF(MOD(ROW()-8,4)=2,INDEX(E:E,7+INT((ROW()-8)/4)*2),INDEX(E:E,8+INT((ROW()-8)/4)*2))))</f>
        <v>0</v>
      </c>
      <c r="U41" s="14">
        <f>IF(U42&lt;U40,(U42+U40)/2-0.75,0)</f>
        <v>0</v>
      </c>
      <c r="V41" s="14">
        <f>G41-IF(LEN(TEXT(T41,"0"))=1,6.28,IF(LEN(TEXT(T41,"0"))=2,6.55,7.05))</f>
        <v>156.22</v>
      </c>
    </row>
    <row r="42" spans="1:22" x14ac:dyDescent="0.25">
      <c r="A42" s="2"/>
      <c r="B42" s="13">
        <f t="array" ref="B42">-INDEX(A:A,ROUNDUP(ROW(A45)/2,0))</f>
        <v>0</v>
      </c>
      <c r="C42" s="13">
        <v>152.5</v>
      </c>
      <c r="D42" s="55">
        <f>IF(A43&lt;&gt;"",A43-A42,"")</f>
      </c>
      <c r="E42" s="2"/>
      <c r="F42" s="13">
        <f t="array" ref="F42">-INDEX(E:E,ROUNDUP(ROW(E46)/2,0))</f>
        <v>0</v>
      </c>
      <c r="G42" s="13">
        <v>152.5</v>
      </c>
      <c r="H42" s="19">
        <f>IF(E43&lt;&gt;"",E43-E42,"")</f>
      </c>
      <c r="L42" s="2"/>
      <c r="N42" s="2"/>
      <c r="O42" s="2"/>
      <c r="P42" s="2"/>
      <c r="Q42" s="58">
        <f t="array" ref="Q42">IF(MOD(ROW()-8,4)=0,"",IF(MOD(ROW()-8,4)=1,INDEX(A:A,7+INT((ROW()-8)/4)*2)-INDEX(A:A,6+INT((ROW()-8)/4)*2),IF(MOD(ROW()-8,4)=2,INDEX(A:A,7+INT((ROW()-8)/4)*2),INDEX(A:A,8+INT((ROW()-8)/4)*2))))</f>
        <v>0</v>
      </c>
      <c r="R42" s="14">
        <f>B43</f>
        <v>0</v>
      </c>
      <c r="S42" s="14">
        <f>C43-IF(LEN(TEXT(Q42,"0"))=1,1.25,IF(LEN(TEXT(Q42,"0"))=2,1.525,2.025))</f>
        <v>141.25</v>
      </c>
      <c r="T42" s="59">
        <f t="array" ref="T42">IF(MOD(ROW()-8,4)=0,"",IF(MOD(ROW()-8,4)=1,INDEX(E:E,7+INT((ROW()-8)/4)*2)-INDEX(E:E,6+INT((ROW()-8)/4)*2),IF(MOD(ROW()-8,4)=2,INDEX(E:E,7+INT((ROW()-8)/4)*2),INDEX(E:E,8+INT((ROW()-8)/4)*2))))</f>
        <v>0</v>
      </c>
      <c r="U42" s="14">
        <f t="shared" ref="U42:U46" si="14">F42</f>
        <v>0</v>
      </c>
      <c r="V42" s="14">
        <f>G42-IF(LEN(TEXT(T42,"0"))=1,1.25,IF(LEN(TEXT(T42,"0"))=2,1.525,2.025))</f>
        <v>151.25</v>
      </c>
    </row>
    <row r="43" spans="1:22" x14ac:dyDescent="0.25">
      <c r="A43" s="2"/>
      <c r="B43" s="13">
        <f t="array" ref="B43">-INDEX(A:A,ROUNDUP(ROW(A46)/2,0))</f>
        <v>0</v>
      </c>
      <c r="C43" s="13">
        <v>142.5</v>
      </c>
      <c r="D43" s="60"/>
      <c r="E43" s="2"/>
      <c r="F43" s="13">
        <f t="array" ref="F43">-INDEX(E:E,ROUNDUP(ROW(E47)/2,0))</f>
        <v>0</v>
      </c>
      <c r="G43" s="13">
        <v>152.5</v>
      </c>
      <c r="H43" s="19"/>
      <c r="L43" s="2"/>
      <c r="N43" s="2"/>
      <c r="O43" s="2"/>
      <c r="P43" s="2"/>
      <c r="Q43" s="58">
        <f t="array" ref="Q43">IF(MOD(ROW()-8,4)=0,"",IF(MOD(ROW()-8,4)=1,INDEX(A:A,7+INT((ROW()-8)/4)*2)-INDEX(A:A,6+INT((ROW()-8)/4)*2),IF(MOD(ROW()-8,4)=2,INDEX(A:A,7+INT((ROW()-8)/4)*2),INDEX(A:A,8+INT((ROW()-8)/4)*2))))</f>
        <v>0</v>
      </c>
      <c r="R43" s="14">
        <f>B44-1.5</f>
        <v>-1.5</v>
      </c>
      <c r="S43" s="14">
        <f>C44-IF(LEN(TEXT(Q43,"0"))=1,1.25,IF(LEN(TEXT(Q43,"0"))=2,1.525,2.025))</f>
        <v>141.25</v>
      </c>
      <c r="T43" s="59">
        <f t="array" ref="T43">IF(MOD(ROW()-8,4)=0,"",IF(MOD(ROW()-8,4)=1,INDEX(E:E,7+INT((ROW()-8)/4)*2)-INDEX(E:E,6+INT((ROW()-8)/4)*2),IF(MOD(ROW()-8,4)=2,INDEX(E:E,7+INT((ROW()-8)/4)*2),INDEX(E:E,8+INT((ROW()-8)/4)*2))))</f>
        <v>0</v>
      </c>
      <c r="U43" s="14">
        <f>F43-1.5</f>
        <v>-1.5</v>
      </c>
      <c r="V43" s="14">
        <f>G43-IF(LEN(TEXT(T43,"0"))=1,1.25,IF(LEN(TEXT(T43,"0"))=2,1.525,2.025))</f>
        <v>151.25</v>
      </c>
    </row>
    <row r="44" spans="1:22" x14ac:dyDescent="0.25">
      <c r="A44" s="2"/>
      <c r="B44" s="13">
        <f t="array" ref="B44">-INDEX(A:A,ROUNDUP(ROW(A47)/2,0))</f>
        <v>0</v>
      </c>
      <c r="C44" s="13">
        <v>142.5</v>
      </c>
      <c r="E44" s="2"/>
      <c r="F44" s="13">
        <f t="array" ref="F44">-INDEX(E:E,ROUNDUP(ROW(E48)/2,0))</f>
        <v>0</v>
      </c>
      <c r="G44" s="13">
        <v>162.5</v>
      </c>
      <c r="H44" s="19">
        <f>IF(E45&lt;&gt;"",E45-E44,"")</f>
      </c>
      <c r="L44" s="2"/>
      <c r="N44" s="2"/>
      <c r="O44" s="2"/>
      <c r="P44" s="2"/>
      <c r="Q44" s="58">
        <f t="array" ref="Q44">IF(MOD(ROW()-8,4)=0,"",IF(MOD(ROW()-8,4)=1,INDEX(A:A,7+INT((ROW()-8)/4)*2)-INDEX(A:A,6+INT((ROW()-8)/4)*2),IF(MOD(ROW()-8,4)=2,INDEX(A:A,7+INT((ROW()-8)/4)*2),INDEX(A:A,8+INT((ROW()-8)/4)*2))))</f>
      </c>
      <c r="R44" s="14">
        <f>B45</f>
        <v>0</v>
      </c>
      <c r="S44" s="14">
        <f>C45</f>
        <v>152.5</v>
      </c>
      <c r="T44" s="59">
        <f t="array" ref="T44">IF(MOD(ROW()-8,4)=0,"",IF(MOD(ROW()-8,4)=1,INDEX(E:E,7+INT((ROW()-8)/4)*2)-INDEX(E:E,6+INT((ROW()-8)/4)*2),IF(MOD(ROW()-8,4)=2,INDEX(E:E,7+INT((ROW()-8)/4)*2),INDEX(E:E,8+INT((ROW()-8)/4)*2))))</f>
      </c>
      <c r="U44" s="14">
        <f t="shared" si="14"/>
        <v>0</v>
      </c>
      <c r="V44" s="14">
        <f>G44</f>
        <v>162.5</v>
      </c>
    </row>
    <row r="45" spans="1:22" x14ac:dyDescent="0.25">
      <c r="A45" s="2"/>
      <c r="B45" s="13">
        <f t="array" ref="B45">-INDEX(A:A,ROUNDUP(ROW(A48)/2,0))</f>
        <v>0</v>
      </c>
      <c r="C45" s="13">
        <v>152.5</v>
      </c>
      <c r="E45" s="2"/>
      <c r="F45" s="13">
        <f t="array" ref="F45">-INDEX(E:E,ROUNDUP(ROW(E49)/2,0))</f>
        <v>0</v>
      </c>
      <c r="G45" s="13">
        <v>162.5</v>
      </c>
      <c r="H45" s="19"/>
      <c r="L45" s="2"/>
      <c r="N45" s="2"/>
      <c r="O45" s="2"/>
      <c r="P45" s="2"/>
      <c r="Q45" s="58">
        <f t="array" ref="Q45">IF(MOD(ROW()-8,4)=0,"",IF(MOD(ROW()-8,4)=1,INDEX(A:A,7+INT((ROW()-8)/4)*2)-INDEX(A:A,6+INT((ROW()-8)/4)*2),IF(MOD(ROW()-8,4)=2,INDEX(A:A,7+INT((ROW()-8)/4)*2),INDEX(A:A,8+INT((ROW()-8)/4)*2))))</f>
        <v>0</v>
      </c>
      <c r="R45" s="14">
        <f>IF(R46&lt;R44,(R46+R44)/2-0.75,0)</f>
        <v>0</v>
      </c>
      <c r="S45" s="14">
        <f>C46-IF(LEN(TEXT(Q45,"0"))=1,6.28,IF(LEN(TEXT(Q45,"0"))=2,6.55,7.05))</f>
        <v>146.22</v>
      </c>
      <c r="T45" s="59">
        <f t="array" ref="T45">IF(MOD(ROW()-8,4)=0,"",IF(MOD(ROW()-8,4)=1,INDEX(E:E,7+INT((ROW()-8)/4)*2)-INDEX(E:E,6+INT((ROW()-8)/4)*2),IF(MOD(ROW()-8,4)=2,INDEX(E:E,7+INT((ROW()-8)/4)*2),INDEX(E:E,8+INT((ROW()-8)/4)*2))))</f>
        <v>0</v>
      </c>
      <c r="U45" s="14">
        <f>IF(U46&lt;U44,(U46+U44)/2-0.75,0)</f>
        <v>0</v>
      </c>
      <c r="V45" s="14">
        <f>G45-IF(LEN(TEXT(T45,"0"))=1,6.28,IF(LEN(TEXT(T45,"0"))=2,6.55,7.05))</f>
        <v>156.22</v>
      </c>
    </row>
    <row r="46" spans="1:22" x14ac:dyDescent="0.25">
      <c r="A46" s="2"/>
      <c r="B46" s="13">
        <f t="array" ref="B46">-INDEX(A:A,ROUNDUP(ROW(A49)/2,0))</f>
        <v>0</v>
      </c>
      <c r="C46" s="13">
        <v>152.5</v>
      </c>
      <c r="E46" s="2"/>
      <c r="F46" s="13">
        <f t="array" ref="F46">-INDEX(E:E,ROUNDUP(ROW(E50)/2,0))</f>
        <v>0</v>
      </c>
      <c r="G46" s="13">
        <v>152.5</v>
      </c>
      <c r="H46" s="19">
        <f>IF(E47&lt;&gt;"",E47-E46,"")</f>
      </c>
      <c r="L46" s="2"/>
      <c r="N46" s="2"/>
      <c r="O46" s="2"/>
      <c r="P46" s="2"/>
      <c r="Q46" s="58">
        <f t="array" ref="Q46">IF(MOD(ROW()-8,4)=0,"",IF(MOD(ROW()-8,4)=1,INDEX(A:A,7+INT((ROW()-8)/4)*2)-INDEX(A:A,6+INT((ROW()-8)/4)*2),IF(MOD(ROW()-8,4)=2,INDEX(A:A,7+INT((ROW()-8)/4)*2),INDEX(A:A,8+INT((ROW()-8)/4)*2))))</f>
        <v>0</v>
      </c>
      <c r="R46" s="14">
        <f>B47</f>
        <v>0</v>
      </c>
      <c r="S46" s="14">
        <f>C47-IF(LEN(TEXT(Q46,"0"))=1,1.25,IF(LEN(TEXT(Q46,"0"))=2,1.525,2.025))</f>
        <v>141.25</v>
      </c>
      <c r="T46" s="59">
        <f t="array" ref="T46">IF(MOD(ROW()-8,4)=0,"",IF(MOD(ROW()-8,4)=1,INDEX(E:E,7+INT((ROW()-8)/4)*2)-INDEX(E:E,6+INT((ROW()-8)/4)*2),IF(MOD(ROW()-8,4)=2,INDEX(E:E,7+INT((ROW()-8)/4)*2),INDEX(E:E,8+INT((ROW()-8)/4)*2))))</f>
        <v>0</v>
      </c>
      <c r="U46" s="14">
        <f t="shared" si="14"/>
        <v>0</v>
      </c>
      <c r="V46" s="14">
        <f>G46-IF(LEN(TEXT(T46,"0"))=1,1.25,IF(LEN(TEXT(T46,"0"))=2,1.525,2.025))</f>
        <v>151.25</v>
      </c>
    </row>
    <row r="47" spans="1:22" x14ac:dyDescent="0.25">
      <c r="A47" s="2"/>
      <c r="B47" s="13">
        <f t="array" ref="B47">-INDEX(A:A,ROUNDUP(ROW(A50)/2,0))</f>
        <v>0</v>
      </c>
      <c r="C47" s="13">
        <v>142.5</v>
      </c>
      <c r="E47" s="2"/>
      <c r="F47" s="13">
        <f t="array" ref="F47">-INDEX(E:E,ROUNDUP(ROW(E51)/2,0))</f>
        <v>0</v>
      </c>
      <c r="G47" s="13">
        <v>152.5</v>
      </c>
      <c r="H47" s="19"/>
      <c r="L47" s="2"/>
      <c r="N47" s="2"/>
      <c r="O47" s="2"/>
      <c r="P47" s="2"/>
      <c r="Q47" s="58">
        <f t="array" ref="Q47">IF(MOD(ROW()-8,4)=0,"",IF(MOD(ROW()-8,4)=1,INDEX(A:A,7+INT((ROW()-8)/4)*2)-INDEX(A:A,6+INT((ROW()-8)/4)*2),IF(MOD(ROW()-8,4)=2,INDEX(A:A,7+INT((ROW()-8)/4)*2),INDEX(A:A,8+INT((ROW()-8)/4)*2))))</f>
        <v>0</v>
      </c>
      <c r="R47" s="14">
        <f>B48-1.5</f>
        <v>-1.5</v>
      </c>
      <c r="S47" s="14">
        <f>C48-IF(LEN(TEXT(Q47,"0"))=1,1.25,IF(LEN(TEXT(Q47,"0"))=2,1.525,2.025))</f>
        <v>141.25</v>
      </c>
      <c r="T47" s="59">
        <f t="array" ref="T47">IF(MOD(ROW()-8,4)=0,"",IF(MOD(ROW()-8,4)=1,INDEX(E:E,7+INT((ROW()-8)/4)*2)-INDEX(E:E,6+INT((ROW()-8)/4)*2),IF(MOD(ROW()-8,4)=2,INDEX(E:E,7+INT((ROW()-8)/4)*2),INDEX(E:E,8+INT((ROW()-8)/4)*2))))</f>
        <v>0</v>
      </c>
      <c r="U47" s="14">
        <f>F47-1.5</f>
        <v>-1.5</v>
      </c>
      <c r="V47" s="14">
        <f>G47-IF(LEN(TEXT(T47,"0"))=1,1.25,IF(LEN(TEXT(T47,"0"))=2,1.525,2.025))</f>
        <v>151.25</v>
      </c>
    </row>
    <row r="48" spans="1:22" x14ac:dyDescent="0.25">
      <c r="A48" s="2"/>
      <c r="B48" s="13">
        <f t="array" ref="B48">-INDEX(A:A,ROUNDUP(ROW(A51)/2,0))</f>
        <v>0</v>
      </c>
      <c r="C48" s="13">
        <v>142.5</v>
      </c>
      <c r="E48" s="2"/>
      <c r="F48" s="13">
        <f t="array" ref="F48">-INDEX(E:E,ROUNDUP(ROW(E52)/2,0))</f>
        <v>0</v>
      </c>
      <c r="G48" s="13">
        <v>162.5</v>
      </c>
      <c r="H48" s="19">
        <f>IF(E49&lt;&gt;"",E49-E48,"")</f>
      </c>
      <c r="L48" s="2"/>
      <c r="N48" s="2"/>
      <c r="O48" s="2"/>
      <c r="P48" s="2"/>
      <c r="Q48" s="58">
        <f t="array" ref="Q48">IF(MOD(ROW()-8,4)=0,"",IF(MOD(ROW()-8,4)=1,INDEX(A:A,7+INT((ROW()-8)/4)*2)-INDEX(A:A,6+INT((ROW()-8)/4)*2),IF(MOD(ROW()-8,4)=2,INDEX(A:A,7+INT((ROW()-8)/4)*2),INDEX(A:A,8+INT((ROW()-8)/4)*2))))</f>
      </c>
      <c r="R48" s="14">
        <f>B49</f>
        <v>0</v>
      </c>
      <c r="S48" s="14">
        <f>C49</f>
        <v>152.5</v>
      </c>
      <c r="T48" s="59">
        <f t="array" ref="T48">IF(MOD(ROW()-8,4)=0,"",IF(MOD(ROW()-8,4)=1,INDEX(E:E,7+INT((ROW()-8)/4)*2)-INDEX(E:E,6+INT((ROW()-8)/4)*2),IF(MOD(ROW()-8,4)=2,INDEX(E:E,7+INT((ROW()-8)/4)*2),INDEX(E:E,8+INT((ROW()-8)/4)*2))))</f>
      </c>
      <c r="U48" s="14">
        <f t="shared" ref="U48:U52" si="15">F48</f>
        <v>0</v>
      </c>
      <c r="V48" s="14">
        <f>G48</f>
        <v>162.5</v>
      </c>
    </row>
    <row r="49" spans="1:22" x14ac:dyDescent="0.25">
      <c r="A49" s="2"/>
      <c r="B49" s="13">
        <f t="array" ref="B49">-INDEX(A:A,ROUNDUP(ROW(A52)/2,0))</f>
        <v>0</v>
      </c>
      <c r="C49" s="13">
        <v>152.5</v>
      </c>
      <c r="E49" s="2"/>
      <c r="F49" s="13">
        <f t="array" ref="F49">-INDEX(E:E,ROUNDUP(ROW(E53)/2,0))</f>
        <v>0</v>
      </c>
      <c r="G49" s="13">
        <v>162.5</v>
      </c>
      <c r="H49" s="19"/>
      <c r="L49" s="2"/>
      <c r="N49" s="2"/>
      <c r="O49" s="2"/>
      <c r="P49" s="2"/>
      <c r="Q49" s="58">
        <f t="array" ref="Q49">IF(MOD(ROW()-8,4)=0,"",IF(MOD(ROW()-8,4)=1,INDEX(A:A,7+INT((ROW()-8)/4)*2)-INDEX(A:A,6+INT((ROW()-8)/4)*2),IF(MOD(ROW()-8,4)=2,INDEX(A:A,7+INT((ROW()-8)/4)*2),INDEX(A:A,8+INT((ROW()-8)/4)*2))))</f>
        <v>0</v>
      </c>
      <c r="R49" s="14">
        <f>IF(R50&lt;R48,(R50+R48)/2-0.75,0)</f>
        <v>0</v>
      </c>
      <c r="S49" s="14">
        <f>C50-IF(LEN(TEXT(Q49,"0"))=1,6.28,IF(LEN(TEXT(Q49,"0"))=2,6.55,7.05))</f>
        <v>146.22</v>
      </c>
      <c r="T49" s="59">
        <f t="array" ref="T49">IF(MOD(ROW()-8,4)=0,"",IF(MOD(ROW()-8,4)=1,INDEX(E:E,7+INT((ROW()-8)/4)*2)-INDEX(E:E,6+INT((ROW()-8)/4)*2),IF(MOD(ROW()-8,4)=2,INDEX(E:E,7+INT((ROW()-8)/4)*2),INDEX(E:E,8+INT((ROW()-8)/4)*2))))</f>
        <v>0</v>
      </c>
      <c r="U49" s="14">
        <f>IF(U50&lt;U48,(U50+U48)/2-0.75,0)</f>
        <v>0</v>
      </c>
      <c r="V49" s="14">
        <f>G49-IF(LEN(TEXT(T49,"0"))=1,6.28,IF(LEN(TEXT(T49,"0"))=2,6.55,7.05))</f>
        <v>156.22</v>
      </c>
    </row>
    <row r="50" spans="1:22" x14ac:dyDescent="0.25">
      <c r="A50" s="2"/>
      <c r="B50" s="13">
        <f t="array" ref="B50">-INDEX(A:A,ROUNDUP(ROW(A53)/2,0))</f>
        <v>0</v>
      </c>
      <c r="C50" s="13">
        <v>152.5</v>
      </c>
      <c r="E50" s="2"/>
      <c r="F50" s="13">
        <f t="array" ref="F50">-INDEX(E:E,ROUNDUP(ROW(E54)/2,0))</f>
        <v>0</v>
      </c>
      <c r="G50" s="13">
        <v>152.5</v>
      </c>
      <c r="H50" s="19">
        <f>IF(E51&lt;&gt;"",E51-E50,"")</f>
      </c>
      <c r="L50" s="2"/>
      <c r="M50" s="2"/>
      <c r="N50" s="2"/>
      <c r="O50" s="2"/>
      <c r="P50" s="2"/>
      <c r="Q50" s="58">
        <f t="array" ref="Q50">IF(MOD(ROW()-8,4)=0,"",IF(MOD(ROW()-8,4)=1,INDEX(A:A,7+INT((ROW()-8)/4)*2)-INDEX(A:A,6+INT((ROW()-8)/4)*2),IF(MOD(ROW()-8,4)=2,INDEX(A:A,7+INT((ROW()-8)/4)*2),INDEX(A:A,8+INT((ROW()-8)/4)*2))))</f>
        <v>0</v>
      </c>
      <c r="R50" s="14">
        <f>B51</f>
        <v>0</v>
      </c>
      <c r="S50" s="14">
        <f>C51-IF(LEN(TEXT(Q50,"0"))=1,1.25,IF(LEN(TEXT(Q50,"0"))=2,1.525,2.025))</f>
        <v>141.25</v>
      </c>
      <c r="T50" s="59">
        <f t="array" ref="T50">IF(MOD(ROW()-8,4)=0,"",IF(MOD(ROW()-8,4)=1,INDEX(E:E,7+INT((ROW()-8)/4)*2)-INDEX(E:E,6+INT((ROW()-8)/4)*2),IF(MOD(ROW()-8,4)=2,INDEX(E:E,7+INT((ROW()-8)/4)*2),INDEX(E:E,8+INT((ROW()-8)/4)*2))))</f>
        <v>0</v>
      </c>
      <c r="U50" s="14">
        <f t="shared" si="15"/>
        <v>0</v>
      </c>
      <c r="V50" s="14">
        <f>G50-IF(LEN(TEXT(T50,"0"))=1,1.25,IF(LEN(TEXT(T50,"0"))=2,1.525,2.025))</f>
        <v>151.25</v>
      </c>
    </row>
    <row r="51" spans="1:22" x14ac:dyDescent="0.25">
      <c r="A51" s="2"/>
      <c r="B51" s="13">
        <f t="array" ref="B51">-INDEX(A:A,ROUNDUP(ROW(A54)/2,0))</f>
        <v>0</v>
      </c>
      <c r="C51" s="13">
        <v>142.5</v>
      </c>
      <c r="E51" s="2"/>
      <c r="F51" s="13">
        <f t="array" ref="F51">-INDEX(E:E,ROUNDUP(ROW(E55)/2,0))</f>
        <v>0</v>
      </c>
      <c r="G51" s="13">
        <v>152.5</v>
      </c>
      <c r="H51" s="19"/>
      <c r="L51" s="2"/>
      <c r="M51" s="2"/>
      <c r="N51" s="2"/>
      <c r="O51" s="2"/>
      <c r="P51" s="2"/>
      <c r="Q51" s="58">
        <f t="array" ref="Q51">IF(MOD(ROW()-8,4)=0,"",IF(MOD(ROW()-8,4)=1,INDEX(A:A,7+INT((ROW()-8)/4)*2)-INDEX(A:A,6+INT((ROW()-8)/4)*2),IF(MOD(ROW()-8,4)=2,INDEX(A:A,7+INT((ROW()-8)/4)*2),INDEX(A:A,8+INT((ROW()-8)/4)*2))))</f>
        <v>0</v>
      </c>
      <c r="R51" s="14">
        <f>B52-1.5</f>
        <v>-1.5</v>
      </c>
      <c r="S51" s="14">
        <f>C52-IF(LEN(TEXT(Q51,"0"))=1,1.25,IF(LEN(TEXT(Q51,"0"))=2,1.525,2.025))</f>
        <v>141.25</v>
      </c>
      <c r="T51" s="59">
        <f t="array" ref="T51">IF(MOD(ROW()-8,4)=0,"",IF(MOD(ROW()-8,4)=1,INDEX(E:E,7+INT((ROW()-8)/4)*2)-INDEX(E:E,6+INT((ROW()-8)/4)*2),IF(MOD(ROW()-8,4)=2,INDEX(E:E,7+INT((ROW()-8)/4)*2),INDEX(E:E,8+INT((ROW()-8)/4)*2))))</f>
        <v>0</v>
      </c>
      <c r="U51" s="14">
        <f>F51-1.5</f>
        <v>-1.5</v>
      </c>
      <c r="V51" s="14">
        <f>G51-IF(LEN(TEXT(T51,"0"))=1,1.25,IF(LEN(TEXT(T51,"0"))=2,1.525,2.025))</f>
        <v>151.25</v>
      </c>
    </row>
    <row r="52" spans="1:22" x14ac:dyDescent="0.25">
      <c r="A52" s="2"/>
      <c r="B52" s="13">
        <f t="array" ref="B52">-INDEX(A:A,ROUNDUP(ROW(A55)/2,0))</f>
        <v>0</v>
      </c>
      <c r="C52" s="13">
        <v>142.5</v>
      </c>
      <c r="E52" s="2"/>
      <c r="F52" s="13">
        <f t="array" ref="F52">-INDEX(E:E,ROUNDUP(ROW(E56)/2,0))</f>
        <v>0</v>
      </c>
      <c r="G52" s="13">
        <v>162.5</v>
      </c>
      <c r="H52" s="19">
        <f>IF(E53&lt;&gt;"",E53-E52,"")</f>
      </c>
      <c r="L52" s="2"/>
      <c r="M52" s="2"/>
      <c r="N52" s="2"/>
      <c r="O52" s="2"/>
      <c r="P52" s="2"/>
      <c r="Q52" s="58">
        <f t="array" ref="Q52">IF(MOD(ROW()-8,4)=0,"",IF(MOD(ROW()-8,4)=1,INDEX(A:A,7+INT((ROW()-8)/4)*2)-INDEX(A:A,6+INT((ROW()-8)/4)*2),IF(MOD(ROW()-8,4)=2,INDEX(A:A,7+INT((ROW()-8)/4)*2),INDEX(A:A,8+INT((ROW()-8)/4)*2))))</f>
      </c>
      <c r="R52" s="14">
        <f>B53</f>
        <v>0</v>
      </c>
      <c r="S52" s="14">
        <f>C53</f>
        <v>152.5</v>
      </c>
      <c r="T52" s="59">
        <f t="array" ref="T52">IF(MOD(ROW()-8,4)=0,"",IF(MOD(ROW()-8,4)=1,INDEX(E:E,7+INT((ROW()-8)/4)*2)-INDEX(E:E,6+INT((ROW()-8)/4)*2),IF(MOD(ROW()-8,4)=2,INDEX(E:E,7+INT((ROW()-8)/4)*2),INDEX(E:E,8+INT((ROW()-8)/4)*2))))</f>
      </c>
      <c r="U52" s="14">
        <f t="shared" si="15"/>
        <v>0</v>
      </c>
      <c r="V52" s="14">
        <f>G52</f>
        <v>162.5</v>
      </c>
    </row>
    <row r="53" spans="1:22" x14ac:dyDescent="0.25">
      <c r="A53" s="2"/>
      <c r="B53" s="13">
        <f t="array" ref="B53">-INDEX(A:A,ROUNDUP(ROW(A56)/2,0))</f>
        <v>0</v>
      </c>
      <c r="C53" s="13">
        <v>152.5</v>
      </c>
      <c r="E53" s="2"/>
      <c r="F53" s="13">
        <f t="array" ref="F53">-INDEX(E:E,ROUNDUP(ROW(E57)/2,0))</f>
        <v>0</v>
      </c>
      <c r="G53" s="13">
        <v>162.5</v>
      </c>
      <c r="H53" s="19"/>
      <c r="L53" s="2"/>
      <c r="M53" s="2"/>
      <c r="N53" s="2"/>
      <c r="O53" s="2"/>
      <c r="P53" s="2"/>
      <c r="Q53" s="58">
        <f t="array" ref="Q53">IF(MOD(ROW()-8,4)=0,"",IF(MOD(ROW()-8,4)=1,INDEX(A:A,7+INT((ROW()-8)/4)*2)-INDEX(A:A,6+INT((ROW()-8)/4)*2),IF(MOD(ROW()-8,4)=2,INDEX(A:A,7+INT((ROW()-8)/4)*2),INDEX(A:A,8+INT((ROW()-8)/4)*2))))</f>
        <v>0</v>
      </c>
      <c r="R53" s="14">
        <f>IF(R54&lt;R52,(R54+R52)/2-0.75,0)</f>
        <v>0</v>
      </c>
      <c r="S53" s="14">
        <f>C54-IF(LEN(TEXT(Q53,"0"))=1,6.28,IF(LEN(TEXT(Q53,"0"))=2,6.55,7.05))</f>
        <v>146.22</v>
      </c>
      <c r="T53" s="59">
        <f t="array" ref="T53">IF(MOD(ROW()-8,4)=0,"",IF(MOD(ROW()-8,4)=1,INDEX(E:E,7+INT((ROW()-8)/4)*2)-INDEX(E:E,6+INT((ROW()-8)/4)*2),IF(MOD(ROW()-8,4)=2,INDEX(E:E,7+INT((ROW()-8)/4)*2),INDEX(E:E,8+INT((ROW()-8)/4)*2))))</f>
        <v>0</v>
      </c>
      <c r="U53" s="14">
        <f>IF(U54&lt;U52,(U54+U52)/2-0.75,0)</f>
        <v>0</v>
      </c>
      <c r="V53" s="14">
        <f>G53-IF(LEN(TEXT(T53,"0"))=1,6.28,IF(LEN(TEXT(T53,"0"))=2,6.55,7.05))</f>
        <v>156.22</v>
      </c>
    </row>
    <row r="54" spans="1:22" x14ac:dyDescent="0.25">
      <c r="A54" s="2"/>
      <c r="B54" s="13">
        <f t="array" ref="B54">-INDEX(A:A,ROUNDUP(ROW(A57)/2,0))</f>
        <v>0</v>
      </c>
      <c r="C54" s="13">
        <v>152.5</v>
      </c>
      <c r="E54" s="2"/>
      <c r="F54" s="13">
        <f t="array" ref="F54">-INDEX(E:E,ROUNDUP(ROW(E58)/2,0))</f>
        <v>0</v>
      </c>
      <c r="G54" s="13">
        <v>152.5</v>
      </c>
      <c r="H54" s="19">
        <f>IF(E55&lt;&gt;"",E55-E54,"")</f>
      </c>
      <c r="L54" s="2"/>
      <c r="M54" s="2"/>
      <c r="N54" s="2"/>
      <c r="O54" s="2"/>
      <c r="P54" s="2"/>
      <c r="Q54" s="58">
        <f t="array" ref="Q54">IF(MOD(ROW()-8,4)=0,"",IF(MOD(ROW()-8,4)=1,INDEX(A:A,7+INT((ROW()-8)/4)*2)-INDEX(A:A,6+INT((ROW()-8)/4)*2),IF(MOD(ROW()-8,4)=2,INDEX(A:A,7+INT((ROW()-8)/4)*2),INDEX(A:A,8+INT((ROW()-8)/4)*2))))</f>
        <v>0</v>
      </c>
      <c r="R54" s="14">
        <f>B55</f>
        <v>0</v>
      </c>
      <c r="S54" s="14">
        <f>C55-IF(LEN(TEXT(Q54,"0"))=1,1.25,IF(LEN(TEXT(Q54,"0"))=2,1.525,2.025))</f>
        <v>141.25</v>
      </c>
      <c r="T54" s="59">
        <f t="array" ref="T54">IF(MOD(ROW()-8,4)=0,"",IF(MOD(ROW()-8,4)=1,INDEX(E:E,7+INT((ROW()-8)/4)*2)-INDEX(E:E,6+INT((ROW()-8)/4)*2),IF(MOD(ROW()-8,4)=2,INDEX(E:E,7+INT((ROW()-8)/4)*2),INDEX(E:E,8+INT((ROW()-8)/4)*2))))</f>
        <v>0</v>
      </c>
      <c r="U54" s="14">
        <f t="shared" ref="U54:U58" si="16">F54</f>
        <v>0</v>
      </c>
      <c r="V54" s="14">
        <f>G54-IF(LEN(TEXT(T54,"0"))=1,1.25,IF(LEN(TEXT(T54,"0"))=2,1.525,2.025))</f>
        <v>151.25</v>
      </c>
    </row>
    <row r="55" spans="1:22" x14ac:dyDescent="0.25">
      <c r="A55" s="2"/>
      <c r="B55" s="13">
        <f t="array" ref="B55">-INDEX(A:A,ROUNDUP(ROW(A58)/2,0))</f>
        <v>0</v>
      </c>
      <c r="C55" s="13">
        <v>142.5</v>
      </c>
      <c r="E55" s="2"/>
      <c r="F55" s="13">
        <f t="array" ref="F55">-INDEX(E:E,ROUNDUP(ROW(E59)/2,0))</f>
        <v>0</v>
      </c>
      <c r="G55" s="13">
        <v>152.5</v>
      </c>
      <c r="H55" s="19"/>
      <c r="L55" s="2"/>
      <c r="M55" s="2"/>
      <c r="N55" s="2"/>
      <c r="O55" s="2"/>
      <c r="P55" s="2"/>
      <c r="Q55" s="58">
        <f t="array" ref="Q55">IF(MOD(ROW()-8,4)=0,"",IF(MOD(ROW()-8,4)=1,INDEX(A:A,7+INT((ROW()-8)/4)*2)-INDEX(A:A,6+INT((ROW()-8)/4)*2),IF(MOD(ROW()-8,4)=2,INDEX(A:A,7+INT((ROW()-8)/4)*2),INDEX(A:A,8+INT((ROW()-8)/4)*2))))</f>
        <v>0</v>
      </c>
      <c r="R55" s="14">
        <f>B56-1.5</f>
        <v>-1.5</v>
      </c>
      <c r="S55" s="14">
        <f>C56-IF(LEN(TEXT(Q55,"0"))=1,1.25,IF(LEN(TEXT(Q55,"0"))=2,1.525,2.025))</f>
        <v>141.25</v>
      </c>
      <c r="T55" s="59">
        <f t="array" ref="T55">IF(MOD(ROW()-8,4)=0,"",IF(MOD(ROW()-8,4)=1,INDEX(E:E,7+INT((ROW()-8)/4)*2)-INDEX(E:E,6+INT((ROW()-8)/4)*2),IF(MOD(ROW()-8,4)=2,INDEX(E:E,7+INT((ROW()-8)/4)*2),INDEX(E:E,8+INT((ROW()-8)/4)*2))))</f>
        <v>0</v>
      </c>
      <c r="U55" s="14">
        <f>F55-1.5</f>
        <v>-1.5</v>
      </c>
      <c r="V55" s="14">
        <f>G55-IF(LEN(TEXT(T55,"0"))=1,1.25,IF(LEN(TEXT(T55,"0"))=2,1.525,2.025))</f>
        <v>151.25</v>
      </c>
    </row>
    <row r="56" spans="1:22" x14ac:dyDescent="0.25">
      <c r="A56" s="2"/>
      <c r="B56" s="13">
        <f t="array" ref="B56">-INDEX(A:A,ROUNDUP(ROW(A59)/2,0))</f>
        <v>0</v>
      </c>
      <c r="C56" s="13">
        <v>142.5</v>
      </c>
      <c r="E56" s="2"/>
      <c r="F56" s="13">
        <f t="array" ref="F56">-INDEX(E:E,ROUNDUP(ROW(E60)/2,0))</f>
        <v>0</v>
      </c>
      <c r="G56" s="13">
        <v>162.5</v>
      </c>
      <c r="L56" s="2"/>
      <c r="M56" s="2"/>
      <c r="N56" s="2"/>
      <c r="O56" s="2"/>
      <c r="P56" s="2"/>
      <c r="Q56" s="58">
        <f t="array" ref="Q56">IF(MOD(ROW()-8,4)=0,"",IF(MOD(ROW()-8,4)=1,INDEX(A:A,7+INT((ROW()-8)/4)*2)-INDEX(A:A,6+INT((ROW()-8)/4)*2),IF(MOD(ROW()-8,4)=2,INDEX(A:A,7+INT((ROW()-8)/4)*2),INDEX(A:A,8+INT((ROW()-8)/4)*2))))</f>
      </c>
      <c r="R56" s="14">
        <f>B57</f>
        <v>0</v>
      </c>
      <c r="S56" s="14">
        <f>C57</f>
        <v>152.5</v>
      </c>
      <c r="T56" s="59">
        <f t="array" ref="T56">IF(MOD(ROW()-8,4)=0,"",IF(MOD(ROW()-8,4)=1,INDEX(E:E,7+INT((ROW()-8)/4)*2)-INDEX(E:E,6+INT((ROW()-8)/4)*2),IF(MOD(ROW()-8,4)=2,INDEX(E:E,7+INT((ROW()-8)/4)*2),INDEX(E:E,8+INT((ROW()-8)/4)*2))))</f>
      </c>
      <c r="U56" s="14">
        <f t="shared" si="16"/>
        <v>0</v>
      </c>
      <c r="V56" s="14">
        <f>G56</f>
        <v>162.5</v>
      </c>
    </row>
    <row r="57" spans="1:22" x14ac:dyDescent="0.25">
      <c r="A57" s="2"/>
      <c r="B57" s="13">
        <f t="array" ref="B57">-INDEX(A:A,ROUNDUP(ROW(A60)/2,0))</f>
        <v>0</v>
      </c>
      <c r="C57" s="13">
        <v>152.5</v>
      </c>
      <c r="E57" s="2"/>
      <c r="F57" s="13">
        <f t="array" ref="F57">-INDEX(E:E,ROUNDUP(ROW(E61)/2,0))</f>
        <v>0</v>
      </c>
      <c r="G57" s="13">
        <v>162.5</v>
      </c>
      <c r="L57" s="2"/>
      <c r="M57" s="2"/>
      <c r="N57" s="2"/>
      <c r="O57" s="2"/>
      <c r="P57" s="2"/>
      <c r="Q57" s="58">
        <f t="array" ref="Q57">IF(MOD(ROW()-8,4)=0,"",IF(MOD(ROW()-8,4)=1,INDEX(A:A,7+INT((ROW()-8)/4)*2)-INDEX(A:A,6+INT((ROW()-8)/4)*2),IF(MOD(ROW()-8,4)=2,INDEX(A:A,7+INT((ROW()-8)/4)*2),INDEX(A:A,8+INT((ROW()-8)/4)*2))))</f>
        <v>0</v>
      </c>
      <c r="R57" s="14">
        <f>IF(R58&lt;R56,(R58+R56)/2-0.75,0)</f>
        <v>0</v>
      </c>
      <c r="S57" s="14">
        <f>C58-IF(LEN(TEXT(Q57,"0"))=1,6.28,IF(LEN(TEXT(Q57,"0"))=2,6.55,7.05))</f>
        <v>146.22</v>
      </c>
      <c r="T57" s="59">
        <f t="array" ref="T57">IF(MOD(ROW()-8,4)=0,"",IF(MOD(ROW()-8,4)=1,INDEX(E:E,7+INT((ROW()-8)/4)*2)-INDEX(E:E,6+INT((ROW()-8)/4)*2),IF(MOD(ROW()-8,4)=2,INDEX(E:E,7+INT((ROW()-8)/4)*2),INDEX(E:E,8+INT((ROW()-8)/4)*2))))</f>
        <v>0</v>
      </c>
      <c r="U57" s="14">
        <f>IF(U58&lt;U56,(U58+U56)/2-0.75,0)</f>
        <v>0</v>
      </c>
      <c r="V57" s="14">
        <f>G57-IF(LEN(TEXT(T57,"0"))=1,6.28,IF(LEN(TEXT(T57,"0"))=2,6.55,7.05))</f>
        <v>156.22</v>
      </c>
    </row>
    <row r="58" spans="1:22" x14ac:dyDescent="0.25">
      <c r="A58" s="2"/>
      <c r="B58" s="13">
        <f t="array" ref="B58">-INDEX(A:A,ROUNDUP(ROW(A61)/2,0))</f>
        <v>0</v>
      </c>
      <c r="C58" s="13">
        <v>152.5</v>
      </c>
      <c r="E58" s="2"/>
      <c r="F58" s="13">
        <f t="array" ref="F58">-INDEX(E:E,ROUNDUP(ROW(E62)/2,0))</f>
        <v>0</v>
      </c>
      <c r="G58" s="13">
        <v>152.5</v>
      </c>
      <c r="L58" s="2"/>
      <c r="M58" s="2"/>
      <c r="N58" s="2"/>
      <c r="O58" s="2"/>
      <c r="P58" s="2"/>
      <c r="Q58" s="58">
        <f t="array" ref="Q58">IF(MOD(ROW()-8,4)=0,"",IF(MOD(ROW()-8,4)=1,INDEX(A:A,7+INT((ROW()-8)/4)*2)-INDEX(A:A,6+INT((ROW()-8)/4)*2),IF(MOD(ROW()-8,4)=2,INDEX(A:A,7+INT((ROW()-8)/4)*2),INDEX(A:A,8+INT((ROW()-8)/4)*2))))</f>
        <v>0</v>
      </c>
      <c r="R58" s="14">
        <f>B59</f>
        <v>0</v>
      </c>
      <c r="S58" s="14">
        <f>C59-IF(LEN(TEXT(Q58,"0"))=1,1.25,IF(LEN(TEXT(Q58,"0"))=2,1.525,2.025))</f>
        <v>141.25</v>
      </c>
      <c r="T58" s="59">
        <f t="array" ref="T58">IF(MOD(ROW()-8,4)=0,"",IF(MOD(ROW()-8,4)=1,INDEX(E:E,7+INT((ROW()-8)/4)*2)-INDEX(E:E,6+INT((ROW()-8)/4)*2),IF(MOD(ROW()-8,4)=2,INDEX(E:E,7+INT((ROW()-8)/4)*2),INDEX(E:E,8+INT((ROW()-8)/4)*2))))</f>
        <v>0</v>
      </c>
      <c r="U58" s="14">
        <f t="shared" si="16"/>
        <v>0</v>
      </c>
      <c r="V58" s="14">
        <f>G58-IF(LEN(TEXT(T58,"0"))=1,1.25,IF(LEN(TEXT(T58,"0"))=2,1.525,2.025))</f>
        <v>151.25</v>
      </c>
    </row>
    <row r="59" spans="1:22" x14ac:dyDescent="0.25">
      <c r="A59" s="2"/>
      <c r="B59" s="13">
        <f t="array" ref="B59">-INDEX(A:A,ROUNDUP(ROW(A62)/2,0))</f>
        <v>0</v>
      </c>
      <c r="C59" s="13">
        <v>142.5</v>
      </c>
      <c r="E59" s="2"/>
      <c r="F59" s="13">
        <f t="array" ref="F59">-INDEX(E:E,ROUNDUP(ROW(E63)/2,0))</f>
        <v>0</v>
      </c>
      <c r="G59" s="13">
        <v>152.5</v>
      </c>
      <c r="L59" s="2"/>
      <c r="M59" s="2"/>
      <c r="N59" s="2"/>
      <c r="O59" s="2"/>
      <c r="P59" s="2"/>
      <c r="Q59" s="58">
        <f t="array" ref="Q59">IF(MOD(ROW()-8,4)=0,"",IF(MOD(ROW()-8,4)=1,INDEX(A:A,7+INT((ROW()-8)/4)*2)-INDEX(A:A,6+INT((ROW()-8)/4)*2),IF(MOD(ROW()-8,4)=2,INDEX(A:A,7+INT((ROW()-8)/4)*2),INDEX(A:A,8+INT((ROW()-8)/4)*2))))</f>
        <v>0</v>
      </c>
      <c r="R59" s="14">
        <f>B60-1.5</f>
        <v>-1.5</v>
      </c>
      <c r="S59" s="14">
        <f>C60-IF(LEN(TEXT(Q59,"0"))=1,1.25,IF(LEN(TEXT(Q59,"0"))=2,1.525,2.025))</f>
        <v>141.25</v>
      </c>
      <c r="T59" s="59">
        <f t="array" ref="T59">IF(MOD(ROW()-8,4)=0,"",IF(MOD(ROW()-8,4)=1,INDEX(E:E,7+INT((ROW()-8)/4)*2)-INDEX(E:E,6+INT((ROW()-8)/4)*2),IF(MOD(ROW()-8,4)=2,INDEX(E:E,7+INT((ROW()-8)/4)*2),INDEX(E:E,8+INT((ROW()-8)/4)*2))))</f>
        <v>0</v>
      </c>
      <c r="U59" s="14">
        <f>F59-1.5</f>
        <v>-1.5</v>
      </c>
      <c r="V59" s="14">
        <f>G59-IF(LEN(TEXT(T59,"0"))=1,1.25,IF(LEN(TEXT(T59,"0"))=2,1.525,2.025))</f>
        <v>151.25</v>
      </c>
    </row>
    <row r="60" spans="1:22" x14ac:dyDescent="0.25">
      <c r="A60" s="2"/>
      <c r="B60" s="13">
        <f t="array" ref="B60">-INDEX(A:A,ROUNDUP(ROW(A63)/2,0))</f>
        <v>0</v>
      </c>
      <c r="C60" s="13">
        <v>142.5</v>
      </c>
      <c r="E60" s="2"/>
      <c r="F60" s="13">
        <f t="array" ref="F60">-INDEX(E:E,ROUNDUP(ROW(E64)/2,0))</f>
        <v>0</v>
      </c>
      <c r="G60" s="13">
        <v>162.5</v>
      </c>
      <c r="L60" s="2"/>
      <c r="M60" s="2"/>
      <c r="N60" s="2"/>
      <c r="O60" s="2"/>
      <c r="P60" s="2"/>
      <c r="Q60" s="58">
        <f t="array" ref="Q60">IF(MOD(ROW()-8,4)=0,"",IF(MOD(ROW()-8,4)=1,INDEX(A:A,7+INT((ROW()-8)/4)*2)-INDEX(A:A,6+INT((ROW()-8)/4)*2),IF(MOD(ROW()-8,4)=2,INDEX(A:A,7+INT((ROW()-8)/4)*2),INDEX(A:A,8+INT((ROW()-8)/4)*2))))</f>
      </c>
      <c r="R60" s="14">
        <f>B61</f>
        <v>0</v>
      </c>
      <c r="S60" s="14">
        <f>C61</f>
        <v>152.5</v>
      </c>
      <c r="T60" s="59">
        <f t="array" ref="T60">IF(MOD(ROW()-8,4)=0,"",IF(MOD(ROW()-8,4)=1,INDEX(E:E,7+INT((ROW()-8)/4)*2)-INDEX(E:E,6+INT((ROW()-8)/4)*2),IF(MOD(ROW()-8,4)=2,INDEX(E:E,7+INT((ROW()-8)/4)*2),INDEX(E:E,8+INT((ROW()-8)/4)*2))))</f>
      </c>
      <c r="U60" s="14">
        <f t="shared" ref="U60:U64" si="17">F60</f>
        <v>0</v>
      </c>
      <c r="V60" s="14">
        <f>G60</f>
        <v>162.5</v>
      </c>
    </row>
    <row r="61" spans="1:22" x14ac:dyDescent="0.25">
      <c r="A61" s="2"/>
      <c r="B61" s="13">
        <f t="array" ref="B61">-INDEX(A:A,ROUNDUP(ROW(A64)/2,0))</f>
        <v>0</v>
      </c>
      <c r="C61" s="13">
        <v>152.5</v>
      </c>
      <c r="E61" s="2"/>
      <c r="F61" s="13">
        <f t="array" ref="F61">-INDEX(E:E,ROUNDUP(ROW(E65)/2,0))</f>
        <v>0</v>
      </c>
      <c r="G61" s="13">
        <v>162.5</v>
      </c>
      <c r="L61" s="2"/>
      <c r="M61" s="2"/>
      <c r="N61" s="2"/>
      <c r="O61" s="2"/>
      <c r="P61" s="2"/>
      <c r="Q61" s="58">
        <f t="array" ref="Q61">IF(MOD(ROW()-8,4)=0,"",IF(MOD(ROW()-8,4)=1,INDEX(A:A,7+INT((ROW()-8)/4)*2)-INDEX(A:A,6+INT((ROW()-8)/4)*2),IF(MOD(ROW()-8,4)=2,INDEX(A:A,7+INT((ROW()-8)/4)*2),INDEX(A:A,8+INT((ROW()-8)/4)*2))))</f>
        <v>0</v>
      </c>
      <c r="R61" s="14">
        <f>IF(R62&lt;R60,(R62+R60)/2-0.75,0)</f>
        <v>0</v>
      </c>
      <c r="S61" s="14">
        <f>C62-IF(LEN(TEXT(Q61,"0"))=1,6.28,IF(LEN(TEXT(Q61,"0"))=2,6.55,7.05))</f>
        <v>146.22</v>
      </c>
      <c r="T61" s="59">
        <f t="array" ref="T61">IF(MOD(ROW()-8,4)=0,"",IF(MOD(ROW()-8,4)=1,INDEX(E:E,7+INT((ROW()-8)/4)*2)-INDEX(E:E,6+INT((ROW()-8)/4)*2),IF(MOD(ROW()-8,4)=2,INDEX(E:E,7+INT((ROW()-8)/4)*2),INDEX(E:E,8+INT((ROW()-8)/4)*2))))</f>
        <v>0</v>
      </c>
      <c r="U61" s="14">
        <f>IF(U62&lt;U60,(U62+U60)/2-0.75,0)</f>
        <v>0</v>
      </c>
      <c r="V61" s="14">
        <f>G61-IF(LEN(TEXT(T61,"0"))=1,6.28,IF(LEN(TEXT(T61,"0"))=2,6.55,7.05))</f>
        <v>156.22</v>
      </c>
    </row>
    <row r="62" spans="1:22" x14ac:dyDescent="0.25">
      <c r="A62" s="2"/>
      <c r="B62" s="13">
        <f t="array" ref="B62">-INDEX(A:A,ROUNDUP(ROW(A65)/2,0))</f>
        <v>0</v>
      </c>
      <c r="C62" s="13">
        <v>152.5</v>
      </c>
      <c r="E62" s="2"/>
      <c r="F62" s="13">
        <f t="array" ref="F62">-INDEX(E:E,ROUNDUP(ROW(E66)/2,0))</f>
        <v>0</v>
      </c>
      <c r="G62" s="13">
        <v>152.5</v>
      </c>
      <c r="L62" s="2"/>
      <c r="M62" s="2"/>
      <c r="N62" s="2"/>
      <c r="O62" s="2"/>
      <c r="P62" s="2"/>
      <c r="Q62" s="58">
        <f t="array" ref="Q62">IF(MOD(ROW()-8,4)=0,"",IF(MOD(ROW()-8,4)=1,INDEX(A:A,7+INT((ROW()-8)/4)*2)-INDEX(A:A,6+INT((ROW()-8)/4)*2),IF(MOD(ROW()-8,4)=2,INDEX(A:A,7+INT((ROW()-8)/4)*2),INDEX(A:A,8+INT((ROW()-8)/4)*2))))</f>
        <v>0</v>
      </c>
      <c r="R62" s="14">
        <f>B63</f>
        <v>0</v>
      </c>
      <c r="S62" s="14">
        <f>C63-IF(LEN(TEXT(Q62,"0"))=1,1.25,IF(LEN(TEXT(Q62,"0"))=2,1.525,2.025))</f>
        <v>141.25</v>
      </c>
      <c r="T62" s="59">
        <f t="array" ref="T62">IF(MOD(ROW()-8,4)=0,"",IF(MOD(ROW()-8,4)=1,INDEX(E:E,7+INT((ROW()-8)/4)*2)-INDEX(E:E,6+INT((ROW()-8)/4)*2),IF(MOD(ROW()-8,4)=2,INDEX(E:E,7+INT((ROW()-8)/4)*2),INDEX(E:E,8+INT((ROW()-8)/4)*2))))</f>
        <v>0</v>
      </c>
      <c r="U62" s="14">
        <f t="shared" si="17"/>
        <v>0</v>
      </c>
      <c r="V62" s="14">
        <f>G62-IF(LEN(TEXT(T62,"0"))=1,1.25,IF(LEN(TEXT(T62,"0"))=2,1.525,2.025))</f>
        <v>151.25</v>
      </c>
    </row>
    <row r="63" spans="1:22" x14ac:dyDescent="0.25">
      <c r="A63" s="2"/>
      <c r="B63" s="13">
        <f t="array" ref="B63">-INDEX(A:A,ROUNDUP(ROW(A66)/2,0))</f>
        <v>0</v>
      </c>
      <c r="C63" s="13">
        <v>142.5</v>
      </c>
      <c r="E63" s="2"/>
      <c r="F63" s="13">
        <f t="array" ref="F63">-INDEX(E:E,ROUNDUP(ROW(E67)/2,0))</f>
        <v>0</v>
      </c>
      <c r="G63" s="13">
        <v>152.5</v>
      </c>
      <c r="L63" s="2"/>
      <c r="M63" s="2"/>
      <c r="N63" s="2"/>
      <c r="O63" s="2"/>
      <c r="P63" s="2"/>
      <c r="Q63" s="58">
        <f t="array" ref="Q63">IF(MOD(ROW()-8,4)=0,"",IF(MOD(ROW()-8,4)=1,INDEX(A:A,7+INT((ROW()-8)/4)*2)-INDEX(A:A,6+INT((ROW()-8)/4)*2),IF(MOD(ROW()-8,4)=2,INDEX(A:A,7+INT((ROW()-8)/4)*2),INDEX(A:A,8+INT((ROW()-8)/4)*2))))</f>
        <v>0</v>
      </c>
      <c r="R63" s="14">
        <f>B64-1.5</f>
        <v>-1.5</v>
      </c>
      <c r="S63" s="14">
        <f>C64-IF(LEN(TEXT(Q63,"0"))=1,1.25,IF(LEN(TEXT(Q63,"0"))=2,1.525,2.025))</f>
        <v>141.25</v>
      </c>
      <c r="T63" s="59">
        <f t="array" ref="T63">IF(MOD(ROW()-8,4)=0,"",IF(MOD(ROW()-8,4)=1,INDEX(E:E,7+INT((ROW()-8)/4)*2)-INDEX(E:E,6+INT((ROW()-8)/4)*2),IF(MOD(ROW()-8,4)=2,INDEX(E:E,7+INT((ROW()-8)/4)*2),INDEX(E:E,8+INT((ROW()-8)/4)*2))))</f>
        <v>0</v>
      </c>
      <c r="U63" s="14">
        <f>F63-1.5</f>
        <v>-1.5</v>
      </c>
      <c r="V63" s="14">
        <f>G63-IF(LEN(TEXT(T63,"0"))=1,1.25,IF(LEN(TEXT(T63,"0"))=2,1.525,2.025))</f>
        <v>151.25</v>
      </c>
    </row>
    <row r="64" spans="1:22" x14ac:dyDescent="0.25">
      <c r="A64" s="2"/>
      <c r="B64" s="13">
        <f t="array" ref="B64">-INDEX(A:A,ROUNDUP(ROW(A67)/2,0))</f>
        <v>0</v>
      </c>
      <c r="C64" s="13">
        <v>142.5</v>
      </c>
      <c r="E64" s="2"/>
      <c r="F64" s="13">
        <f t="array" ref="F64">-INDEX(E:E,ROUNDUP(ROW(E68)/2,0))</f>
        <v>0</v>
      </c>
      <c r="G64" s="13">
        <v>162.5</v>
      </c>
      <c r="L64" s="2"/>
      <c r="M64" s="2"/>
      <c r="N64" s="2"/>
      <c r="O64" s="2"/>
      <c r="P64" s="2"/>
      <c r="Q64" s="58">
        <f t="array" ref="Q64">IF(MOD(ROW()-8,4)=0,"",IF(MOD(ROW()-8,4)=1,INDEX(A:A,7+INT((ROW()-8)/4)*2)-INDEX(A:A,6+INT((ROW()-8)/4)*2),IF(MOD(ROW()-8,4)=2,INDEX(A:A,7+INT((ROW()-8)/4)*2),INDEX(A:A,8+INT((ROW()-8)/4)*2))))</f>
      </c>
      <c r="R64" s="14">
        <f>B65</f>
        <v>0</v>
      </c>
      <c r="S64" s="14">
        <f>C65</f>
        <v>152.5</v>
      </c>
      <c r="T64" s="59">
        <f t="array" ref="T64">IF(MOD(ROW()-8,4)=0,"",IF(MOD(ROW()-8,4)=1,INDEX(E:E,7+INT((ROW()-8)/4)*2)-INDEX(E:E,6+INT((ROW()-8)/4)*2),IF(MOD(ROW()-8,4)=2,INDEX(E:E,7+INT((ROW()-8)/4)*2),INDEX(E:E,8+INT((ROW()-8)/4)*2))))</f>
      </c>
      <c r="U64" s="14">
        <f t="shared" si="17"/>
        <v>0</v>
      </c>
      <c r="V64" s="14">
        <f>G64</f>
        <v>162.5</v>
      </c>
    </row>
    <row r="65" spans="1:22" x14ac:dyDescent="0.25">
      <c r="A65" s="2"/>
      <c r="B65" s="13">
        <f t="array" ref="B65">-INDEX(A:A,ROUNDUP(ROW(A68)/2,0))</f>
        <v>0</v>
      </c>
      <c r="C65" s="13">
        <v>152.5</v>
      </c>
      <c r="E65" s="2"/>
      <c r="F65" s="13">
        <f t="array" ref="F65">-INDEX(E:E,ROUNDUP(ROW(E69)/2,0))</f>
        <v>0</v>
      </c>
      <c r="G65" s="13">
        <v>162.5</v>
      </c>
      <c r="L65" s="2"/>
      <c r="M65" s="2"/>
      <c r="N65" s="2"/>
      <c r="O65" s="2"/>
      <c r="P65" s="2"/>
      <c r="Q65" s="58">
        <f t="array" ref="Q65">IF(MOD(ROW()-8,4)=0,"",IF(MOD(ROW()-8,4)=1,INDEX(A:A,7+INT((ROW()-8)/4)*2)-INDEX(A:A,6+INT((ROW()-8)/4)*2),IF(MOD(ROW()-8,4)=2,INDEX(A:A,7+INT((ROW()-8)/4)*2),INDEX(A:A,8+INT((ROW()-8)/4)*2))))</f>
        <v>0</v>
      </c>
      <c r="R65" s="14">
        <f>IF(R66&lt;R64,(R66+R64)/2-0.75,0)</f>
        <v>0</v>
      </c>
      <c r="S65" s="14">
        <f>C66-IF(LEN(TEXT(Q65,"0"))=1,6.28,IF(LEN(TEXT(Q65,"0"))=2,6.55,7.05))</f>
        <v>146.22</v>
      </c>
      <c r="T65" s="59">
        <f t="array" ref="T65">IF(MOD(ROW()-8,4)=0,"",IF(MOD(ROW()-8,4)=1,INDEX(E:E,7+INT((ROW()-8)/4)*2)-INDEX(E:E,6+INT((ROW()-8)/4)*2),IF(MOD(ROW()-8,4)=2,INDEX(E:E,7+INT((ROW()-8)/4)*2),INDEX(E:E,8+INT((ROW()-8)/4)*2))))</f>
        <v>0</v>
      </c>
      <c r="U65" s="14">
        <f>IF(U66&lt;U64,(U66+U64)/2-0.75,0)</f>
        <v>0</v>
      </c>
      <c r="V65" s="14">
        <f>G65-IF(LEN(TEXT(T65,"0"))=1,6.28,IF(LEN(TEXT(T65,"0"))=2,6.55,7.05))</f>
        <v>156.22</v>
      </c>
    </row>
    <row r="66" spans="1:22" x14ac:dyDescent="0.25">
      <c r="A66" s="2"/>
      <c r="B66" s="13">
        <f t="array" ref="B66">-INDEX(A:A,ROUNDUP(ROW(A69)/2,0))</f>
        <v>0</v>
      </c>
      <c r="C66" s="13">
        <v>152.5</v>
      </c>
      <c r="E66" s="2"/>
      <c r="F66" s="13">
        <f t="array" ref="F66">-INDEX(E:E,ROUNDUP(ROW(E70)/2,0))</f>
        <v>0</v>
      </c>
      <c r="G66" s="13">
        <v>152.5</v>
      </c>
      <c r="L66" s="2"/>
      <c r="M66" s="2"/>
      <c r="N66" s="2"/>
      <c r="O66" s="2"/>
      <c r="P66" s="2"/>
      <c r="Q66" s="58">
        <f t="array" ref="Q66">IF(MOD(ROW()-8,4)=0,"",IF(MOD(ROW()-8,4)=1,INDEX(A:A,7+INT((ROW()-8)/4)*2)-INDEX(A:A,6+INT((ROW()-8)/4)*2),IF(MOD(ROW()-8,4)=2,INDEX(A:A,7+INT((ROW()-8)/4)*2),INDEX(A:A,8+INT((ROW()-8)/4)*2))))</f>
        <v>0</v>
      </c>
      <c r="R66" s="14">
        <f>B67</f>
        <v>0</v>
      </c>
      <c r="S66" s="14">
        <f>C67-IF(LEN(TEXT(Q66,"0"))=1,1.25,IF(LEN(TEXT(Q66,"0"))=2,1.525,2.025))</f>
        <v>141.25</v>
      </c>
      <c r="T66" s="59">
        <f t="array" ref="T66">IF(MOD(ROW()-8,4)=0,"",IF(MOD(ROW()-8,4)=1,INDEX(E:E,7+INT((ROW()-8)/4)*2)-INDEX(E:E,6+INT((ROW()-8)/4)*2),IF(MOD(ROW()-8,4)=2,INDEX(E:E,7+INT((ROW()-8)/4)*2),INDEX(E:E,8+INT((ROW()-8)/4)*2))))</f>
        <v>0</v>
      </c>
      <c r="U66" s="14">
        <f t="shared" ref="U66:U70" si="18">F66</f>
        <v>0</v>
      </c>
      <c r="V66" s="14">
        <f>G66-IF(LEN(TEXT(T66,"0"))=1,1.25,IF(LEN(TEXT(T66,"0"))=2,1.525,2.025))</f>
        <v>151.25</v>
      </c>
    </row>
    <row r="67" spans="1:22" x14ac:dyDescent="0.25">
      <c r="A67" s="2"/>
      <c r="B67" s="13">
        <f t="array" ref="B67">-INDEX(A:A,ROUNDUP(ROW(A70)/2,0))</f>
        <v>0</v>
      </c>
      <c r="C67" s="13">
        <v>142.5</v>
      </c>
      <c r="E67" s="2"/>
      <c r="F67" s="13">
        <f t="array" ref="F67">-INDEX(E:E,ROUNDUP(ROW(E71)/2,0))</f>
        <v>0</v>
      </c>
      <c r="G67" s="13">
        <v>152.5</v>
      </c>
      <c r="L67" s="2"/>
      <c r="M67" s="2"/>
      <c r="N67" s="2"/>
      <c r="O67" s="2"/>
      <c r="P67" s="2"/>
      <c r="Q67" s="58">
        <f t="array" ref="Q67">IF(MOD(ROW()-8,4)=0,"",IF(MOD(ROW()-8,4)=1,INDEX(A:A,7+INT((ROW()-8)/4)*2)-INDEX(A:A,6+INT((ROW()-8)/4)*2),IF(MOD(ROW()-8,4)=2,INDEX(A:A,7+INT((ROW()-8)/4)*2),INDEX(A:A,8+INT((ROW()-8)/4)*2))))</f>
        <v>0</v>
      </c>
      <c r="R67" s="14">
        <f>B68-1.5</f>
        <v>-1.5</v>
      </c>
      <c r="S67" s="14">
        <f>C68-IF(LEN(TEXT(Q67,"0"))=1,1.25,IF(LEN(TEXT(Q67,"0"))=2,1.525,2.025))</f>
        <v>141.25</v>
      </c>
      <c r="T67" s="59">
        <f t="array" ref="T67">IF(MOD(ROW()-8,4)=0,"",IF(MOD(ROW()-8,4)=1,INDEX(E:E,7+INT((ROW()-8)/4)*2)-INDEX(E:E,6+INT((ROW()-8)/4)*2),IF(MOD(ROW()-8,4)=2,INDEX(E:E,7+INT((ROW()-8)/4)*2),INDEX(E:E,8+INT((ROW()-8)/4)*2))))</f>
        <v>0</v>
      </c>
      <c r="U67" s="14">
        <f>F67-1.5</f>
        <v>-1.5</v>
      </c>
      <c r="V67" s="14">
        <f>G67-IF(LEN(TEXT(T67,"0"))=1,1.25,IF(LEN(TEXT(T67,"0"))=2,1.525,2.025))</f>
        <v>151.25</v>
      </c>
    </row>
    <row r="68" spans="1:22" x14ac:dyDescent="0.25">
      <c r="A68" s="2"/>
      <c r="B68" s="13">
        <f t="array" ref="B68">-INDEX(A:A,ROUNDUP(ROW(A71)/2,0))</f>
        <v>0</v>
      </c>
      <c r="C68" s="13">
        <v>142.5</v>
      </c>
      <c r="E68" s="2"/>
      <c r="F68" s="13">
        <f t="array" ref="F68">-INDEX(E:E,ROUNDUP(ROW(E72)/2,0))</f>
        <v>0</v>
      </c>
      <c r="G68" s="13">
        <v>162.5</v>
      </c>
      <c r="L68" s="2"/>
      <c r="M68" s="2"/>
      <c r="N68" s="2"/>
      <c r="O68" s="2"/>
      <c r="P68" s="2"/>
      <c r="Q68" s="58">
        <f t="array" ref="Q68">IF(MOD(ROW()-8,4)=0,"",IF(MOD(ROW()-8,4)=1,INDEX(A:A,7+INT((ROW()-8)/4)*2)-INDEX(A:A,6+INT((ROW()-8)/4)*2),IF(MOD(ROW()-8,4)=2,INDEX(A:A,7+INT((ROW()-8)/4)*2),INDEX(A:A,8+INT((ROW()-8)/4)*2))))</f>
      </c>
      <c r="R68" s="14">
        <f>B69</f>
        <v>0</v>
      </c>
      <c r="S68" s="14">
        <f>C69</f>
        <v>152.5</v>
      </c>
      <c r="T68" s="59">
        <f t="array" ref="T68">IF(MOD(ROW()-8,4)=0,"",IF(MOD(ROW()-8,4)=1,INDEX(E:E,7+INT((ROW()-8)/4)*2)-INDEX(E:E,6+INT((ROW()-8)/4)*2),IF(MOD(ROW()-8,4)=2,INDEX(E:E,7+INT((ROW()-8)/4)*2),INDEX(E:E,8+INT((ROW()-8)/4)*2))))</f>
      </c>
      <c r="U68" s="14">
        <f t="shared" si="18"/>
        <v>0</v>
      </c>
      <c r="V68" s="14">
        <f>G68</f>
        <v>162.5</v>
      </c>
    </row>
    <row r="69" spans="1:22" x14ac:dyDescent="0.25">
      <c r="A69" s="2"/>
      <c r="B69" s="13">
        <f t="array" ref="B69">-INDEX(A:A,ROUNDUP(ROW(A72)/2,0))</f>
        <v>0</v>
      </c>
      <c r="C69" s="13">
        <v>152.5</v>
      </c>
      <c r="E69" s="2"/>
      <c r="F69" s="13">
        <f t="array" ref="F69">-INDEX(E:E,ROUNDUP(ROW(E73)/2,0))</f>
        <v>0</v>
      </c>
      <c r="G69" s="13">
        <v>162.5</v>
      </c>
      <c r="L69" s="2"/>
      <c r="M69" s="2"/>
      <c r="N69" s="2"/>
      <c r="O69" s="2"/>
      <c r="P69" s="2"/>
      <c r="Q69" s="58">
        <f t="array" ref="Q69">IF(MOD(ROW()-8,4)=0,"",IF(MOD(ROW()-8,4)=1,INDEX(A:A,7+INT((ROW()-8)/4)*2)-INDEX(A:A,6+INT((ROW()-8)/4)*2),IF(MOD(ROW()-8,4)=2,INDEX(A:A,7+INT((ROW()-8)/4)*2),INDEX(A:A,8+INT((ROW()-8)/4)*2))))</f>
        <v>0</v>
      </c>
      <c r="R69" s="14">
        <f>IF(R70&lt;R68,(R70+R68)/2-0.75,0)</f>
        <v>0</v>
      </c>
      <c r="S69" s="14">
        <f>C70-IF(LEN(TEXT(Q69,"0"))=1,6.28,IF(LEN(TEXT(Q69,"0"))=2,6.55,7.05))</f>
        <v>146.22</v>
      </c>
      <c r="T69" s="59">
        <f t="array" ref="T69">IF(MOD(ROW()-8,4)=0,"",IF(MOD(ROW()-8,4)=1,INDEX(E:E,7+INT((ROW()-8)/4)*2)-INDEX(E:E,6+INT((ROW()-8)/4)*2),IF(MOD(ROW()-8,4)=2,INDEX(E:E,7+INT((ROW()-8)/4)*2),INDEX(E:E,8+INT((ROW()-8)/4)*2))))</f>
        <v>0</v>
      </c>
      <c r="U69" s="14">
        <f>IF(U70&lt;U68,(U70+U68)/2-0.75,0)</f>
        <v>0</v>
      </c>
      <c r="V69" s="14">
        <f>G69-IF(LEN(TEXT(T69,"0"))=1,6.28,IF(LEN(TEXT(T69,"0"))=2,6.55,7.05))</f>
        <v>156.22</v>
      </c>
    </row>
    <row r="70" spans="1:22" x14ac:dyDescent="0.25">
      <c r="A70" s="2"/>
      <c r="B70" s="13">
        <f t="array" ref="B70">-INDEX(A:A,ROUNDUP(ROW(A73)/2,0))</f>
        <v>0</v>
      </c>
      <c r="C70" s="13">
        <v>152.5</v>
      </c>
      <c r="E70" s="2"/>
      <c r="F70" s="13">
        <f t="array" ref="F70">-INDEX(E:E,ROUNDUP(ROW(E74)/2,0))</f>
        <v>0</v>
      </c>
      <c r="G70" s="13">
        <v>152.5</v>
      </c>
      <c r="L70" s="2"/>
      <c r="M70" s="2"/>
      <c r="N70" s="2"/>
      <c r="O70" s="2"/>
      <c r="P70" s="2"/>
      <c r="Q70" s="58">
        <f t="array" ref="Q70">IF(MOD(ROW()-8,4)=0,"",IF(MOD(ROW()-8,4)=1,INDEX(A:A,7+INT((ROW()-8)/4)*2)-INDEX(A:A,6+INT((ROW()-8)/4)*2),IF(MOD(ROW()-8,4)=2,INDEX(A:A,7+INT((ROW()-8)/4)*2),INDEX(A:A,8+INT((ROW()-8)/4)*2))))</f>
        <v>0</v>
      </c>
      <c r="R70" s="14">
        <f>B71</f>
        <v>0</v>
      </c>
      <c r="S70" s="14">
        <f>C71-IF(LEN(TEXT(Q70,"0"))=1,1.25,IF(LEN(TEXT(Q70,"0"))=2,1.525,2.025))</f>
        <v>141.25</v>
      </c>
      <c r="T70" s="59">
        <f t="array" ref="T70">IF(MOD(ROW()-8,4)=0,"",IF(MOD(ROW()-8,4)=1,INDEX(E:E,7+INT((ROW()-8)/4)*2)-INDEX(E:E,6+INT((ROW()-8)/4)*2),IF(MOD(ROW()-8,4)=2,INDEX(E:E,7+INT((ROW()-8)/4)*2),INDEX(E:E,8+INT((ROW()-8)/4)*2))))</f>
        <v>0</v>
      </c>
      <c r="U70" s="14">
        <f t="shared" si="18"/>
        <v>0</v>
      </c>
      <c r="V70" s="14">
        <f>G70-IF(LEN(TEXT(T70,"0"))=1,1.25,IF(LEN(TEXT(T70,"0"))=2,1.525,2.025))</f>
        <v>151.25</v>
      </c>
    </row>
    <row r="71" spans="1:22" x14ac:dyDescent="0.25">
      <c r="A71" s="2"/>
      <c r="B71" s="13">
        <f t="array" ref="B71">-INDEX(A:A,ROUNDUP(ROW(A74)/2,0))</f>
        <v>0</v>
      </c>
      <c r="C71" s="13">
        <v>142.5</v>
      </c>
      <c r="E71" s="2"/>
      <c r="F71" s="13">
        <f t="array" ref="F71">-INDEX(E:E,ROUNDUP(ROW(E75)/2,0))</f>
        <v>0</v>
      </c>
      <c r="G71" s="13">
        <v>152.5</v>
      </c>
      <c r="L71" s="2"/>
      <c r="M71" s="2"/>
      <c r="N71" s="2"/>
      <c r="O71" s="2"/>
      <c r="P71" s="2"/>
      <c r="Q71" s="58">
        <f t="array" ref="Q71">IF(MOD(ROW()-8,4)=0,"",IF(MOD(ROW()-8,4)=1,INDEX(A:A,7+INT((ROW()-8)/4)*2)-INDEX(A:A,6+INT((ROW()-8)/4)*2),IF(MOD(ROW()-8,4)=2,INDEX(A:A,7+INT((ROW()-8)/4)*2),INDEX(A:A,8+INT((ROW()-8)/4)*2))))</f>
        <v>0</v>
      </c>
      <c r="R71" s="14">
        <f>B72-1.5</f>
        <v>-1.5</v>
      </c>
      <c r="S71" s="14">
        <f>C72-IF(LEN(TEXT(Q71,"0"))=1,1.25,IF(LEN(TEXT(Q71,"0"))=2,1.525,2.025))</f>
        <v>141.25</v>
      </c>
      <c r="T71" s="59">
        <f t="array" ref="T71">IF(MOD(ROW()-8,4)=0,"",IF(MOD(ROW()-8,4)=1,INDEX(E:E,7+INT((ROW()-8)/4)*2)-INDEX(E:E,6+INT((ROW()-8)/4)*2),IF(MOD(ROW()-8,4)=2,INDEX(E:E,7+INT((ROW()-8)/4)*2),INDEX(E:E,8+INT((ROW()-8)/4)*2))))</f>
        <v>0</v>
      </c>
      <c r="U71" s="14">
        <f>F71-1.5</f>
        <v>-1.5</v>
      </c>
      <c r="V71" s="14">
        <f>G71-IF(LEN(TEXT(T71,"0"))=1,1.25,IF(LEN(TEXT(T71,"0"))=2,1.525,2.025))</f>
        <v>151.25</v>
      </c>
    </row>
    <row r="72" spans="1:22" x14ac:dyDescent="0.25">
      <c r="A72" s="2"/>
      <c r="B72" s="13">
        <f t="array" ref="B72">-INDEX(A:A,ROUNDUP(ROW(A75)/2,0))</f>
        <v>0</v>
      </c>
      <c r="C72" s="13">
        <v>142.5</v>
      </c>
      <c r="E72" s="2"/>
      <c r="F72" s="13">
        <f t="array" ref="F72">-INDEX(E:E,ROUNDUP(ROW(E76)/2,0))</f>
        <v>0</v>
      </c>
      <c r="G72" s="13">
        <v>162.5</v>
      </c>
      <c r="L72" s="2"/>
      <c r="M72" s="2"/>
      <c r="N72" s="2"/>
      <c r="O72" s="2"/>
      <c r="P72" s="2"/>
      <c r="Q72" s="58">
        <f t="array" ref="Q72">IF(MOD(ROW()-8,4)=0,"",IF(MOD(ROW()-8,4)=1,INDEX(A:A,7+INT((ROW()-8)/4)*2)-INDEX(A:A,6+INT((ROW()-8)/4)*2),IF(MOD(ROW()-8,4)=2,INDEX(A:A,7+INT((ROW()-8)/4)*2),INDEX(A:A,8+INT((ROW()-8)/4)*2))))</f>
      </c>
      <c r="R72" s="14">
        <f>B73</f>
        <v>0</v>
      </c>
      <c r="S72" s="14">
        <f>C73</f>
        <v>152.5</v>
      </c>
      <c r="T72" s="59">
        <f t="array" ref="T72">IF(MOD(ROW()-8,4)=0,"",IF(MOD(ROW()-8,4)=1,INDEX(E:E,7+INT((ROW()-8)/4)*2)-INDEX(E:E,6+INT((ROW()-8)/4)*2),IF(MOD(ROW()-8,4)=2,INDEX(E:E,7+INT((ROW()-8)/4)*2),INDEX(E:E,8+INT((ROW()-8)/4)*2))))</f>
      </c>
      <c r="U72" s="14">
        <f t="shared" ref="U72:U76" si="19">F72</f>
        <v>0</v>
      </c>
      <c r="V72" s="14">
        <f>G72</f>
        <v>162.5</v>
      </c>
    </row>
    <row r="73" spans="1:22" x14ac:dyDescent="0.25">
      <c r="A73" s="2"/>
      <c r="B73" s="13">
        <f t="array" ref="B73">-INDEX(A:A,ROUNDUP(ROW(A76)/2,0))</f>
        <v>0</v>
      </c>
      <c r="C73" s="13">
        <v>152.5</v>
      </c>
      <c r="E73" s="2"/>
      <c r="F73" s="13">
        <f t="array" ref="F73">-INDEX(E:E,ROUNDUP(ROW(E77)/2,0))</f>
        <v>0</v>
      </c>
      <c r="G73" s="13">
        <v>162.5</v>
      </c>
      <c r="L73" s="2"/>
      <c r="M73" s="2"/>
      <c r="N73" s="2"/>
      <c r="O73" s="2"/>
      <c r="P73" s="2"/>
      <c r="Q73" s="58">
        <f t="array" ref="Q73">IF(MOD(ROW()-8,4)=0,"",IF(MOD(ROW()-8,4)=1,INDEX(A:A,7+INT((ROW()-8)/4)*2)-INDEX(A:A,6+INT((ROW()-8)/4)*2),IF(MOD(ROW()-8,4)=2,INDEX(A:A,7+INT((ROW()-8)/4)*2),INDEX(A:A,8+INT((ROW()-8)/4)*2))))</f>
        <v>0</v>
      </c>
      <c r="R73" s="14">
        <f>IF(R74&lt;R72,(R74+R72)/2-0.75,0)</f>
        <v>0</v>
      </c>
      <c r="S73" s="14">
        <f>C74-IF(LEN(TEXT(Q73,"0"))=1,6.28,IF(LEN(TEXT(Q73,"0"))=2,6.55,7.05))</f>
        <v>146.22</v>
      </c>
      <c r="T73" s="59">
        <f t="array" ref="T73">IF(MOD(ROW()-8,4)=0,"",IF(MOD(ROW()-8,4)=1,INDEX(E:E,7+INT((ROW()-8)/4)*2)-INDEX(E:E,6+INT((ROW()-8)/4)*2),IF(MOD(ROW()-8,4)=2,INDEX(E:E,7+INT((ROW()-8)/4)*2),INDEX(E:E,8+INT((ROW()-8)/4)*2))))</f>
        <v>0</v>
      </c>
      <c r="U73" s="14">
        <f>IF(U74&lt;U72,(U74+U72)/2-0.75,0)</f>
        <v>0</v>
      </c>
      <c r="V73" s="14">
        <f>G73-IF(LEN(TEXT(T73,"0"))=1,6.28,IF(LEN(TEXT(T73,"0"))=2,6.55,7.05))</f>
        <v>156.22</v>
      </c>
    </row>
    <row r="74" spans="1:22" x14ac:dyDescent="0.25">
      <c r="A74" s="2"/>
      <c r="B74" s="13">
        <f t="array" ref="B74">-INDEX(A:A,ROUNDUP(ROW(A77)/2,0))</f>
        <v>0</v>
      </c>
      <c r="C74" s="13">
        <v>152.5</v>
      </c>
      <c r="E74" s="2"/>
      <c r="F74" s="13">
        <f t="array" ref="F74">-INDEX(E:E,ROUNDUP(ROW(E78)/2,0))</f>
        <v>0</v>
      </c>
      <c r="G74" s="13">
        <v>152.5</v>
      </c>
      <c r="L74" s="2"/>
      <c r="M74" s="2"/>
      <c r="N74" s="2"/>
      <c r="O74" s="2"/>
      <c r="P74" s="2"/>
      <c r="Q74" s="58">
        <f t="array" ref="Q74">IF(MOD(ROW()-8,4)=0,"",IF(MOD(ROW()-8,4)=1,INDEX(A:A,7+INT((ROW()-8)/4)*2)-INDEX(A:A,6+INT((ROW()-8)/4)*2),IF(MOD(ROW()-8,4)=2,INDEX(A:A,7+INT((ROW()-8)/4)*2),INDEX(A:A,8+INT((ROW()-8)/4)*2))))</f>
        <v>0</v>
      </c>
      <c r="R74" s="14">
        <f>B75</f>
        <v>0</v>
      </c>
      <c r="S74" s="14">
        <f>C75-IF(LEN(TEXT(Q74,"0"))=1,1.25,IF(LEN(TEXT(Q74,"0"))=2,1.525,2.025))</f>
        <v>141.25</v>
      </c>
      <c r="T74" s="59">
        <f t="array" ref="T74">IF(MOD(ROW()-8,4)=0,"",IF(MOD(ROW()-8,4)=1,INDEX(E:E,7+INT((ROW()-8)/4)*2)-INDEX(E:E,6+INT((ROW()-8)/4)*2),IF(MOD(ROW()-8,4)=2,INDEX(E:E,7+INT((ROW()-8)/4)*2),INDEX(E:E,8+INT((ROW()-8)/4)*2))))</f>
        <v>0</v>
      </c>
      <c r="U74" s="14">
        <f t="shared" si="19"/>
        <v>0</v>
      </c>
      <c r="V74" s="14">
        <f>G74-IF(LEN(TEXT(T74,"0"))=1,1.25,IF(LEN(TEXT(T74,"0"))=2,1.525,2.025))</f>
        <v>151.25</v>
      </c>
    </row>
    <row r="75" spans="1:22" x14ac:dyDescent="0.25">
      <c r="A75" s="2"/>
      <c r="B75" s="13">
        <f t="array" ref="B75">-INDEX(A:A,ROUNDUP(ROW(A78)/2,0))</f>
        <v>0</v>
      </c>
      <c r="C75" s="13">
        <v>142.5</v>
      </c>
      <c r="E75" s="2"/>
      <c r="F75" s="13">
        <f t="array" ref="F75">-INDEX(E:E,ROUNDUP(ROW(E79)/2,0))</f>
        <v>0</v>
      </c>
      <c r="G75" s="13">
        <v>152.5</v>
      </c>
      <c r="L75" s="2"/>
      <c r="M75" s="2"/>
      <c r="N75" s="2"/>
      <c r="O75" s="2"/>
      <c r="P75" s="2"/>
      <c r="Q75" s="58">
        <f t="array" ref="Q75">IF(MOD(ROW()-8,4)=0,"",IF(MOD(ROW()-8,4)=1,INDEX(A:A,7+INT((ROW()-8)/4)*2)-INDEX(A:A,6+INT((ROW()-8)/4)*2),IF(MOD(ROW()-8,4)=2,INDEX(A:A,7+INT((ROW()-8)/4)*2),INDEX(A:A,8+INT((ROW()-8)/4)*2))))</f>
        <v>0</v>
      </c>
      <c r="R75" s="14">
        <f>IF(R76&lt;R74,(R76+R74)/2-0.75,0)</f>
        <v>0</v>
      </c>
      <c r="S75" s="14">
        <f>C76-IF(LEN(TEXT(Q75,"0"))=1,1.25,IF(LEN(TEXT(Q75,"0"))=2,1.525,2.025))</f>
        <v>141.25</v>
      </c>
      <c r="T75" s="59">
        <f t="array" ref="T75">IF(MOD(ROW()-8,4)=0,"",IF(MOD(ROW()-8,4)=1,INDEX(E:E,7+INT((ROW()-8)/4)*2)-INDEX(E:E,6+INT((ROW()-8)/4)*2),IF(MOD(ROW()-8,4)=2,INDEX(E:E,7+INT((ROW()-8)/4)*2),INDEX(E:E,8+INT((ROW()-8)/4)*2))))</f>
        <v>0</v>
      </c>
      <c r="U75" s="14">
        <f>F75-1.5</f>
        <v>-1.5</v>
      </c>
      <c r="V75" s="14">
        <f>G75-IF(LEN(TEXT(T75,"0"))=1,1.25,IF(LEN(TEXT(T75,"0"))=2,1.525,2.025))</f>
        <v>151.25</v>
      </c>
    </row>
    <row r="76" spans="1:22" x14ac:dyDescent="0.25">
      <c r="A76" s="2"/>
      <c r="B76" s="13">
        <f t="array" ref="B76">-INDEX(A:A,ROUNDUP(ROW(A79)/2,0))</f>
        <v>0</v>
      </c>
      <c r="C76" s="13">
        <v>142.5</v>
      </c>
      <c r="E76" s="2"/>
      <c r="F76" s="13">
        <f t="array" ref="F76">-INDEX(E:E,ROUNDUP(ROW(E80)/2,0))</f>
        <v>0</v>
      </c>
      <c r="G76" s="13">
        <v>162.5</v>
      </c>
      <c r="L76" s="2"/>
      <c r="M76" s="2"/>
      <c r="N76" s="2"/>
      <c r="O76" s="2"/>
      <c r="P76" s="2"/>
      <c r="Q76" s="58">
        <f t="array" ref="Q76">IF(MOD(ROW()-8,4)=0,"",IF(MOD(ROW()-8,4)=1,INDEX(A:A,7+INT((ROW()-8)/4)*2)-INDEX(A:A,6+INT((ROW()-8)/4)*2),IF(MOD(ROW()-8,4)=2,INDEX(A:A,7+INT((ROW()-8)/4)*2),INDEX(A:A,8+INT((ROW()-8)/4)*2))))</f>
      </c>
      <c r="R76" s="14">
        <f>B77</f>
        <v>0</v>
      </c>
      <c r="S76" s="14">
        <f>C77</f>
        <v>152.5</v>
      </c>
      <c r="T76" s="59">
        <f t="array" ref="T76">IF(MOD(ROW()-8,4)=0,"",IF(MOD(ROW()-8,4)=1,INDEX(E:E,7+INT((ROW()-8)/4)*2)-INDEX(E:E,6+INT((ROW()-8)/4)*2),IF(MOD(ROW()-8,4)=2,INDEX(E:E,7+INT((ROW()-8)/4)*2),INDEX(E:E,8+INT((ROW()-8)/4)*2))))</f>
      </c>
      <c r="U76" s="14">
        <f t="shared" si="19"/>
        <v>0</v>
      </c>
      <c r="V76" s="14">
        <f>G76</f>
        <v>162.5</v>
      </c>
    </row>
    <row r="77" spans="1:22" x14ac:dyDescent="0.25">
      <c r="A77" s="2"/>
      <c r="B77" s="13">
        <f t="array" ref="B77">-INDEX(A:A,ROUNDUP(ROW(A80)/2,0))</f>
        <v>0</v>
      </c>
      <c r="C77" s="13">
        <v>152.5</v>
      </c>
      <c r="E77" s="2"/>
      <c r="F77" s="13">
        <f t="array" ref="F77">-INDEX(E:E,ROUNDUP(ROW(E81)/2,0))</f>
        <v>0</v>
      </c>
      <c r="G77" s="13">
        <v>162.5</v>
      </c>
      <c r="L77" s="2"/>
      <c r="M77" s="2"/>
      <c r="N77" s="2"/>
      <c r="O77" s="2"/>
      <c r="P77" s="2"/>
      <c r="Q77" s="58">
        <f t="array" ref="Q77">IF(MOD(ROW()-8,4)=0,"",IF(MOD(ROW()-8,4)=1,INDEX(A:A,7+INT((ROW()-8)/4)*2)-INDEX(A:A,6+INT((ROW()-8)/4)*2),IF(MOD(ROW()-8,4)=2,INDEX(A:A,7+INT((ROW()-8)/4)*2),INDEX(A:A,8+INT((ROW()-8)/4)*2))))</f>
        <v>0</v>
      </c>
      <c r="R77" s="14">
        <f>B78-1.5</f>
        <v>-1.5</v>
      </c>
      <c r="S77" s="14">
        <f>C78-IF(LEN(TEXT(Q77,"0"))=1,6.28,IF(LEN(TEXT(Q77,"0"))=2,6.55,7.05))</f>
        <v>146.22</v>
      </c>
      <c r="T77" s="59">
        <f t="array" ref="T77">IF(MOD(ROW()-8,4)=0,"",IF(MOD(ROW()-8,4)=1,INDEX(E:E,7+INT((ROW()-8)/4)*2)-INDEX(E:E,6+INT((ROW()-8)/4)*2),IF(MOD(ROW()-8,4)=2,INDEX(E:E,7+INT((ROW()-8)/4)*2),INDEX(E:E,8+INT((ROW()-8)/4)*2))))</f>
        <v>0</v>
      </c>
      <c r="U77" s="14">
        <f>IF(U78&lt;U76,(U78+U76)/2-0.75,0)</f>
        <v>0</v>
      </c>
      <c r="V77" s="14">
        <f>G77-IF(LEN(TEXT(T77,"0"))=1,6.28,IF(LEN(TEXT(T77,"0"))=2,6.55,7.05))</f>
        <v>156.22</v>
      </c>
    </row>
    <row r="78" spans="1:22" x14ac:dyDescent="0.25">
      <c r="A78" s="2"/>
      <c r="B78" s="13">
        <f t="array" ref="B78">-INDEX(A:A,ROUNDUP(ROW(A81)/2,0))</f>
        <v>0</v>
      </c>
      <c r="C78" s="13">
        <v>152.5</v>
      </c>
      <c r="E78" s="2"/>
      <c r="F78" s="13">
        <f t="array" ref="F78">-INDEX(E:E,ROUNDUP(ROW(E82)/2,0))</f>
        <v>0</v>
      </c>
      <c r="G78" s="13">
        <v>152.5</v>
      </c>
      <c r="L78" s="2"/>
      <c r="M78" s="2"/>
      <c r="N78" s="2"/>
      <c r="O78" s="2"/>
      <c r="P78" s="2"/>
      <c r="Q78" s="58">
        <f t="array" ref="Q78">IF(MOD(ROW()-8,4)=0,"",IF(MOD(ROW()-8,4)=1,INDEX(A:A,7+INT((ROW()-8)/4)*2)-INDEX(A:A,6+INT((ROW()-8)/4)*2),IF(MOD(ROW()-8,4)=2,INDEX(A:A,7+INT((ROW()-8)/4)*2),INDEX(A:A,8+INT((ROW()-8)/4)*2))))</f>
        <v>0</v>
      </c>
      <c r="R78" s="14">
        <f>B79</f>
        <v>0</v>
      </c>
      <c r="S78" s="14">
        <f>C79-IF(LEN(TEXT(Q78,"0"))=1,1.25,IF(LEN(TEXT(Q78,"0"))=2,1.525,2.025))</f>
        <v>141.25</v>
      </c>
      <c r="T78" s="59">
        <f t="array" ref="T78">IF(MOD(ROW()-8,4)=0,"",IF(MOD(ROW()-8,4)=1,INDEX(E:E,7+INT((ROW()-8)/4)*2)-INDEX(E:E,6+INT((ROW()-8)/4)*2),IF(MOD(ROW()-8,4)=2,INDEX(E:E,7+INT((ROW()-8)/4)*2),INDEX(E:E,8+INT((ROW()-8)/4)*2))))</f>
        <v>0</v>
      </c>
      <c r="U78" s="14">
        <f t="shared" ref="U78:U82" si="20">F78</f>
        <v>0</v>
      </c>
      <c r="V78" s="14">
        <f>G78-IF(LEN(TEXT(T78,"0"))=1,1.25,IF(LEN(TEXT(T78,"0"))=2,1.525,2.025))</f>
        <v>151.25</v>
      </c>
    </row>
    <row r="79" spans="1:22" x14ac:dyDescent="0.25">
      <c r="A79" s="2"/>
      <c r="B79" s="13">
        <f t="array" ref="B79">-INDEX(A:A,ROUNDUP(ROW(A82)/2,0))</f>
        <v>0</v>
      </c>
      <c r="C79" s="13">
        <v>142.5</v>
      </c>
      <c r="E79" s="2"/>
      <c r="F79" s="13">
        <f t="array" ref="F79">-INDEX(E:E,ROUNDUP(ROW(E83)/2,0))</f>
        <v>0</v>
      </c>
      <c r="G79" s="13">
        <v>152.5</v>
      </c>
      <c r="L79" s="2"/>
      <c r="M79" s="2"/>
      <c r="N79" s="2"/>
      <c r="O79" s="2"/>
      <c r="P79" s="2"/>
      <c r="Q79" s="58">
        <f t="array" ref="Q79">IF(MOD(ROW()-8,4)=0,"",IF(MOD(ROW()-8,4)=1,INDEX(A:A,7+INT((ROW()-8)/4)*2)-INDEX(A:A,6+INT((ROW()-8)/4)*2),IF(MOD(ROW()-8,4)=2,INDEX(A:A,7+INT((ROW()-8)/4)*2),INDEX(A:A,8+INT((ROW()-8)/4)*2))))</f>
        <v>0</v>
      </c>
      <c r="R79" s="14">
        <f>IF(R80&lt;R78,(R80+R78)/2-0.75,0)</f>
        <v>0</v>
      </c>
      <c r="S79" s="14">
        <f>C80-IF(LEN(TEXT(Q79,"0"))=1,1.25,IF(LEN(TEXT(Q79,"0"))=2,1.525,2.025))</f>
        <v>141.25</v>
      </c>
      <c r="T79" s="59">
        <f t="array" ref="T79">IF(MOD(ROW()-8,4)=0,"",IF(MOD(ROW()-8,4)=1,INDEX(E:E,7+INT((ROW()-8)/4)*2)-INDEX(E:E,6+INT((ROW()-8)/4)*2),IF(MOD(ROW()-8,4)=2,INDEX(E:E,7+INT((ROW()-8)/4)*2),INDEX(E:E,8+INT((ROW()-8)/4)*2))))</f>
        <v>0</v>
      </c>
      <c r="U79" s="14">
        <f>F79-1.5</f>
        <v>-1.5</v>
      </c>
      <c r="V79" s="14">
        <f>G79-IF(LEN(TEXT(T79,"0"))=1,1.25,IF(LEN(TEXT(T79,"0"))=2,1.525,2.025))</f>
        <v>151.25</v>
      </c>
    </row>
    <row r="80" spans="1:22" x14ac:dyDescent="0.25">
      <c r="A80" s="2"/>
      <c r="B80" s="13">
        <f t="array" ref="B80">-INDEX(A:A,ROUNDUP(ROW(A83)/2,0))</f>
        <v>0</v>
      </c>
      <c r="C80" s="13">
        <v>142.5</v>
      </c>
      <c r="E80" s="2"/>
      <c r="F80" s="13">
        <f t="array" ref="F80">-INDEX(E:E,ROUNDUP(ROW(E84)/2,0))</f>
        <v>0</v>
      </c>
      <c r="G80" s="13">
        <v>162.5</v>
      </c>
      <c r="L80" s="2"/>
      <c r="M80" s="2"/>
      <c r="N80" s="2"/>
      <c r="O80" s="2"/>
      <c r="P80" s="2"/>
      <c r="Q80" s="58">
        <f t="array" ref="Q80">IF(MOD(ROW()-8,4)=0,"",IF(MOD(ROW()-8,4)=1,INDEX(A:A,7+INT((ROW()-8)/4)*2)-INDEX(A:A,6+INT((ROW()-8)/4)*2),IF(MOD(ROW()-8,4)=2,INDEX(A:A,7+INT((ROW()-8)/4)*2),INDEX(A:A,8+INT((ROW()-8)/4)*2))))</f>
      </c>
      <c r="R80" s="14">
        <f>B81</f>
        <v>0</v>
      </c>
      <c r="S80" s="14">
        <f>C81</f>
        <v>152.5</v>
      </c>
      <c r="T80" s="59">
        <f t="array" ref="T80">IF(MOD(ROW()-8,4)=0,"",IF(MOD(ROW()-8,4)=1,INDEX(E:E,7+INT((ROW()-8)/4)*2)-INDEX(E:E,6+INT((ROW()-8)/4)*2),IF(MOD(ROW()-8,4)=2,INDEX(E:E,7+INT((ROW()-8)/4)*2),INDEX(E:E,8+INT((ROW()-8)/4)*2))))</f>
      </c>
      <c r="U80" s="14">
        <f t="shared" si="20"/>
        <v>0</v>
      </c>
      <c r="V80" s="14">
        <f>G80</f>
        <v>162.5</v>
      </c>
    </row>
    <row r="81" spans="1:22" x14ac:dyDescent="0.25">
      <c r="A81" s="2"/>
      <c r="B81" s="13">
        <f t="array" ref="B81">-INDEX(A:A,ROUNDUP(ROW(A84)/2,0))</f>
        <v>0</v>
      </c>
      <c r="C81" s="13">
        <v>152.5</v>
      </c>
      <c r="E81" s="2"/>
      <c r="F81" s="13">
        <f t="array" ref="F81">-INDEX(E:E,ROUNDUP(ROW(E85)/2,0))</f>
        <v>0</v>
      </c>
      <c r="G81" s="13">
        <v>162.5</v>
      </c>
      <c r="L81" s="2"/>
      <c r="M81" s="2"/>
      <c r="N81" s="2"/>
      <c r="O81" s="2"/>
      <c r="P81" s="2"/>
      <c r="Q81" s="58">
        <f t="array" ref="Q81">IF(MOD(ROW()-8,4)=0,"",IF(MOD(ROW()-8,4)=1,INDEX(A:A,7+INT((ROW()-8)/4)*2)-INDEX(A:A,6+INT((ROW()-8)/4)*2),IF(MOD(ROW()-8,4)=2,INDEX(A:A,7+INT((ROW()-8)/4)*2),INDEX(A:A,8+INT((ROW()-8)/4)*2))))</f>
        <v>0</v>
      </c>
      <c r="R81" s="14">
        <f>IF(R82&lt;R80,(R82+R80)/2-0.75,0)</f>
        <v>0</v>
      </c>
      <c r="S81" s="14" t="e">
        <f>#REF!-IF(LEN(TEXT(Q81,"0"))=1,6.28,IF(LEN(TEXT(Q81,"0"))=2,6.55,7.05))</f>
        <v>#REF!</v>
      </c>
      <c r="T81" s="59">
        <f t="array" ref="T81">IF(MOD(ROW()-8,4)=0,"",IF(MOD(ROW()-8,4)=1,INDEX(E:E,7+INT((ROW()-8)/4)*2)-INDEX(E:E,6+INT((ROW()-8)/4)*2),IF(MOD(ROW()-8,4)=2,INDEX(E:E,7+INT((ROW()-8)/4)*2),INDEX(E:E,8+INT((ROW()-8)/4)*2))))</f>
        <v>0</v>
      </c>
      <c r="U81" s="14">
        <f>IF(U82&lt;U80,(U82+U80)/2-0.75,0)</f>
        <v>0</v>
      </c>
      <c r="V81" s="14">
        <f>G81-IF(LEN(TEXT(T81,"0"))=1,6.28,IF(LEN(TEXT(T81,"0"))=2,6.55,7.05))</f>
        <v>156.22</v>
      </c>
    </row>
    <row r="82" spans="1:22" x14ac:dyDescent="0.25">
      <c r="A82" s="2"/>
      <c r="E82" s="2"/>
      <c r="F82" s="13">
        <f t="array" ref="F82">-INDEX(E:E,ROUNDUP(ROW(E86)/2,0))</f>
        <v>0</v>
      </c>
      <c r="G82" s="13">
        <v>152.5</v>
      </c>
      <c r="L82" s="2"/>
      <c r="M82" s="2"/>
      <c r="N82" s="2"/>
      <c r="O82" s="2"/>
      <c r="P82" s="2"/>
      <c r="Q82" s="58">
        <f t="array" ref="Q82">IF(MOD(ROW()-8,4)=0,"",IF(MOD(ROW()-8,4)=1,INDEX(A:A,7+INT((ROW()-8)/4)*2)-INDEX(A:A,6+INT((ROW()-8)/4)*2),IF(MOD(ROW()-8,4)=2,INDEX(A:A,7+INT((ROW()-8)/4)*2),INDEX(A:A,8+INT((ROW()-8)/4)*2))))</f>
        <v>0</v>
      </c>
      <c r="R82" s="14">
        <f>B82</f>
        <v>0</v>
      </c>
      <c r="S82" s="14">
        <f>C82-IF(LEN(TEXT(Q82,"0"))=1,1.25,IF(LEN(TEXT(Q82,"0"))=2,1.525,2.025))</f>
        <v>-1.25</v>
      </c>
      <c r="T82" s="59">
        <f t="array" ref="T82">IF(MOD(ROW()-8,4)=0,"",IF(MOD(ROW()-8,4)=1,INDEX(E:E,7+INT((ROW()-8)/4)*2)-INDEX(E:E,6+INT((ROW()-8)/4)*2),IF(MOD(ROW()-8,4)=2,INDEX(E:E,7+INT((ROW()-8)/4)*2),INDEX(E:E,8+INT((ROW()-8)/4)*2))))</f>
        <v>0</v>
      </c>
      <c r="U82" s="14">
        <f t="shared" si="20"/>
        <v>0</v>
      </c>
      <c r="V82" s="14">
        <f>G82-IF(LEN(TEXT(T82,"0"))=1,1.25,IF(LEN(TEXT(T82,"0"))=2,1.525,2.025))</f>
        <v>151.25</v>
      </c>
    </row>
    <row r="83" spans="1:22" x14ac:dyDescent="0.25">
      <c r="A83" s="2"/>
      <c r="E83" s="2"/>
      <c r="F83" s="13">
        <f t="array" ref="F83">-INDEX(E:E,ROUNDUP(ROW(E87)/2,0))</f>
        <v>0</v>
      </c>
      <c r="G83" s="13">
        <v>152.5</v>
      </c>
      <c r="L83" s="2"/>
      <c r="M83" s="2"/>
      <c r="N83" s="2"/>
      <c r="O83" s="2"/>
      <c r="P83" s="2"/>
      <c r="Q83" s="58">
        <f t="array" ref="Q83">IF(MOD(ROW()-8,4)=0,"",IF(MOD(ROW()-8,4)=1,INDEX(A:A,7+INT((ROW()-8)/4)*2)-INDEX(A:A,6+INT((ROW()-8)/4)*2),IF(MOD(ROW()-8,4)=2,INDEX(A:A,7+INT((ROW()-8)/4)*2),INDEX(A:A,8+INT((ROW()-8)/4)*2))))</f>
        <v>0</v>
      </c>
      <c r="R83" s="14">
        <f>B83-1.5</f>
        <v>-1.5</v>
      </c>
      <c r="S83" s="14">
        <f>C83-IF(LEN(TEXT(Q83,"0"))=1,1.25,IF(LEN(TEXT(Q83,"0"))=2,1.525,2.025))</f>
        <v>-1.25</v>
      </c>
      <c r="T83" s="59">
        <f t="array" ref="T83">IF(MOD(ROW()-8,4)=0,"",IF(MOD(ROW()-8,4)=1,INDEX(E:E,7+INT((ROW()-8)/4)*2)-INDEX(E:E,6+INT((ROW()-8)/4)*2),IF(MOD(ROW()-8,4)=2,INDEX(E:E,7+INT((ROW()-8)/4)*2),INDEX(E:E,8+INT((ROW()-8)/4)*2))))</f>
        <v>0</v>
      </c>
      <c r="U83" s="14">
        <f>F83-1.5</f>
        <v>-1.5</v>
      </c>
      <c r="V83" s="14">
        <f>G83-IF(LEN(TEXT(T83,"0"))=1,1.25,IF(LEN(TEXT(T83,"0"))=2,1.525,2.025))</f>
        <v>151.25</v>
      </c>
    </row>
    <row r="84" spans="1:22" x14ac:dyDescent="0.25">
      <c r="A84" s="2"/>
      <c r="E84" s="2"/>
      <c r="F84" s="13">
        <f t="array" ref="F84">-INDEX(E:E,ROUNDUP(ROW(E88)/2,0))</f>
        <v>0</v>
      </c>
      <c r="G84" s="13">
        <v>162.5</v>
      </c>
      <c r="L84" s="2"/>
      <c r="M84" s="2"/>
      <c r="N84" s="2"/>
      <c r="O84" s="2"/>
      <c r="P84" s="2"/>
      <c r="Q84" s="58">
        <f t="array" ref="Q84">IF(MOD(ROW()-8,4)=0,"",IF(MOD(ROW()-8,4)=1,INDEX(A:A,7+INT((ROW()-8)/4)*2)-INDEX(A:A,6+INT((ROW()-8)/4)*2),IF(MOD(ROW()-8,4)=2,INDEX(A:A,7+INT((ROW()-8)/4)*2),INDEX(A:A,8+INT((ROW()-8)/4)*2))))</f>
      </c>
      <c r="R84" s="14">
        <f>B84</f>
        <v>0</v>
      </c>
      <c r="S84" s="14">
        <f>C84</f>
        <v>0</v>
      </c>
      <c r="T84" s="59">
        <f t="array" ref="T84">IF(MOD(ROW()-8,4)=0,"",IF(MOD(ROW()-8,4)=1,INDEX(E:E,7+INT((ROW()-8)/4)*2)-INDEX(E:E,6+INT((ROW()-8)/4)*2),IF(MOD(ROW()-8,4)=2,INDEX(E:E,7+INT((ROW()-8)/4)*2),INDEX(E:E,8+INT((ROW()-8)/4)*2))))</f>
      </c>
      <c r="U84" s="14">
        <f t="shared" ref="U84:U88" si="21">F84</f>
        <v>0</v>
      </c>
      <c r="V84" s="14">
        <f>G84</f>
        <v>162.5</v>
      </c>
    </row>
    <row r="85" spans="1:22" x14ac:dyDescent="0.25">
      <c r="A85" s="2"/>
      <c r="E85" s="2"/>
      <c r="F85" s="13">
        <f t="array" ref="F85">-INDEX(E:E,ROUNDUP(ROW(E89)/2,0))</f>
        <v>0</v>
      </c>
      <c r="G85" s="13">
        <v>162.5</v>
      </c>
      <c r="L85" s="2"/>
      <c r="M85" s="2"/>
      <c r="N85" s="2"/>
      <c r="O85" s="2"/>
      <c r="P85" s="2"/>
      <c r="Q85" s="56"/>
      <c r="R85" s="2"/>
      <c r="S85" s="53"/>
      <c r="T85" s="59">
        <f t="array" ref="T85">IF(MOD(ROW()-8,4)=0,"",IF(MOD(ROW()-8,4)=1,INDEX(E:E,7+INT((ROW()-8)/4)*2)-INDEX(E:E,6+INT((ROW()-8)/4)*2),IF(MOD(ROW()-8,4)=2,INDEX(E:E,7+INT((ROW()-8)/4)*2),INDEX(E:E,8+INT((ROW()-8)/4)*2))))</f>
        <v>0</v>
      </c>
      <c r="U85" s="14">
        <f>IF(U86&lt;U84,(U86+U84)/2-0.75,0)</f>
        <v>0</v>
      </c>
      <c r="V85" s="14">
        <f>G85-IF(LEN(TEXT(T85,"0"))=1,6.28,IF(LEN(TEXT(T85,"0"))=2,6.55,7.05))</f>
        <v>156.22</v>
      </c>
    </row>
    <row r="86" spans="1:22" x14ac:dyDescent="0.25">
      <c r="A86" s="2"/>
      <c r="E86" s="2"/>
      <c r="F86" s="13">
        <f t="array" ref="F86">-INDEX(E:E,ROUNDUP(ROW(E90)/2,0))</f>
        <v>0</v>
      </c>
      <c r="G86" s="13">
        <v>152.5</v>
      </c>
      <c r="L86" s="2"/>
      <c r="M86" s="2"/>
      <c r="N86" s="2"/>
      <c r="O86" s="2"/>
      <c r="P86" s="2"/>
      <c r="Q86" s="56"/>
      <c r="R86" s="2"/>
      <c r="S86" s="53"/>
      <c r="T86" s="59">
        <f t="array" ref="T86">IF(MOD(ROW()-8,4)=0,"",IF(MOD(ROW()-8,4)=1,INDEX(E:E,7+INT((ROW()-8)/4)*2)-INDEX(E:E,6+INT((ROW()-8)/4)*2),IF(MOD(ROW()-8,4)=2,INDEX(E:E,7+INT((ROW()-8)/4)*2),INDEX(E:E,8+INT((ROW()-8)/4)*2))))</f>
        <v>0</v>
      </c>
      <c r="U86" s="14">
        <f t="shared" si="21"/>
        <v>0</v>
      </c>
      <c r="V86" s="14">
        <f>G86-IF(LEN(TEXT(T86,"0"))=1,1.25,IF(LEN(TEXT(T86,"0"))=2,1.525,2.025))</f>
        <v>151.25</v>
      </c>
    </row>
    <row r="87" spans="1:22" x14ac:dyDescent="0.25">
      <c r="A87" s="2"/>
      <c r="E87" s="2"/>
      <c r="F87" s="13">
        <f t="array" ref="F87">-INDEX(E:E,ROUNDUP(ROW(E91)/2,0))</f>
        <v>0</v>
      </c>
      <c r="G87" s="13">
        <v>152.5</v>
      </c>
      <c r="L87" s="2"/>
      <c r="M87" s="2"/>
      <c r="N87" s="2"/>
      <c r="O87" s="2"/>
      <c r="P87" s="2"/>
      <c r="Q87" s="56"/>
      <c r="R87" s="2"/>
      <c r="S87" s="53"/>
      <c r="T87" s="59">
        <f t="array" ref="T87">IF(MOD(ROW()-8,4)=0,"",IF(MOD(ROW()-8,4)=1,INDEX(E:E,7+INT((ROW()-8)/4)*2)-INDEX(E:E,6+INT((ROW()-8)/4)*2),IF(MOD(ROW()-8,4)=2,INDEX(E:E,7+INT((ROW()-8)/4)*2),INDEX(E:E,8+INT((ROW()-8)/4)*2))))</f>
        <v>0</v>
      </c>
      <c r="U87" s="14">
        <f>F87-1.5</f>
        <v>-1.5</v>
      </c>
      <c r="V87" s="14">
        <f>G87-IF(LEN(TEXT(T87,"0"))=1,1.25,IF(LEN(TEXT(T87,"0"))=2,1.525,2.025))</f>
        <v>151.25</v>
      </c>
    </row>
    <row r="88" spans="1:22" x14ac:dyDescent="0.25">
      <c r="A88" s="2"/>
      <c r="E88" s="2"/>
      <c r="F88" s="13">
        <f t="array" ref="F88">-INDEX(E:E,ROUNDUP(ROW(E92)/2,0))</f>
        <v>0</v>
      </c>
      <c r="G88" s="13">
        <v>162.5</v>
      </c>
      <c r="L88" s="2"/>
      <c r="M88" s="2"/>
      <c r="N88" s="2"/>
      <c r="O88" s="2"/>
      <c r="P88" s="2"/>
      <c r="Q88" s="56"/>
      <c r="R88" s="2"/>
      <c r="S88" s="53"/>
      <c r="T88" s="59">
        <f t="array" ref="T88">IF(MOD(ROW()-8,4)=0,"",IF(MOD(ROW()-8,4)=1,INDEX(E:E,7+INT((ROW()-8)/4)*2)-INDEX(E:E,6+INT((ROW()-8)/4)*2),IF(MOD(ROW()-8,4)=2,INDEX(E:E,7+INT((ROW()-8)/4)*2),INDEX(E:E,8+INT((ROW()-8)/4)*2))))</f>
      </c>
      <c r="U88" s="14">
        <f t="shared" si="21"/>
        <v>0</v>
      </c>
      <c r="V88" s="14">
        <f>G88</f>
        <v>162.5</v>
      </c>
    </row>
    <row r="89" spans="1:22" x14ac:dyDescent="0.25">
      <c r="A89" s="2"/>
      <c r="E89" s="2"/>
      <c r="F89" s="13">
        <f t="array" ref="F89">-INDEX(E:E,ROUNDUP(ROW(E93)/2,0))</f>
        <v>0</v>
      </c>
      <c r="G89" s="13">
        <v>162.5</v>
      </c>
      <c r="L89" s="2"/>
      <c r="M89" s="2"/>
      <c r="N89" s="2"/>
      <c r="O89" s="2"/>
      <c r="P89" s="2"/>
      <c r="Q89" s="56"/>
      <c r="R89" s="2"/>
      <c r="S89" s="53"/>
      <c r="T89" s="59">
        <f t="array" ref="T89">IF(MOD(ROW()-8,4)=0,"",IF(MOD(ROW()-8,4)=1,INDEX(E:E,7+INT((ROW()-8)/4)*2)-INDEX(E:E,6+INT((ROW()-8)/4)*2),IF(MOD(ROW()-8,4)=2,INDEX(E:E,7+INT((ROW()-8)/4)*2),INDEX(E:E,8+INT((ROW()-8)/4)*2))))</f>
        <v>0</v>
      </c>
      <c r="U89" s="14">
        <f>IF(U90&lt;U88,(U90+U88)/2-0.75,0)</f>
        <v>0</v>
      </c>
      <c r="V89" s="14">
        <f>G89-IF(LEN(TEXT(T89,"0"))=1,6.28,IF(LEN(TEXT(T89,"0"))=2,6.55,7.05))</f>
        <v>156.22</v>
      </c>
    </row>
    <row r="90" spans="1:22" x14ac:dyDescent="0.25">
      <c r="A90" s="2"/>
      <c r="E90" s="2"/>
      <c r="F90" s="13">
        <f t="array" ref="F90">-INDEX(E:E,ROUNDUP(ROW(E94)/2,0))</f>
        <v>0</v>
      </c>
      <c r="G90" s="13">
        <v>152.5</v>
      </c>
      <c r="L90" s="2"/>
      <c r="M90" s="2"/>
      <c r="N90" s="2"/>
      <c r="O90" s="2"/>
      <c r="P90" s="2"/>
      <c r="Q90" s="56"/>
      <c r="R90" s="2"/>
      <c r="S90" s="53"/>
      <c r="T90" s="59">
        <f t="array" ref="T90">IF(MOD(ROW()-8,4)=0,"",IF(MOD(ROW()-8,4)=1,INDEX(E:E,7+INT((ROW()-8)/4)*2)-INDEX(E:E,6+INT((ROW()-8)/4)*2),IF(MOD(ROW()-8,4)=2,INDEX(E:E,7+INT((ROW()-8)/4)*2),INDEX(E:E,8+INT((ROW()-8)/4)*2))))</f>
        <v>0</v>
      </c>
      <c r="U90" s="14">
        <f t="shared" ref="U90:U94" si="22">F90</f>
        <v>0</v>
      </c>
      <c r="V90" s="14">
        <f>G90-IF(LEN(TEXT(T90,"0"))=1,1.25,IF(LEN(TEXT(T90,"0"))=2,1.525,2.025))</f>
        <v>151.25</v>
      </c>
    </row>
    <row r="91" spans="1:22" x14ac:dyDescent="0.25">
      <c r="A91" s="2"/>
      <c r="E91" s="2"/>
      <c r="F91" s="13">
        <f t="array" ref="F91">-INDEX(E:E,ROUNDUP(ROW(E95)/2,0))</f>
        <v>0</v>
      </c>
      <c r="G91" s="13">
        <v>152.5</v>
      </c>
      <c r="L91" s="2"/>
      <c r="M91" s="2"/>
      <c r="N91" s="2"/>
      <c r="O91" s="2"/>
      <c r="P91" s="2"/>
      <c r="Q91" s="56"/>
      <c r="R91" s="2"/>
      <c r="S91" s="53"/>
      <c r="T91" s="59">
        <f t="array" ref="T91">IF(MOD(ROW()-8,4)=0,"",IF(MOD(ROW()-8,4)=1,INDEX(E:E,7+INT((ROW()-8)/4)*2)-INDEX(E:E,6+INT((ROW()-8)/4)*2),IF(MOD(ROW()-8,4)=2,INDEX(E:E,7+INT((ROW()-8)/4)*2),INDEX(E:E,8+INT((ROW()-8)/4)*2))))</f>
        <v>0</v>
      </c>
      <c r="U91" s="14">
        <f>F91-1.5</f>
        <v>-1.5</v>
      </c>
      <c r="V91" s="14">
        <f>G91-IF(LEN(TEXT(T91,"0"))=1,1.25,IF(LEN(TEXT(T91,"0"))=2,1.525,2.025))</f>
        <v>151.25</v>
      </c>
    </row>
    <row r="92" spans="1:22" x14ac:dyDescent="0.25">
      <c r="A92" s="2"/>
      <c r="E92" s="2"/>
      <c r="F92" s="13">
        <f t="array" ref="F92">-INDEX(E:E,ROUNDUP(ROW(E96)/2,0))</f>
        <v>0</v>
      </c>
      <c r="G92" s="13">
        <v>162.5</v>
      </c>
      <c r="L92" s="2"/>
      <c r="M92" s="2"/>
      <c r="N92" s="2"/>
      <c r="O92" s="2"/>
      <c r="P92" s="2"/>
      <c r="Q92" s="56"/>
      <c r="R92" s="2"/>
      <c r="S92" s="53"/>
      <c r="T92" s="59">
        <f t="array" ref="T92">IF(MOD(ROW()-8,4)=0,"",IF(MOD(ROW()-8,4)=1,INDEX(E:E,7+INT((ROW()-8)/4)*2)-INDEX(E:E,6+INT((ROW()-8)/4)*2),IF(MOD(ROW()-8,4)=2,INDEX(E:E,7+INT((ROW()-8)/4)*2),INDEX(E:E,8+INT((ROW()-8)/4)*2))))</f>
      </c>
      <c r="U92" s="14">
        <f t="shared" si="22"/>
        <v>0</v>
      </c>
      <c r="V92" s="14">
        <f>G92</f>
        <v>162.5</v>
      </c>
    </row>
    <row r="93" spans="1:22" x14ac:dyDescent="0.25">
      <c r="A93" s="2"/>
      <c r="E93" s="2"/>
      <c r="F93" s="13">
        <f t="array" ref="F93">-INDEX(E:E,ROUNDUP(ROW(E97)/2,0))</f>
        <v>0</v>
      </c>
      <c r="G93" s="13">
        <v>162.5</v>
      </c>
      <c r="L93" s="2"/>
      <c r="M93" s="2"/>
      <c r="N93" s="2"/>
      <c r="O93" s="2"/>
      <c r="P93" s="2"/>
      <c r="Q93" s="56"/>
      <c r="R93" s="2"/>
      <c r="S93" s="53"/>
      <c r="T93" s="59">
        <f t="array" ref="T93">IF(MOD(ROW()-8,4)=0,"",IF(MOD(ROW()-8,4)=1,INDEX(E:E,7+INT((ROW()-8)/4)*2)-INDEX(E:E,6+INT((ROW()-8)/4)*2),IF(MOD(ROW()-8,4)=2,INDEX(E:E,7+INT((ROW()-8)/4)*2),INDEX(E:E,8+INT((ROW()-8)/4)*2))))</f>
        <v>0</v>
      </c>
      <c r="U93" s="14">
        <f>IF(U94&lt;U92,(U94+U92)/2-0.75,0)</f>
        <v>0</v>
      </c>
      <c r="V93" s="14">
        <f>G93-IF(LEN(TEXT(T93,"0"))=1,6.28,IF(LEN(TEXT(T93,"0"))=2,6.55,7.05))</f>
        <v>156.22</v>
      </c>
    </row>
    <row r="94" spans="1:22" x14ac:dyDescent="0.25">
      <c r="A94" s="2"/>
      <c r="E94" s="2"/>
      <c r="F94" s="13">
        <f t="array" ref="F94">-INDEX(E:E,ROUNDUP(ROW(E98)/2,0))</f>
        <v>0</v>
      </c>
      <c r="G94" s="13">
        <v>152.5</v>
      </c>
      <c r="L94" s="2"/>
      <c r="M94" s="2"/>
      <c r="N94" s="2"/>
      <c r="O94" s="2"/>
      <c r="P94" s="2"/>
      <c r="Q94" s="56"/>
      <c r="R94" s="2"/>
      <c r="S94" s="53"/>
      <c r="T94" s="59">
        <f t="array" ref="T94">IF(MOD(ROW()-8,4)=0,"",IF(MOD(ROW()-8,4)=1,INDEX(E:E,7+INT((ROW()-8)/4)*2)-INDEX(E:E,6+INT((ROW()-8)/4)*2),IF(MOD(ROW()-8,4)=2,INDEX(E:E,7+INT((ROW()-8)/4)*2),INDEX(E:E,8+INT((ROW()-8)/4)*2))))</f>
        <v>0</v>
      </c>
      <c r="U94" s="14">
        <f t="shared" si="22"/>
        <v>0</v>
      </c>
      <c r="V94" s="14">
        <f>G94-IF(LEN(TEXT(T94,"0"))=1,1.25,IF(LEN(TEXT(T94,"0"))=2,1.525,2.025))</f>
        <v>151.25</v>
      </c>
    </row>
    <row r="95" spans="1:22" x14ac:dyDescent="0.25">
      <c r="A95" s="2"/>
      <c r="E95" s="2"/>
      <c r="F95" s="13">
        <f t="array" ref="F95">-INDEX(E:E,ROUNDUP(ROW(E99)/2,0))</f>
        <v>0</v>
      </c>
      <c r="G95" s="13">
        <v>152.5</v>
      </c>
      <c r="L95" s="2"/>
      <c r="M95" s="2"/>
      <c r="N95" s="2"/>
      <c r="O95" s="2"/>
      <c r="P95" s="2"/>
      <c r="Q95" s="56"/>
      <c r="R95" s="2"/>
      <c r="S95" s="53"/>
      <c r="T95" s="59">
        <f t="array" ref="T95">IF(MOD(ROW()-8,4)=0,"",IF(MOD(ROW()-8,4)=1,INDEX(E:E,7+INT((ROW()-8)/4)*2)-INDEX(E:E,6+INT((ROW()-8)/4)*2),IF(MOD(ROW()-8,4)=2,INDEX(E:E,7+INT((ROW()-8)/4)*2),INDEX(E:E,8+INT((ROW()-8)/4)*2))))</f>
        <v>0</v>
      </c>
      <c r="U95" s="14">
        <f>F95-1.5</f>
        <v>-1.5</v>
      </c>
      <c r="V95" s="14">
        <f>G95-IF(LEN(TEXT(T95,"0"))=1,1.25,IF(LEN(TEXT(T95,"0"))=2,1.525,2.025))</f>
        <v>151.25</v>
      </c>
    </row>
    <row r="96" spans="1:22" x14ac:dyDescent="0.25">
      <c r="A96" s="2"/>
      <c r="E96" s="2"/>
      <c r="F96" s="13">
        <f t="array" ref="F96">-INDEX(E:E,ROUNDUP(ROW(E100)/2,0))</f>
        <v>0</v>
      </c>
      <c r="G96" s="13">
        <v>162.5</v>
      </c>
      <c r="L96" s="2"/>
      <c r="M96" s="2"/>
      <c r="N96" s="2"/>
      <c r="O96" s="2"/>
      <c r="P96" s="2"/>
      <c r="Q96" s="56"/>
      <c r="R96" s="2"/>
      <c r="S96" s="53"/>
      <c r="T96" s="59">
        <f t="array" ref="T96">IF(MOD(ROW()-8,4)=0,"",IF(MOD(ROW()-8,4)=1,INDEX(E:E,7+INT((ROW()-8)/4)*2)-INDEX(E:E,6+INT((ROW()-8)/4)*2),IF(MOD(ROW()-8,4)=2,INDEX(E:E,7+INT((ROW()-8)/4)*2),INDEX(E:E,8+INT((ROW()-8)/4)*2))))</f>
      </c>
      <c r="U96" s="14">
        <f t="shared" ref="U96:U100" si="23">F96</f>
        <v>0</v>
      </c>
      <c r="V96" s="14">
        <f>G96</f>
        <v>162.5</v>
      </c>
    </row>
    <row r="97" spans="1:22" x14ac:dyDescent="0.25">
      <c r="A97" s="2"/>
      <c r="E97" s="2"/>
      <c r="F97" s="13">
        <f t="array" ref="F97">-INDEX(E:E,ROUNDUP(ROW(E101)/2,0))</f>
        <v>0</v>
      </c>
      <c r="G97" s="13">
        <v>162.5</v>
      </c>
      <c r="L97" s="2"/>
      <c r="M97" s="2"/>
      <c r="N97" s="2"/>
      <c r="O97" s="2"/>
      <c r="P97" s="2"/>
      <c r="Q97" s="56"/>
      <c r="R97" s="2"/>
      <c r="S97" s="53"/>
      <c r="T97" s="59">
        <f t="array" ref="T97">IF(MOD(ROW()-8,4)=0,"",IF(MOD(ROW()-8,4)=1,INDEX(E:E,7+INT((ROW()-8)/4)*2)-INDEX(E:E,6+INT((ROW()-8)/4)*2),IF(MOD(ROW()-8,4)=2,INDEX(E:E,7+INT((ROW()-8)/4)*2),INDEX(E:E,8+INT((ROW()-8)/4)*2))))</f>
        <v>0</v>
      </c>
      <c r="U97" s="14">
        <f>IF(U98&lt;U96,(U98+U96)/2-0.75,0)</f>
        <v>0</v>
      </c>
      <c r="V97" s="14">
        <f>G97-IF(LEN(TEXT(T97,"0"))=1,6.28,IF(LEN(TEXT(T97,"0"))=2,6.55,7.05))</f>
        <v>156.22</v>
      </c>
    </row>
    <row r="98" spans="1:22" x14ac:dyDescent="0.25">
      <c r="A98" s="2"/>
      <c r="E98" s="2"/>
      <c r="F98" s="13">
        <f t="array" ref="F98">-INDEX(E:E,ROUNDUP(ROW(E102)/2,0))</f>
        <v>0</v>
      </c>
      <c r="G98" s="13">
        <v>152.5</v>
      </c>
      <c r="L98" s="2"/>
      <c r="M98" s="2"/>
      <c r="N98" s="2"/>
      <c r="O98" s="2"/>
      <c r="P98" s="2"/>
      <c r="Q98" s="56"/>
      <c r="R98" s="2"/>
      <c r="S98" s="53"/>
      <c r="T98" s="59">
        <f t="array" ref="T98">IF(MOD(ROW()-8,4)=0,"",IF(MOD(ROW()-8,4)=1,INDEX(E:E,7+INT((ROW()-8)/4)*2)-INDEX(E:E,6+INT((ROW()-8)/4)*2),IF(MOD(ROW()-8,4)=2,INDEX(E:E,7+INT((ROW()-8)/4)*2),INDEX(E:E,8+INT((ROW()-8)/4)*2))))</f>
        <v>0</v>
      </c>
      <c r="U98" s="14">
        <f t="shared" si="23"/>
        <v>0</v>
      </c>
      <c r="V98" s="14">
        <f>G98-IF(LEN(TEXT(T98,"0"))=1,1.25,IF(LEN(TEXT(T98,"0"))=2,1.525,2.025))</f>
        <v>151.25</v>
      </c>
    </row>
    <row r="99" spans="1:22" x14ac:dyDescent="0.25">
      <c r="A99" s="2"/>
      <c r="E99" s="2"/>
      <c r="F99" s="13">
        <f t="array" ref="F99">-INDEX(E:E,ROUNDUP(ROW(E103)/2,0))</f>
        <v>0</v>
      </c>
      <c r="G99" s="13">
        <v>152.5</v>
      </c>
      <c r="L99" s="2"/>
      <c r="M99" s="2"/>
      <c r="N99" s="2"/>
      <c r="O99" s="2"/>
      <c r="P99" s="2"/>
      <c r="Q99" s="56"/>
      <c r="R99" s="2"/>
      <c r="S99" s="53"/>
      <c r="T99" s="59">
        <f t="array" ref="T99">IF(MOD(ROW()-8,4)=0,"",IF(MOD(ROW()-8,4)=1,INDEX(E:E,7+INT((ROW()-8)/4)*2)-INDEX(E:E,6+INT((ROW()-8)/4)*2),IF(MOD(ROW()-8,4)=2,INDEX(E:E,7+INT((ROW()-8)/4)*2),INDEX(E:E,8+INT((ROW()-8)/4)*2))))</f>
        <v>0</v>
      </c>
      <c r="U99" s="14">
        <f>F99-1.5</f>
        <v>-1.5</v>
      </c>
      <c r="V99" s="14">
        <f>G99-IF(LEN(TEXT(T99,"0"))=1,1.25,IF(LEN(TEXT(T99,"0"))=2,1.525,2.025))</f>
        <v>151.25</v>
      </c>
    </row>
    <row r="100" spans="1:22" x14ac:dyDescent="0.25">
      <c r="A100" s="2"/>
      <c r="E100" s="2"/>
      <c r="F100" s="13">
        <f t="array" ref="F100">-INDEX(E:E,ROUNDUP(ROW(E104)/2,0))</f>
        <v>0</v>
      </c>
      <c r="G100" s="13">
        <v>162.5</v>
      </c>
      <c r="L100" s="2"/>
      <c r="M100" s="2"/>
      <c r="N100" s="2"/>
      <c r="O100" s="2"/>
      <c r="P100" s="2"/>
      <c r="Q100" s="56"/>
      <c r="R100" s="2"/>
      <c r="S100" s="53"/>
      <c r="T100" s="59">
        <f t="array" ref="T100">IF(MOD(ROW()-8,4)=0,"",IF(MOD(ROW()-8,4)=1,INDEX(E:E,7+INT((ROW()-8)/4)*2)-INDEX(E:E,6+INT((ROW()-8)/4)*2),IF(MOD(ROW()-8,4)=2,INDEX(E:E,7+INT((ROW()-8)/4)*2),INDEX(E:E,8+INT((ROW()-8)/4)*2))))</f>
      </c>
      <c r="U100" s="14">
        <f t="shared" si="23"/>
        <v>0</v>
      </c>
      <c r="V100" s="14">
        <f>G100</f>
        <v>162.5</v>
      </c>
    </row>
    <row r="101" spans="1:22" x14ac:dyDescent="0.25">
      <c r="A101" s="2"/>
      <c r="E101" s="2"/>
      <c r="F101" s="13">
        <f t="array" ref="F101">-INDEX(E:E,ROUNDUP(ROW(E105)/2,0))</f>
        <v>0</v>
      </c>
      <c r="G101" s="13">
        <v>162.5</v>
      </c>
      <c r="L101" s="2"/>
      <c r="M101" s="2"/>
      <c r="N101" s="2"/>
      <c r="O101" s="2"/>
      <c r="P101" s="2"/>
      <c r="Q101" s="56"/>
      <c r="R101" s="2"/>
      <c r="S101" s="53"/>
      <c r="T101" s="59">
        <f t="array" ref="T101">IF(MOD(ROW()-8,4)=0,"",IF(MOD(ROW()-8,4)=1,INDEX(E:E,7+INT((ROW()-8)/4)*2)-INDEX(E:E,6+INT((ROW()-8)/4)*2),IF(MOD(ROW()-8,4)=2,INDEX(E:E,7+INT((ROW()-8)/4)*2),INDEX(E:E,8+INT((ROW()-8)/4)*2))))</f>
        <v>0</v>
      </c>
      <c r="U101" s="14">
        <f>IF(U102&lt;U100,(U102+U100)/2-0.75,0)</f>
        <v>0</v>
      </c>
      <c r="V101" s="14">
        <f>G101-IF(LEN(TEXT(T101,"0"))=1,6.28,IF(LEN(TEXT(T101,"0"))=2,6.55,7.05))</f>
        <v>156.22</v>
      </c>
    </row>
    <row r="102" spans="1:22" x14ac:dyDescent="0.25">
      <c r="A102" s="2"/>
      <c r="E102" s="2"/>
      <c r="F102" s="13">
        <f t="array" ref="F102">-INDEX(E:E,ROUNDUP(ROW(E106)/2,0))</f>
        <v>0</v>
      </c>
      <c r="G102" s="13">
        <v>152.5</v>
      </c>
      <c r="L102" s="2"/>
      <c r="M102" s="2"/>
      <c r="N102" s="2"/>
      <c r="O102" s="2"/>
      <c r="P102" s="2"/>
      <c r="Q102" s="56"/>
      <c r="R102" s="2"/>
      <c r="S102" s="53"/>
      <c r="T102" s="59">
        <f t="array" ref="T102">IF(MOD(ROW()-8,4)=0,"",IF(MOD(ROW()-8,4)=1,INDEX(E:E,7+INT((ROW()-8)/4)*2)-INDEX(E:E,6+INT((ROW()-8)/4)*2),IF(MOD(ROW()-8,4)=2,INDEX(E:E,7+INT((ROW()-8)/4)*2),INDEX(E:E,8+INT((ROW()-8)/4)*2))))</f>
        <v>0</v>
      </c>
      <c r="U102" s="14">
        <f t="shared" ref="U102:U106" si="24">F102</f>
        <v>0</v>
      </c>
      <c r="V102" s="14">
        <f>G102-IF(LEN(TEXT(T102,"0"))=1,1.25,IF(LEN(TEXT(T102,"0"))=2,1.525,2.025))</f>
        <v>151.25</v>
      </c>
    </row>
    <row r="103" spans="1:22" x14ac:dyDescent="0.25">
      <c r="A103" s="2"/>
      <c r="E103" s="2"/>
      <c r="F103" s="13">
        <f t="array" ref="F103">-INDEX(E:E,ROUNDUP(ROW(E107)/2,0))</f>
        <v>0</v>
      </c>
      <c r="G103" s="13">
        <v>152.5</v>
      </c>
      <c r="L103" s="2"/>
      <c r="M103" s="2"/>
      <c r="N103" s="2"/>
      <c r="O103" s="2"/>
      <c r="P103" s="2"/>
      <c r="Q103" s="56"/>
      <c r="R103" s="2"/>
      <c r="S103" s="53"/>
      <c r="T103" s="59">
        <f t="array" ref="T103">IF(MOD(ROW()-8,4)=0,"",IF(MOD(ROW()-8,4)=1,INDEX(E:E,7+INT((ROW()-8)/4)*2)-INDEX(E:E,6+INT((ROW()-8)/4)*2),IF(MOD(ROW()-8,4)=2,INDEX(E:E,7+INT((ROW()-8)/4)*2),INDEX(E:E,8+INT((ROW()-8)/4)*2))))</f>
        <v>0</v>
      </c>
      <c r="U103" s="14">
        <f>F103-1.5</f>
        <v>-1.5</v>
      </c>
      <c r="V103" s="14">
        <f>G103-IF(LEN(TEXT(T103,"0"))=1,1.25,IF(LEN(TEXT(T103,"0"))=2,1.525,2.025))</f>
        <v>151.25</v>
      </c>
    </row>
    <row r="104" spans="1:22" x14ac:dyDescent="0.25">
      <c r="A104" s="2"/>
      <c r="E104" s="2"/>
      <c r="F104" s="13">
        <f t="array" ref="F104">-INDEX(E:E,ROUNDUP(ROW(E108)/2,0))</f>
        <v>0</v>
      </c>
      <c r="G104" s="13">
        <v>162.5</v>
      </c>
      <c r="L104" s="2"/>
      <c r="M104" s="2"/>
      <c r="N104" s="2"/>
      <c r="O104" s="2"/>
      <c r="P104" s="2"/>
      <c r="Q104" s="56"/>
      <c r="R104" s="2"/>
      <c r="S104" s="53"/>
      <c r="T104" s="59">
        <f t="array" ref="T104">IF(MOD(ROW()-8,4)=0,"",IF(MOD(ROW()-8,4)=1,INDEX(E:E,7+INT((ROW()-8)/4)*2)-INDEX(E:E,6+INT((ROW()-8)/4)*2),IF(MOD(ROW()-8,4)=2,INDEX(E:E,7+INT((ROW()-8)/4)*2),INDEX(E:E,8+INT((ROW()-8)/4)*2))))</f>
      </c>
      <c r="U104" s="14">
        <f t="shared" si="24"/>
        <v>0</v>
      </c>
      <c r="V104" s="14">
        <f>G104</f>
        <v>162.5</v>
      </c>
    </row>
    <row r="105" spans="1:22" x14ac:dyDescent="0.25">
      <c r="A105" s="2"/>
      <c r="E105" s="2"/>
      <c r="F105" s="13">
        <f t="array" ref="F105">-INDEX(E:E,ROUNDUP(ROW(E109)/2,0))</f>
        <v>0</v>
      </c>
      <c r="G105" s="13">
        <v>162.5</v>
      </c>
      <c r="L105" s="2"/>
      <c r="M105" s="2"/>
      <c r="N105" s="2"/>
      <c r="O105" s="2"/>
      <c r="P105" s="2"/>
      <c r="Q105" s="56"/>
      <c r="R105" s="2"/>
      <c r="S105" s="53"/>
      <c r="T105" s="59">
        <f t="array" ref="T105">IF(MOD(ROW()-8,4)=0,"",IF(MOD(ROW()-8,4)=1,INDEX(E:E,7+INT((ROW()-8)/4)*2)-INDEX(E:E,6+INT((ROW()-8)/4)*2),IF(MOD(ROW()-8,4)=2,INDEX(E:E,7+INT((ROW()-8)/4)*2),INDEX(E:E,8+INT((ROW()-8)/4)*2))))</f>
        <v>0</v>
      </c>
      <c r="U105" s="14">
        <f>IF(U106&lt;U104,(U106+U104)/2-0.75,0)</f>
        <v>0</v>
      </c>
      <c r="V105" s="14">
        <f>G105-IF(LEN(TEXT(T105,"0"))=1,6.28,IF(LEN(TEXT(T105,"0"))=2,6.55,7.05))</f>
        <v>156.22</v>
      </c>
    </row>
    <row r="106" spans="1:22" x14ac:dyDescent="0.25">
      <c r="A106" s="2"/>
      <c r="E106" s="2"/>
      <c r="F106" s="13">
        <f t="array" ref="F106">-INDEX(E:E,ROUNDUP(ROW(E110)/2,0))</f>
        <v>0</v>
      </c>
      <c r="G106" s="13">
        <v>152.5</v>
      </c>
      <c r="L106" s="2"/>
      <c r="M106" s="2"/>
      <c r="N106" s="2"/>
      <c r="O106" s="2"/>
      <c r="P106" s="2"/>
      <c r="Q106" s="56"/>
      <c r="R106" s="2"/>
      <c r="S106" s="53"/>
      <c r="T106" s="59">
        <f t="array" ref="T106">IF(MOD(ROW()-8,4)=0,"",IF(MOD(ROW()-8,4)=1,INDEX(E:E,7+INT((ROW()-8)/4)*2)-INDEX(E:E,6+INT((ROW()-8)/4)*2),IF(MOD(ROW()-8,4)=2,INDEX(E:E,7+INT((ROW()-8)/4)*2),INDEX(E:E,8+INT((ROW()-8)/4)*2))))</f>
        <v>0</v>
      </c>
      <c r="U106" s="14">
        <f t="shared" si="24"/>
        <v>0</v>
      </c>
      <c r="V106" s="14">
        <f>G106-IF(LEN(TEXT(T106,"0"))=1,1.25,IF(LEN(TEXT(T106,"0"))=2,1.525,2.025))</f>
        <v>151.25</v>
      </c>
    </row>
    <row r="107" spans="1:22" x14ac:dyDescent="0.25">
      <c r="A107" s="2"/>
      <c r="E107" s="2"/>
      <c r="F107" s="13">
        <f t="array" ref="F107">-INDEX(E:E,ROUNDUP(ROW(E111)/2,0))</f>
        <v>0</v>
      </c>
      <c r="G107" s="13">
        <v>152.5</v>
      </c>
      <c r="L107" s="2"/>
      <c r="M107" s="2"/>
      <c r="N107" s="2"/>
      <c r="O107" s="2"/>
      <c r="P107" s="2"/>
      <c r="Q107" s="56"/>
      <c r="R107" s="2"/>
      <c r="S107" s="53"/>
      <c r="T107" s="59">
        <f t="array" ref="T107">IF(MOD(ROW()-8,4)=0,"",IF(MOD(ROW()-8,4)=1,INDEX(E:E,7+INT((ROW()-8)/4)*2)-INDEX(E:E,6+INT((ROW()-8)/4)*2),IF(MOD(ROW()-8,4)=2,INDEX(E:E,7+INT((ROW()-8)/4)*2),INDEX(E:E,8+INT((ROW()-8)/4)*2))))</f>
        <v>0</v>
      </c>
      <c r="U107" s="14">
        <f>F107-1.5</f>
        <v>-1.5</v>
      </c>
      <c r="V107" s="14">
        <f>G107-IF(LEN(TEXT(T107,"0"))=1,1.25,IF(LEN(TEXT(T107,"0"))=2,1.525,2.025))</f>
        <v>151.25</v>
      </c>
    </row>
    <row r="108" spans="1:22" x14ac:dyDescent="0.25">
      <c r="A108" s="2"/>
      <c r="E108" s="2"/>
      <c r="F108" s="13">
        <f t="array" ref="F108">-INDEX(E:E,ROUNDUP(ROW(E112)/2,0))</f>
        <v>0</v>
      </c>
      <c r="G108" s="13">
        <v>162.5</v>
      </c>
      <c r="L108" s="2"/>
      <c r="M108" s="2"/>
      <c r="N108" s="2"/>
      <c r="O108" s="2"/>
      <c r="P108" s="2"/>
      <c r="Q108" s="56"/>
      <c r="R108" s="2"/>
      <c r="S108" s="53"/>
      <c r="T108" s="59">
        <f t="array" ref="T108">IF(MOD(ROW()-8,4)=0,"",IF(MOD(ROW()-8,4)=1,INDEX(E:E,7+INT((ROW()-8)/4)*2)-INDEX(E:E,6+INT((ROW()-8)/4)*2),IF(MOD(ROW()-8,4)=2,INDEX(E:E,7+INT((ROW()-8)/4)*2),INDEX(E:E,8+INT((ROW()-8)/4)*2))))</f>
      </c>
      <c r="U108" s="14">
        <f t="shared" ref="U108:U112" si="25">F108</f>
        <v>0</v>
      </c>
      <c r="V108" s="14">
        <f>G108</f>
        <v>162.5</v>
      </c>
    </row>
    <row r="109" spans="1:22" x14ac:dyDescent="0.25">
      <c r="A109" s="2"/>
      <c r="E109" s="2"/>
      <c r="F109" s="13">
        <f t="array" ref="F109">-INDEX(E:E,ROUNDUP(ROW(E113)/2,0))</f>
        <v>0</v>
      </c>
      <c r="G109" s="13">
        <v>162.5</v>
      </c>
      <c r="L109" s="2"/>
      <c r="M109" s="2"/>
      <c r="N109" s="2"/>
      <c r="O109" s="2"/>
      <c r="P109" s="2"/>
      <c r="Q109" s="56"/>
      <c r="R109" s="2"/>
      <c r="S109" s="53"/>
      <c r="T109" s="59">
        <f t="array" ref="T109">IF(MOD(ROW()-8,4)=0,"",IF(MOD(ROW()-8,4)=1,INDEX(E:E,7+INT((ROW()-8)/4)*2)-INDEX(E:E,6+INT((ROW()-8)/4)*2),IF(MOD(ROW()-8,4)=2,INDEX(E:E,7+INT((ROW()-8)/4)*2),INDEX(E:E,8+INT((ROW()-8)/4)*2))))</f>
        <v>0</v>
      </c>
      <c r="U109" s="14">
        <f>IF(U110&lt;U108,(U110+U108)/2-0.75,0)</f>
        <v>0</v>
      </c>
      <c r="V109" s="14">
        <f>G109-IF(LEN(TEXT(T109,"0"))=1,6.28,IF(LEN(TEXT(T109,"0"))=2,6.55,7.05))</f>
        <v>156.22</v>
      </c>
    </row>
    <row r="110" spans="1:22" x14ac:dyDescent="0.25">
      <c r="A110" s="2"/>
      <c r="E110" s="2"/>
      <c r="F110" s="13">
        <f t="array" ref="F110">-INDEX(E:E,ROUNDUP(ROW(E114)/2,0))</f>
        <v>0</v>
      </c>
      <c r="G110" s="13">
        <v>152.5</v>
      </c>
      <c r="L110" s="2"/>
      <c r="M110" s="2"/>
      <c r="N110" s="2"/>
      <c r="O110" s="2"/>
      <c r="P110" s="2"/>
      <c r="Q110" s="56"/>
      <c r="R110" s="2"/>
      <c r="S110" s="53"/>
      <c r="T110" s="59">
        <f t="array" ref="T110">IF(MOD(ROW()-8,4)=0,"",IF(MOD(ROW()-8,4)=1,INDEX(E:E,7+INT((ROW()-8)/4)*2)-INDEX(E:E,6+INT((ROW()-8)/4)*2),IF(MOD(ROW()-8,4)=2,INDEX(E:E,7+INT((ROW()-8)/4)*2),INDEX(E:E,8+INT((ROW()-8)/4)*2))))</f>
        <v>0</v>
      </c>
      <c r="U110" s="14">
        <f t="shared" si="25"/>
        <v>0</v>
      </c>
      <c r="V110" s="14">
        <f>G110-IF(LEN(TEXT(T110,"0"))=1,1.25,IF(LEN(TEXT(T110,"0"))=2,1.525,2.025))</f>
        <v>151.25</v>
      </c>
    </row>
    <row r="111" spans="1:22" x14ac:dyDescent="0.25">
      <c r="A111" s="2"/>
      <c r="E111" s="2"/>
      <c r="F111" s="13">
        <f t="array" ref="F111">-INDEX(E:E,ROUNDUP(ROW(E115)/2,0))</f>
        <v>0</v>
      </c>
      <c r="G111" s="13">
        <v>152.5</v>
      </c>
      <c r="L111" s="2"/>
      <c r="M111" s="2"/>
      <c r="N111" s="2"/>
      <c r="O111" s="2"/>
      <c r="P111" s="2"/>
      <c r="Q111" s="56"/>
      <c r="R111" s="2"/>
      <c r="S111" s="53"/>
      <c r="T111" s="59">
        <f t="array" ref="T111">IF(MOD(ROW()-8,4)=0,"",IF(MOD(ROW()-8,4)=1,INDEX(E:E,7+INT((ROW()-8)/4)*2)-INDEX(E:E,6+INT((ROW()-8)/4)*2),IF(MOD(ROW()-8,4)=2,INDEX(E:E,7+INT((ROW()-8)/4)*2),INDEX(E:E,8+INT((ROW()-8)/4)*2))))</f>
        <v>0</v>
      </c>
      <c r="U111" s="14">
        <f>F111-1.5</f>
        <v>-1.5</v>
      </c>
      <c r="V111" s="14">
        <f>G111-IF(LEN(TEXT(T111,"0"))=1,1.25,IF(LEN(TEXT(T111,"0"))=2,1.525,2.025))</f>
        <v>151.25</v>
      </c>
    </row>
    <row r="112" spans="1:22" x14ac:dyDescent="0.25">
      <c r="A112" s="2"/>
      <c r="E112" s="2"/>
      <c r="F112" s="13">
        <f t="array" ref="F112">-INDEX(E:E,ROUNDUP(ROW(E116)/2,0))</f>
        <v>0</v>
      </c>
      <c r="G112" s="13">
        <v>162.5</v>
      </c>
      <c r="L112" s="2"/>
      <c r="M112" s="2"/>
      <c r="N112" s="2"/>
      <c r="O112" s="2"/>
      <c r="P112" s="2"/>
      <c r="Q112" s="56"/>
      <c r="R112" s="2"/>
      <c r="S112" s="53"/>
      <c r="T112" s="59">
        <f t="array" ref="T112">IF(MOD(ROW()-8,4)=0,"",IF(MOD(ROW()-8,4)=1,INDEX(E:E,7+INT((ROW()-8)/4)*2)-INDEX(E:E,6+INT((ROW()-8)/4)*2),IF(MOD(ROW()-8,4)=2,INDEX(E:E,7+INT((ROW()-8)/4)*2),INDEX(E:E,8+INT((ROW()-8)/4)*2))))</f>
      </c>
      <c r="U112" s="14">
        <f t="shared" si="25"/>
        <v>0</v>
      </c>
      <c r="V112" s="14">
        <f>G112</f>
        <v>162.5</v>
      </c>
    </row>
    <row r="113" spans="1:22" x14ac:dyDescent="0.25">
      <c r="A113" s="2"/>
      <c r="E113" s="2"/>
      <c r="F113" s="13">
        <f t="array" ref="F113">-INDEX(E:E,ROUNDUP(ROW(E117)/2,0))</f>
        <v>0</v>
      </c>
      <c r="G113" s="13">
        <v>162.5</v>
      </c>
      <c r="L113" s="2"/>
      <c r="M113" s="2"/>
      <c r="N113" s="2"/>
      <c r="O113" s="2"/>
      <c r="P113" s="2"/>
      <c r="Q113" s="56"/>
      <c r="R113" s="2"/>
      <c r="S113" s="53"/>
      <c r="T113" s="59">
        <f t="array" ref="T113">IF(MOD(ROW()-8,4)=0,"",IF(MOD(ROW()-8,4)=1,INDEX(E:E,7+INT((ROW()-8)/4)*2)-INDEX(E:E,6+INT((ROW()-8)/4)*2),IF(MOD(ROW()-8,4)=2,INDEX(E:E,7+INT((ROW()-8)/4)*2),INDEX(E:E,8+INT((ROW()-8)/4)*2))))</f>
        <v>0</v>
      </c>
      <c r="U113" s="14">
        <f>IF(U114&lt;U112,(U114+U112)/2-0.75,0)</f>
        <v>0</v>
      </c>
      <c r="V113" s="14">
        <f>G113-IF(LEN(TEXT(T113,"0"))=1,6.28,IF(LEN(TEXT(T113,"0"))=2,6.55,7.05))</f>
        <v>156.22</v>
      </c>
    </row>
    <row r="114" spans="1:22" x14ac:dyDescent="0.25">
      <c r="A114" s="2"/>
      <c r="E114" s="2"/>
      <c r="F114" s="13">
        <f t="array" ref="F114">-INDEX(E:E,ROUNDUP(ROW(E118)/2,0))</f>
        <v>0</v>
      </c>
      <c r="G114" s="13">
        <v>152.5</v>
      </c>
      <c r="L114" s="2"/>
      <c r="M114" s="2"/>
      <c r="N114" s="2"/>
      <c r="O114" s="2"/>
      <c r="P114" s="2"/>
      <c r="Q114" s="56"/>
      <c r="R114" s="2"/>
      <c r="S114" s="53"/>
      <c r="T114" s="59">
        <f t="array" ref="T114">IF(MOD(ROW()-8,4)=0,"",IF(MOD(ROW()-8,4)=1,INDEX(E:E,7+INT((ROW()-8)/4)*2)-INDEX(E:E,6+INT((ROW()-8)/4)*2),IF(MOD(ROW()-8,4)=2,INDEX(E:E,7+INT((ROW()-8)/4)*2),INDEX(E:E,8+INT((ROW()-8)/4)*2))))</f>
        <v>0</v>
      </c>
      <c r="U114" s="14">
        <f t="shared" ref="U114:U118" si="26">F114</f>
        <v>0</v>
      </c>
      <c r="V114" s="14">
        <f>G114-IF(LEN(TEXT(T114,"0"))=1,1.25,IF(LEN(TEXT(T114,"0"))=2,1.525,2.025))</f>
        <v>151.25</v>
      </c>
    </row>
    <row r="115" spans="1:22" x14ac:dyDescent="0.25">
      <c r="A115" s="2"/>
      <c r="E115" s="2"/>
      <c r="F115" s="13">
        <f t="array" ref="F115">-INDEX(E:E,ROUNDUP(ROW(E119)/2,0))</f>
        <v>0</v>
      </c>
      <c r="G115" s="13">
        <v>152.5</v>
      </c>
      <c r="L115" s="2"/>
      <c r="M115" s="2"/>
      <c r="N115" s="2"/>
      <c r="O115" s="2"/>
      <c r="P115" s="2"/>
      <c r="Q115" s="56"/>
      <c r="R115" s="2"/>
      <c r="S115" s="53"/>
      <c r="T115" s="59">
        <f t="array" ref="T115">IF(MOD(ROW()-8,4)=0,"",IF(MOD(ROW()-8,4)=1,INDEX(E:E,7+INT((ROW()-8)/4)*2)-INDEX(E:E,6+INT((ROW()-8)/4)*2),IF(MOD(ROW()-8,4)=2,INDEX(E:E,7+INT((ROW()-8)/4)*2),INDEX(E:E,8+INT((ROW()-8)/4)*2))))</f>
        <v>0</v>
      </c>
      <c r="U115" s="14">
        <f>F115-1.5</f>
        <v>-1.5</v>
      </c>
      <c r="V115" s="14">
        <f>G115-IF(LEN(TEXT(T115,"0"))=1,1.25,IF(LEN(TEXT(T115,"0"))=2,1.525,2.025))</f>
        <v>151.25</v>
      </c>
    </row>
    <row r="116" spans="1:22" x14ac:dyDescent="0.25">
      <c r="A116" s="2"/>
      <c r="E116" s="2"/>
      <c r="F116" s="13">
        <f t="array" ref="F116">-INDEX(E:E,ROUNDUP(ROW(E120)/2,0))</f>
        <v>0</v>
      </c>
      <c r="G116" s="13">
        <v>162.5</v>
      </c>
      <c r="L116" s="2"/>
      <c r="M116" s="2"/>
      <c r="N116" s="2"/>
      <c r="O116" s="2"/>
      <c r="P116" s="2"/>
      <c r="Q116" s="56"/>
      <c r="R116" s="2"/>
      <c r="S116" s="53"/>
      <c r="T116" s="59">
        <f t="array" ref="T116">IF(MOD(ROW()-8,4)=0,"",IF(MOD(ROW()-8,4)=1,INDEX(E:E,7+INT((ROW()-8)/4)*2)-INDEX(E:E,6+INT((ROW()-8)/4)*2),IF(MOD(ROW()-8,4)=2,INDEX(E:E,7+INT((ROW()-8)/4)*2),INDEX(E:E,8+INT((ROW()-8)/4)*2))))</f>
      </c>
      <c r="U116" s="14">
        <f t="shared" si="26"/>
        <v>0</v>
      </c>
      <c r="V116" s="14">
        <f>G116</f>
        <v>162.5</v>
      </c>
    </row>
    <row r="117" spans="1:22" x14ac:dyDescent="0.25">
      <c r="A117" s="2"/>
      <c r="E117" s="2"/>
      <c r="F117" s="13">
        <f t="array" ref="F117">-INDEX(E:E,ROUNDUP(ROW(E121)/2,0))</f>
        <v>0</v>
      </c>
      <c r="G117" s="13">
        <v>162.5</v>
      </c>
      <c r="L117" s="2"/>
      <c r="M117" s="2"/>
      <c r="N117" s="2"/>
      <c r="O117" s="2"/>
      <c r="P117" s="2"/>
      <c r="Q117" s="56"/>
      <c r="R117" s="2"/>
      <c r="S117" s="53"/>
      <c r="T117" s="59">
        <f t="array" ref="T117">IF(MOD(ROW()-8,4)=0,"",IF(MOD(ROW()-8,4)=1,INDEX(E:E,7+INT((ROW()-8)/4)*2)-INDEX(E:E,6+INT((ROW()-8)/4)*2),IF(MOD(ROW()-8,4)=2,INDEX(E:E,7+INT((ROW()-8)/4)*2),INDEX(E:E,8+INT((ROW()-8)/4)*2))))</f>
        <v>0</v>
      </c>
      <c r="U117" s="14">
        <f>IF(U118&lt;U116,(U118+U116)/2-0.75,0)</f>
        <v>0</v>
      </c>
      <c r="V117" s="14">
        <f>G117-IF(LEN(TEXT(T117,"0"))=1,6.28,IF(LEN(TEXT(T117,"0"))=2,6.55,7.05))</f>
        <v>156.22</v>
      </c>
    </row>
    <row r="118" spans="1:22" x14ac:dyDescent="0.25">
      <c r="A118" s="2"/>
      <c r="E118" s="2"/>
      <c r="F118" s="13">
        <f t="array" ref="F118">-INDEX(E:E,ROUNDUP(ROW(E122)/2,0))</f>
        <v>0</v>
      </c>
      <c r="G118" s="13">
        <v>152.5</v>
      </c>
      <c r="L118" s="2"/>
      <c r="M118" s="2"/>
      <c r="N118" s="2"/>
      <c r="O118" s="2"/>
      <c r="P118" s="2"/>
      <c r="Q118" s="56"/>
      <c r="R118" s="2"/>
      <c r="S118" s="53"/>
      <c r="T118" s="59">
        <f t="array" ref="T118">IF(MOD(ROW()-8,4)=0,"",IF(MOD(ROW()-8,4)=1,INDEX(E:E,7+INT((ROW()-8)/4)*2)-INDEX(E:E,6+INT((ROW()-8)/4)*2),IF(MOD(ROW()-8,4)=2,INDEX(E:E,7+INT((ROW()-8)/4)*2),INDEX(E:E,8+INT((ROW()-8)/4)*2))))</f>
        <v>0</v>
      </c>
      <c r="U118" s="14">
        <f t="shared" si="26"/>
        <v>0</v>
      </c>
      <c r="V118" s="14">
        <f>G118-IF(LEN(TEXT(T118,"0"))=1,1.25,IF(LEN(TEXT(T118,"0"))=2,1.525,2.025))</f>
        <v>151.25</v>
      </c>
    </row>
    <row r="119" spans="1:22" x14ac:dyDescent="0.25">
      <c r="A119" s="2"/>
      <c r="E119" s="2"/>
      <c r="F119" s="13">
        <f t="array" ref="F119">-INDEX(E:E,ROUNDUP(ROW(E123)/2,0))</f>
        <v>0</v>
      </c>
      <c r="G119" s="13">
        <v>152.5</v>
      </c>
      <c r="L119" s="2"/>
      <c r="M119" s="2"/>
      <c r="N119" s="2"/>
      <c r="O119" s="2"/>
      <c r="P119" s="2"/>
      <c r="Q119" s="56"/>
      <c r="R119" s="2"/>
      <c r="S119" s="53"/>
      <c r="T119" s="59">
        <f t="array" ref="T119">IF(MOD(ROW()-8,4)=0,"",IF(MOD(ROW()-8,4)=1,INDEX(E:E,7+INT((ROW()-8)/4)*2)-INDEX(E:E,6+INT((ROW()-8)/4)*2),IF(MOD(ROW()-8,4)=2,INDEX(E:E,7+INT((ROW()-8)/4)*2),INDEX(E:E,8+INT((ROW()-8)/4)*2))))</f>
        <v>0</v>
      </c>
      <c r="U119" s="14">
        <f>F119-1.5</f>
        <v>-1.5</v>
      </c>
      <c r="V119" s="14">
        <f>G119-IF(LEN(TEXT(T119,"0"))=1,1.25,IF(LEN(TEXT(T119,"0"))=2,1.525,2.025))</f>
        <v>151.25</v>
      </c>
    </row>
    <row r="120" spans="1:22" x14ac:dyDescent="0.25">
      <c r="A120" s="2"/>
      <c r="E120" s="2"/>
      <c r="F120" s="13">
        <f t="array" ref="F120">-INDEX(E:E,ROUNDUP(ROW(E124)/2,0))</f>
        <v>0</v>
      </c>
      <c r="G120" s="13">
        <v>162.5</v>
      </c>
      <c r="L120" s="2"/>
      <c r="M120" s="2"/>
      <c r="N120" s="2"/>
      <c r="O120" s="2"/>
      <c r="P120" s="2"/>
      <c r="Q120" s="56"/>
      <c r="R120" s="2"/>
      <c r="S120" s="53"/>
      <c r="T120" s="59">
        <f t="array" ref="T120">IF(MOD(ROW()-8,4)=0,"",IF(MOD(ROW()-8,4)=1,INDEX(E:E,7+INT((ROW()-8)/4)*2)-INDEX(E:E,6+INT((ROW()-8)/4)*2),IF(MOD(ROW()-8,4)=2,INDEX(E:E,7+INT((ROW()-8)/4)*2),INDEX(E:E,8+INT((ROW()-8)/4)*2))))</f>
      </c>
      <c r="U120" s="14">
        <f t="shared" ref="U120:U124" si="27">F120</f>
        <v>0</v>
      </c>
      <c r="V120" s="14">
        <f>G120</f>
        <v>162.5</v>
      </c>
    </row>
    <row r="121" spans="1:22" x14ac:dyDescent="0.25">
      <c r="A121" s="2"/>
      <c r="E121" s="2"/>
      <c r="F121" s="13">
        <f t="array" ref="F121">-INDEX(E:E,ROUNDUP(ROW(E125)/2,0))</f>
        <v>0</v>
      </c>
      <c r="G121" s="13">
        <v>162.5</v>
      </c>
      <c r="L121" s="2"/>
      <c r="M121" s="2"/>
      <c r="N121" s="2"/>
      <c r="O121" s="2"/>
      <c r="P121" s="2"/>
      <c r="Q121" s="56"/>
      <c r="R121" s="2"/>
      <c r="S121" s="53"/>
      <c r="T121" s="59">
        <f t="array" ref="T121">IF(MOD(ROW()-8,4)=0,"",IF(MOD(ROW()-8,4)=1,INDEX(E:E,7+INT((ROW()-8)/4)*2)-INDEX(E:E,6+INT((ROW()-8)/4)*2),IF(MOD(ROW()-8,4)=2,INDEX(E:E,7+INT((ROW()-8)/4)*2),INDEX(E:E,8+INT((ROW()-8)/4)*2))))</f>
        <v>0</v>
      </c>
      <c r="U121" s="14">
        <f>IF(U122&lt;U120,(U122+U120)/2-0.75,0)</f>
        <v>0</v>
      </c>
      <c r="V121" s="14">
        <f>G121-IF(LEN(TEXT(T121,"0"))=1,6.28,IF(LEN(TEXT(T121,"0"))=2,6.55,7.05))</f>
        <v>156.22</v>
      </c>
    </row>
    <row r="122" spans="1:22" x14ac:dyDescent="0.25">
      <c r="A122" s="2"/>
      <c r="E122" s="2"/>
      <c r="F122" s="13">
        <f t="array" ref="F122">-INDEX(E:E,ROUNDUP(ROW(E126)/2,0))</f>
        <v>0</v>
      </c>
      <c r="G122" s="13">
        <v>152.5</v>
      </c>
      <c r="L122" s="2"/>
      <c r="M122" s="2"/>
      <c r="N122" s="2"/>
      <c r="O122" s="2"/>
      <c r="P122" s="2"/>
      <c r="Q122" s="56"/>
      <c r="R122" s="2"/>
      <c r="S122" s="53"/>
      <c r="T122" s="59">
        <f t="array" ref="T122">IF(MOD(ROW()-8,4)=0,"",IF(MOD(ROW()-8,4)=1,INDEX(E:E,7+INT((ROW()-8)/4)*2)-INDEX(E:E,6+INT((ROW()-8)/4)*2),IF(MOD(ROW()-8,4)=2,INDEX(E:E,7+INT((ROW()-8)/4)*2),INDEX(E:E,8+INT((ROW()-8)/4)*2))))</f>
        <v>0</v>
      </c>
      <c r="U122" s="14">
        <f t="shared" si="27"/>
        <v>0</v>
      </c>
      <c r="V122" s="14">
        <f>G122-IF(LEN(TEXT(T122,"0"))=1,1.25,IF(LEN(TEXT(T122,"0"))=2,1.525,2.025))</f>
        <v>151.25</v>
      </c>
    </row>
    <row r="123" spans="1:22" x14ac:dyDescent="0.25">
      <c r="A123" s="2"/>
      <c r="E123" s="2"/>
      <c r="F123" s="13">
        <f t="array" ref="F123">-INDEX(E:E,ROUNDUP(ROW(E127)/2,0))</f>
        <v>0</v>
      </c>
      <c r="G123" s="13">
        <v>152.5</v>
      </c>
      <c r="L123" s="2"/>
      <c r="M123" s="2"/>
      <c r="N123" s="2"/>
      <c r="O123" s="2"/>
      <c r="P123" s="2"/>
      <c r="Q123" s="56"/>
      <c r="R123" s="2"/>
      <c r="S123" s="53"/>
      <c r="T123" s="59">
        <f t="array" ref="T123">IF(MOD(ROW()-8,4)=0,"",IF(MOD(ROW()-8,4)=1,INDEX(E:E,7+INT((ROW()-8)/4)*2)-INDEX(E:E,6+INT((ROW()-8)/4)*2),IF(MOD(ROW()-8,4)=2,INDEX(E:E,7+INT((ROW()-8)/4)*2),INDEX(E:E,8+INT((ROW()-8)/4)*2))))</f>
        <v>0</v>
      </c>
      <c r="U123" s="14">
        <f>F123-1.5</f>
        <v>-1.5</v>
      </c>
      <c r="V123" s="14">
        <f>G123-IF(LEN(TEXT(T123,"0"))=1,1.25,IF(LEN(TEXT(T123,"0"))=2,1.525,2.025))</f>
        <v>151.25</v>
      </c>
    </row>
    <row r="124" spans="1:22" x14ac:dyDescent="0.25">
      <c r="A124" s="2"/>
      <c r="E124" s="2"/>
      <c r="F124" s="13">
        <f t="array" ref="F124">-INDEX(E:E,ROUNDUP(ROW(E128)/2,0))</f>
        <v>0</v>
      </c>
      <c r="G124" s="13">
        <v>162.5</v>
      </c>
      <c r="L124" s="2"/>
      <c r="M124" s="2"/>
      <c r="N124" s="2"/>
      <c r="O124" s="2"/>
      <c r="P124" s="2"/>
      <c r="Q124" s="56"/>
      <c r="R124" s="2"/>
      <c r="S124" s="53"/>
      <c r="T124" s="59">
        <f t="array" ref="T124">IF(MOD(ROW()-8,4)=0,"",IF(MOD(ROW()-8,4)=1,INDEX(E:E,7+INT((ROW()-8)/4)*2)-INDEX(E:E,6+INT((ROW()-8)/4)*2),IF(MOD(ROW()-8,4)=2,INDEX(E:E,7+INT((ROW()-8)/4)*2),INDEX(E:E,8+INT((ROW()-8)/4)*2))))</f>
      </c>
      <c r="U124" s="14">
        <f t="shared" si="27"/>
        <v>0</v>
      </c>
      <c r="V124" s="14">
        <f>G124</f>
        <v>162.5</v>
      </c>
    </row>
    <row r="125" spans="1:22" x14ac:dyDescent="0.25">
      <c r="A125" s="2"/>
      <c r="E125" s="2"/>
      <c r="F125" s="13">
        <f t="array" ref="F125">-INDEX(E:E,ROUNDUP(ROW(E129)/2,0))</f>
        <v>0</v>
      </c>
      <c r="G125" s="13">
        <v>162.5</v>
      </c>
      <c r="L125" s="2"/>
      <c r="M125" s="2"/>
      <c r="N125" s="2"/>
      <c r="O125" s="2"/>
      <c r="P125" s="2"/>
      <c r="Q125" s="56"/>
      <c r="R125" s="2"/>
      <c r="S125" s="53"/>
      <c r="T125" s="59">
        <f t="array" ref="T125">IF(MOD(ROW()-8,4)=0,"",IF(MOD(ROW()-8,4)=1,INDEX(E:E,7+INT((ROW()-8)/4)*2)-INDEX(E:E,6+INT((ROW()-8)/4)*2),IF(MOD(ROW()-8,4)=2,INDEX(E:E,7+INT((ROW()-8)/4)*2),INDEX(E:E,8+INT((ROW()-8)/4)*2))))</f>
        <v>0</v>
      </c>
      <c r="U125" s="14">
        <f>IF(U126&lt;U124,(U126+U124)/2-0.75,0)</f>
        <v>0</v>
      </c>
      <c r="V125" s="14">
        <f>G125-IF(LEN(TEXT(T125,"0"))=1,6.28,IF(LEN(TEXT(T125,"0"))=2,6.55,7.05))</f>
        <v>156.22</v>
      </c>
    </row>
    <row r="126" spans="1:22" x14ac:dyDescent="0.25">
      <c r="A126" s="2"/>
      <c r="E126" s="2"/>
      <c r="F126" s="13">
        <f t="array" ref="F126">-INDEX(E:E,ROUNDUP(ROW(E130)/2,0))</f>
        <v>0</v>
      </c>
      <c r="G126" s="13">
        <v>152.5</v>
      </c>
      <c r="L126" s="2"/>
      <c r="M126" s="2"/>
      <c r="N126" s="2"/>
      <c r="O126" s="2"/>
      <c r="P126" s="2"/>
      <c r="Q126" s="56"/>
      <c r="R126" s="2"/>
      <c r="S126" s="53"/>
      <c r="T126" s="59">
        <f t="array" ref="T126">IF(MOD(ROW()-8,4)=0,"",IF(MOD(ROW()-8,4)=1,INDEX(E:E,7+INT((ROW()-8)/4)*2)-INDEX(E:E,6+INT((ROW()-8)/4)*2),IF(MOD(ROW()-8,4)=2,INDEX(E:E,7+INT((ROW()-8)/4)*2),INDEX(E:E,8+INT((ROW()-8)/4)*2))))</f>
        <v>0</v>
      </c>
      <c r="U126" s="14">
        <f t="shared" ref="U126:U130" si="28">F126</f>
        <v>0</v>
      </c>
      <c r="V126" s="14">
        <f>G126-IF(LEN(TEXT(T126,"0"))=1,1.25,IF(LEN(TEXT(T126,"0"))=2,1.525,2.025))</f>
        <v>151.25</v>
      </c>
    </row>
    <row r="127" spans="1:22" x14ac:dyDescent="0.25">
      <c r="A127" s="2"/>
      <c r="E127" s="2"/>
      <c r="F127" s="13">
        <f t="array" ref="F127">-INDEX(E:E,ROUNDUP(ROW(E131)/2,0))</f>
        <v>0</v>
      </c>
      <c r="G127" s="13">
        <v>152.5</v>
      </c>
      <c r="L127" s="2"/>
      <c r="M127" s="2"/>
      <c r="N127" s="2"/>
      <c r="O127" s="2"/>
      <c r="P127" s="2"/>
      <c r="Q127" s="56"/>
      <c r="R127" s="2"/>
      <c r="S127" s="53"/>
      <c r="T127" s="59">
        <f t="array" ref="T127">IF(MOD(ROW()-8,4)=0,"",IF(MOD(ROW()-8,4)=1,INDEX(E:E,7+INT((ROW()-8)/4)*2)-INDEX(E:E,6+INT((ROW()-8)/4)*2),IF(MOD(ROW()-8,4)=2,INDEX(E:E,7+INT((ROW()-8)/4)*2),INDEX(E:E,8+INT((ROW()-8)/4)*2))))</f>
        <v>0</v>
      </c>
      <c r="U127" s="14">
        <f>F127-1.5</f>
        <v>-1.5</v>
      </c>
      <c r="V127" s="14">
        <f>G127-IF(LEN(TEXT(T127,"0"))=1,1.25,IF(LEN(TEXT(T127,"0"))=2,1.525,2.025))</f>
        <v>151.25</v>
      </c>
    </row>
    <row r="128" spans="1:22" x14ac:dyDescent="0.25">
      <c r="A128" s="2"/>
      <c r="E128" s="2"/>
      <c r="F128" s="13">
        <f t="array" ref="F128">-INDEX(E:E,ROUNDUP(ROW(E132)/2,0))</f>
        <v>0</v>
      </c>
      <c r="G128" s="13">
        <v>162.5</v>
      </c>
      <c r="L128" s="2"/>
      <c r="M128" s="2"/>
      <c r="N128" s="2"/>
      <c r="O128" s="2"/>
      <c r="P128" s="2"/>
      <c r="Q128" s="56"/>
      <c r="R128" s="2"/>
      <c r="S128" s="53"/>
      <c r="T128" s="59">
        <f t="array" ref="T128">IF(MOD(ROW()-8,4)=0,"",IF(MOD(ROW()-8,4)=1,INDEX(E:E,7+INT((ROW()-8)/4)*2)-INDEX(E:E,6+INT((ROW()-8)/4)*2),IF(MOD(ROW()-8,4)=2,INDEX(E:E,7+INT((ROW()-8)/4)*2),INDEX(E:E,8+INT((ROW()-8)/4)*2))))</f>
      </c>
      <c r="U128" s="14">
        <f t="shared" si="28"/>
        <v>0</v>
      </c>
      <c r="V128" s="14">
        <f>G128</f>
        <v>162.5</v>
      </c>
    </row>
    <row r="129" spans="1:22" x14ac:dyDescent="0.25">
      <c r="A129" s="2"/>
      <c r="E129" s="2"/>
      <c r="F129" s="13">
        <f t="array" ref="F129">-INDEX(E:E,ROUNDUP(ROW(E133)/2,0))</f>
        <v>0</v>
      </c>
      <c r="G129" s="13">
        <v>162.5</v>
      </c>
      <c r="L129" s="2"/>
      <c r="M129" s="2"/>
      <c r="N129" s="2"/>
      <c r="O129" s="2"/>
      <c r="P129" s="2"/>
      <c r="Q129" s="56"/>
      <c r="R129" s="2"/>
      <c r="S129" s="53"/>
      <c r="T129" s="59">
        <f t="array" ref="T129">IF(MOD(ROW()-8,4)=0,"",IF(MOD(ROW()-8,4)=1,INDEX(E:E,7+INT((ROW()-8)/4)*2)-INDEX(E:E,6+INT((ROW()-8)/4)*2),IF(MOD(ROW()-8,4)=2,INDEX(E:E,7+INT((ROW()-8)/4)*2),INDEX(E:E,8+INT((ROW()-8)/4)*2))))</f>
        <v>0</v>
      </c>
      <c r="U129" s="14">
        <f>IF(U130&lt;U128,(U130+U128)/2-0.75,0)</f>
        <v>0</v>
      </c>
      <c r="V129" s="14">
        <f>G129-IF(LEN(TEXT(T129,"0"))=1,6.28,IF(LEN(TEXT(T129,"0"))=2,6.55,7.05))</f>
        <v>156.22</v>
      </c>
    </row>
    <row r="130" spans="1:22" x14ac:dyDescent="0.25">
      <c r="A130" s="2"/>
      <c r="E130" s="2"/>
      <c r="F130" s="13">
        <f t="array" ref="F130">-INDEX(E:E,ROUNDUP(ROW(E134)/2,0))</f>
        <v>0</v>
      </c>
      <c r="G130" s="13">
        <v>152.5</v>
      </c>
      <c r="L130" s="2"/>
      <c r="M130" s="2"/>
      <c r="N130" s="2"/>
      <c r="O130" s="2"/>
      <c r="P130" s="2"/>
      <c r="Q130" s="56"/>
      <c r="R130" s="2"/>
      <c r="S130" s="53"/>
      <c r="T130" s="59">
        <f t="array" ref="T130">IF(MOD(ROW()-8,4)=0,"",IF(MOD(ROW()-8,4)=1,INDEX(E:E,7+INT((ROW()-8)/4)*2)-INDEX(E:E,6+INT((ROW()-8)/4)*2),IF(MOD(ROW()-8,4)=2,INDEX(E:E,7+INT((ROW()-8)/4)*2),INDEX(E:E,8+INT((ROW()-8)/4)*2))))</f>
        <v>0</v>
      </c>
      <c r="U130" s="14">
        <f t="shared" si="28"/>
        <v>0</v>
      </c>
      <c r="V130" s="14">
        <f>G130-IF(LEN(TEXT(T130,"0"))=1,1.25,IF(LEN(TEXT(T130,"0"))=2,1.525,2.025))</f>
        <v>151.25</v>
      </c>
    </row>
    <row r="131" spans="1:22" x14ac:dyDescent="0.25">
      <c r="A131" s="2"/>
      <c r="E131" s="2"/>
      <c r="F131" s="13">
        <f t="array" ref="F131">-INDEX(E:E,ROUNDUP(ROW(E135)/2,0))</f>
        <v>0</v>
      </c>
      <c r="G131" s="13">
        <v>152.5</v>
      </c>
      <c r="L131" s="2"/>
      <c r="M131" s="2"/>
      <c r="N131" s="2"/>
      <c r="O131" s="2"/>
      <c r="P131" s="2"/>
      <c r="Q131" s="56"/>
      <c r="R131" s="2"/>
      <c r="S131" s="53"/>
      <c r="T131" s="59">
        <f t="array" ref="T131">IF(MOD(ROW()-8,4)=0,"",IF(MOD(ROW()-8,4)=1,INDEX(E:E,7+INT((ROW()-8)/4)*2)-INDEX(E:E,6+INT((ROW()-8)/4)*2),IF(MOD(ROW()-8,4)=2,INDEX(E:E,7+INT((ROW()-8)/4)*2),INDEX(E:E,8+INT((ROW()-8)/4)*2))))</f>
        <v>0</v>
      </c>
      <c r="U131" s="14">
        <f>F131-1.5</f>
        <v>-1.5</v>
      </c>
      <c r="V131" s="14">
        <f>G131-IF(LEN(TEXT(T131,"0"))=1,1.25,IF(LEN(TEXT(T131,"0"))=2,1.525,2.025))</f>
        <v>151.25</v>
      </c>
    </row>
    <row r="132" spans="1:22" x14ac:dyDescent="0.25">
      <c r="A132" s="2"/>
      <c r="E132" s="2"/>
      <c r="F132" s="13">
        <f t="array" ref="F132">-INDEX(E:E,ROUNDUP(ROW(E136)/2,0))</f>
        <v>0</v>
      </c>
      <c r="G132" s="13">
        <v>162.5</v>
      </c>
      <c r="L132" s="2"/>
      <c r="M132" s="2"/>
      <c r="N132" s="2"/>
      <c r="O132" s="2"/>
      <c r="P132" s="2"/>
      <c r="Q132" s="56"/>
      <c r="R132" s="2"/>
      <c r="S132" s="53"/>
      <c r="T132" s="59">
        <f t="array" ref="T132">IF(MOD(ROW()-8,4)=0,"",IF(MOD(ROW()-8,4)=1,INDEX(E:E,7+INT((ROW()-8)/4)*2)-INDEX(E:E,6+INT((ROW()-8)/4)*2),IF(MOD(ROW()-8,4)=2,INDEX(E:E,7+INT((ROW()-8)/4)*2),INDEX(E:E,8+INT((ROW()-8)/4)*2))))</f>
      </c>
      <c r="U132" s="14">
        <f t="shared" ref="U132:U136" si="29">F132</f>
        <v>0</v>
      </c>
      <c r="V132" s="14">
        <f>G132</f>
        <v>162.5</v>
      </c>
    </row>
    <row r="133" spans="1:22" x14ac:dyDescent="0.25">
      <c r="A133" s="2"/>
      <c r="E133" s="2"/>
      <c r="F133" s="13">
        <f t="array" ref="F133">-INDEX(E:E,ROUNDUP(ROW(E137)/2,0))</f>
        <v>0</v>
      </c>
      <c r="G133" s="13">
        <v>162.5</v>
      </c>
      <c r="L133" s="2"/>
      <c r="M133" s="2"/>
      <c r="N133" s="2"/>
      <c r="O133" s="2"/>
      <c r="P133" s="2"/>
      <c r="Q133" s="56"/>
      <c r="R133" s="2"/>
      <c r="S133" s="53"/>
      <c r="T133" s="59">
        <f t="array" ref="T133">IF(MOD(ROW()-8,4)=0,"",IF(MOD(ROW()-8,4)=1,INDEX(E:E,7+INT((ROW()-8)/4)*2)-INDEX(E:E,6+INT((ROW()-8)/4)*2),IF(MOD(ROW()-8,4)=2,INDEX(E:E,7+INT((ROW()-8)/4)*2),INDEX(E:E,8+INT((ROW()-8)/4)*2))))</f>
        <v>0</v>
      </c>
      <c r="U133" s="14">
        <f>IF(U134&lt;U132,(U134+U132)/2-0.75,0)</f>
        <v>0</v>
      </c>
      <c r="V133" s="14">
        <f>G133-IF(LEN(TEXT(T133,"0"))=1,6.28,IF(LEN(TEXT(T133,"0"))=2,6.55,7.05))</f>
        <v>156.22</v>
      </c>
    </row>
    <row r="134" spans="1:22" x14ac:dyDescent="0.25">
      <c r="A134" s="2"/>
      <c r="E134" s="2"/>
      <c r="F134" s="13">
        <f t="array" ref="F134">-INDEX(E:E,ROUNDUP(ROW(E138)/2,0))</f>
        <v>0</v>
      </c>
      <c r="G134" s="13">
        <v>152.5</v>
      </c>
      <c r="L134" s="2"/>
      <c r="M134" s="2"/>
      <c r="N134" s="2"/>
      <c r="O134" s="2"/>
      <c r="P134" s="2"/>
      <c r="Q134" s="56"/>
      <c r="R134" s="2"/>
      <c r="S134" s="53"/>
      <c r="T134" s="59">
        <f t="array" ref="T134">IF(MOD(ROW()-8,4)=0,"",IF(MOD(ROW()-8,4)=1,INDEX(E:E,7+INT((ROW()-8)/4)*2)-INDEX(E:E,6+INT((ROW()-8)/4)*2),IF(MOD(ROW()-8,4)=2,INDEX(E:E,7+INT((ROW()-8)/4)*2),INDEX(E:E,8+INT((ROW()-8)/4)*2))))</f>
        <v>0</v>
      </c>
      <c r="U134" s="14">
        <f t="shared" si="29"/>
        <v>0</v>
      </c>
      <c r="V134" s="14">
        <f>G134-IF(LEN(TEXT(T134,"0"))=1,1.25,IF(LEN(TEXT(T134,"0"))=2,1.525,2.025))</f>
        <v>151.25</v>
      </c>
    </row>
    <row r="135" spans="1:22" x14ac:dyDescent="0.25">
      <c r="A135" s="2"/>
      <c r="E135" s="2"/>
      <c r="F135" s="13">
        <f t="array" ref="F135">-INDEX(E:E,ROUNDUP(ROW(E139)/2,0))</f>
        <v>0</v>
      </c>
      <c r="G135" s="13">
        <v>152.5</v>
      </c>
      <c r="L135" s="2"/>
      <c r="M135" s="2"/>
      <c r="N135" s="2"/>
      <c r="O135" s="2"/>
      <c r="P135" s="2"/>
      <c r="Q135" s="56"/>
      <c r="R135" s="2"/>
      <c r="S135" s="53"/>
      <c r="T135" s="59">
        <f t="array" ref="T135">IF(MOD(ROW()-8,4)=0,"",IF(MOD(ROW()-8,4)=1,INDEX(E:E,7+INT((ROW()-8)/4)*2)-INDEX(E:E,6+INT((ROW()-8)/4)*2),IF(MOD(ROW()-8,4)=2,INDEX(E:E,7+INT((ROW()-8)/4)*2),INDEX(E:E,8+INT((ROW()-8)/4)*2))))</f>
        <v>0</v>
      </c>
      <c r="U135" s="14">
        <f>F135-1.5</f>
        <v>-1.5</v>
      </c>
      <c r="V135" s="14">
        <f>G135-IF(LEN(TEXT(T135,"0"))=1,1.25,IF(LEN(TEXT(T135,"0"))=2,1.525,2.025))</f>
        <v>151.25</v>
      </c>
    </row>
    <row r="136" spans="1:22" x14ac:dyDescent="0.25">
      <c r="A136" s="2"/>
      <c r="E136" s="2"/>
      <c r="F136" s="13">
        <f t="array" ref="F136">-INDEX(E:E,ROUNDUP(ROW(E140)/2,0))</f>
        <v>0</v>
      </c>
      <c r="G136" s="13">
        <v>162.5</v>
      </c>
      <c r="L136" s="2"/>
      <c r="M136" s="2"/>
      <c r="N136" s="2"/>
      <c r="O136" s="2"/>
      <c r="P136" s="2"/>
      <c r="Q136" s="56"/>
      <c r="R136" s="2"/>
      <c r="S136" s="53"/>
      <c r="T136" s="59"/>
      <c r="U136" s="14">
        <f t="shared" si="29"/>
        <v>0</v>
      </c>
      <c r="V136" s="14">
        <f>G136</f>
        <v>162.5</v>
      </c>
    </row>
    <row r="137" spans="1:22" x14ac:dyDescent="0.25">
      <c r="A137" s="2"/>
      <c r="E137" s="2"/>
      <c r="F137" s="13">
        <f t="array" ref="F137">-INDEX(E:E,ROUNDUP(ROW(E141)/2,0))</f>
        <v>0</v>
      </c>
      <c r="G137" s="13">
        <v>162.5</v>
      </c>
      <c r="L137" s="2"/>
      <c r="M137" s="2"/>
      <c r="N137" s="2"/>
      <c r="O137" s="2"/>
      <c r="P137" s="2"/>
      <c r="Q137" s="56"/>
      <c r="R137" s="2"/>
      <c r="S137" s="53"/>
      <c r="T137" s="59"/>
      <c r="U137" s="14">
        <f>IF(U138&lt;U136,(U138+U136)/2-0.75,0)</f>
        <v>0</v>
      </c>
      <c r="V137" s="14">
        <f>G137-IF(LEN(TEXT(T137,"0"))=1,6.28,IF(LEN(TEXT(T137,"0"))=2,6.55,7.05))</f>
        <v>156.22</v>
      </c>
    </row>
    <row r="138" spans="1:22" x14ac:dyDescent="0.25">
      <c r="A138" s="2"/>
      <c r="E138" s="2"/>
      <c r="F138" s="13">
        <f t="array" ref="F138">-INDEX(E:E,ROUNDUP(ROW(E142)/2,0))</f>
        <v>0</v>
      </c>
      <c r="G138" s="13">
        <v>152.5</v>
      </c>
      <c r="L138" s="2"/>
      <c r="M138" s="2"/>
      <c r="N138" s="2"/>
      <c r="O138" s="2"/>
      <c r="P138" s="2"/>
      <c r="Q138" s="56"/>
      <c r="R138" s="2"/>
      <c r="S138" s="53"/>
      <c r="T138" s="59"/>
      <c r="U138" s="14">
        <f t="shared" ref="U138:U142" si="30">F138</f>
        <v>0</v>
      </c>
      <c r="V138" s="14">
        <f>G138-IF(LEN(TEXT(T138,"0"))=1,1.25,IF(LEN(TEXT(T138,"0"))=2,1.525,2.025))</f>
        <v>151.25</v>
      </c>
    </row>
    <row r="139" spans="1:22" x14ac:dyDescent="0.25">
      <c r="A139" s="2"/>
      <c r="E139" s="2"/>
      <c r="F139" s="13">
        <f t="array" ref="F139">-INDEX(E:E,ROUNDUP(ROW(E143)/2,0))</f>
        <v>0</v>
      </c>
      <c r="G139" s="13">
        <v>152.5</v>
      </c>
      <c r="L139" s="2"/>
      <c r="M139" s="2"/>
      <c r="N139" s="2"/>
      <c r="O139" s="2"/>
      <c r="P139" s="2"/>
      <c r="Q139" s="56"/>
      <c r="R139" s="2"/>
      <c r="S139" s="53"/>
      <c r="T139" s="59"/>
      <c r="U139" s="14">
        <f>F139-1.5</f>
        <v>-1.5</v>
      </c>
      <c r="V139" s="14">
        <f>G139-IF(LEN(TEXT(T139,"0"))=1,1.25,IF(LEN(TEXT(T139,"0"))=2,1.525,2.025))</f>
        <v>151.25</v>
      </c>
    </row>
    <row r="140" spans="1:22" x14ac:dyDescent="0.25">
      <c r="A140" s="2"/>
      <c r="E140" s="2"/>
      <c r="F140" s="13">
        <f t="array" ref="F140">-INDEX(E:E,ROUNDUP(ROW(E144)/2,0))</f>
        <v>0</v>
      </c>
      <c r="G140" s="13">
        <v>162.5</v>
      </c>
      <c r="L140" s="2"/>
      <c r="M140" s="2"/>
      <c r="N140" s="2"/>
      <c r="O140" s="2"/>
      <c r="P140" s="2"/>
      <c r="Q140" s="56"/>
      <c r="R140" s="2"/>
      <c r="S140" s="53"/>
      <c r="T140" s="59"/>
      <c r="U140" s="14">
        <f t="shared" si="30"/>
        <v>0</v>
      </c>
      <c r="V140" s="14">
        <f>G140</f>
        <v>162.5</v>
      </c>
    </row>
    <row r="141" spans="1:22" x14ac:dyDescent="0.25">
      <c r="A141" s="2"/>
      <c r="E141" s="2"/>
      <c r="F141" s="13">
        <f t="array" ref="F141">-INDEX(E:E,ROUNDUP(ROW(E145)/2,0))</f>
        <v>0</v>
      </c>
      <c r="G141" s="13">
        <v>162.5</v>
      </c>
      <c r="L141" s="2"/>
      <c r="M141" s="2"/>
      <c r="N141" s="2"/>
      <c r="O141" s="2"/>
      <c r="P141" s="2"/>
      <c r="Q141" s="56"/>
      <c r="R141" s="2"/>
      <c r="S141" s="53"/>
      <c r="T141" s="59"/>
      <c r="U141" s="14">
        <f>IF(U142&lt;U140,(U142+U140)/2-0.75,0)</f>
        <v>0</v>
      </c>
      <c r="V141" s="14">
        <f>G141-IF(LEN(TEXT(T141,"0"))=1,6.28,IF(LEN(TEXT(T141,"0"))=2,6.55,7.05))</f>
        <v>156.22</v>
      </c>
    </row>
    <row r="142" spans="1:22" x14ac:dyDescent="0.25">
      <c r="A142" s="2"/>
      <c r="E142" s="2"/>
      <c r="F142" s="13">
        <f t="array" ref="F142">-INDEX(E:E,ROUNDUP(ROW(E146)/2,0))</f>
        <v>0</v>
      </c>
      <c r="G142" s="13">
        <v>152.5</v>
      </c>
      <c r="L142" s="2"/>
      <c r="M142" s="2"/>
      <c r="N142" s="2"/>
      <c r="O142" s="2"/>
      <c r="P142" s="2"/>
      <c r="Q142" s="56"/>
      <c r="R142" s="2"/>
      <c r="S142" s="53"/>
      <c r="T142" s="59"/>
      <c r="U142" s="14">
        <f t="shared" si="30"/>
        <v>0</v>
      </c>
      <c r="V142" s="14">
        <f>G142-IF(LEN(TEXT(T142,"0"))=1,1.25,IF(LEN(TEXT(T142,"0"))=2,1.525,2.025))</f>
        <v>151.25</v>
      </c>
    </row>
    <row r="143" spans="1:22" x14ac:dyDescent="0.25">
      <c r="A143" s="2"/>
      <c r="E143" s="2"/>
      <c r="F143" s="13">
        <f t="array" ref="F143">-INDEX(E:E,ROUNDUP(ROW(E147)/2,0))</f>
        <v>0</v>
      </c>
      <c r="G143" s="13">
        <v>152.5</v>
      </c>
      <c r="L143" s="2"/>
      <c r="M143" s="2"/>
      <c r="N143" s="2"/>
      <c r="O143" s="2"/>
      <c r="P143" s="2"/>
      <c r="Q143" s="56"/>
      <c r="R143" s="2"/>
      <c r="S143" s="53"/>
      <c r="T143" s="59"/>
      <c r="U143" s="14">
        <f>F143-1.5</f>
        <v>-1.5</v>
      </c>
      <c r="V143" s="14">
        <f>G143-IF(LEN(TEXT(T143,"0"))=1,1.25,IF(LEN(TEXT(T143,"0"))=2,1.525,2.025))</f>
        <v>151.25</v>
      </c>
    </row>
    <row r="144" spans="1:22" x14ac:dyDescent="0.25">
      <c r="A144" s="2"/>
      <c r="E144" s="2"/>
      <c r="F144" s="13">
        <f t="array" ref="F144">-INDEX(E:E,ROUNDUP(ROW(E148)/2,0))</f>
        <v>0</v>
      </c>
      <c r="G144" s="13">
        <v>162.5</v>
      </c>
      <c r="L144" s="2"/>
      <c r="M144" s="2"/>
      <c r="N144" s="2"/>
      <c r="O144" s="2"/>
      <c r="P144" s="2"/>
      <c r="Q144" s="56"/>
      <c r="R144" s="2"/>
      <c r="S144" s="53"/>
      <c r="T144" s="59"/>
      <c r="U144" s="14">
        <f t="shared" ref="U144:U148" si="31">F144</f>
        <v>0</v>
      </c>
      <c r="V144" s="14">
        <f>G144</f>
        <v>162.5</v>
      </c>
    </row>
    <row r="145" spans="1:22" x14ac:dyDescent="0.25">
      <c r="A145" s="2"/>
      <c r="E145" s="2"/>
      <c r="F145" s="13">
        <f t="array" ref="F145">-INDEX(E:E,ROUNDUP(ROW(E149)/2,0))</f>
        <v>0</v>
      </c>
      <c r="G145" s="13">
        <v>162.5</v>
      </c>
      <c r="L145" s="2"/>
      <c r="M145" s="2"/>
      <c r="N145" s="2"/>
      <c r="O145" s="2"/>
      <c r="P145" s="2"/>
      <c r="Q145" s="56"/>
      <c r="R145" s="2"/>
      <c r="S145" s="53"/>
      <c r="T145" s="59"/>
      <c r="U145" s="14">
        <f>IF(U146&lt;U144,(U146+U144)/2-0.75,0)</f>
        <v>0</v>
      </c>
      <c r="V145" s="14">
        <f>G145-IF(LEN(TEXT(T145,"0"))=1,6.28,IF(LEN(TEXT(T145,"0"))=2,6.55,7.05))</f>
        <v>156.22</v>
      </c>
    </row>
    <row r="146" spans="1:22" x14ac:dyDescent="0.25">
      <c r="A146" s="2"/>
      <c r="E146" s="2"/>
      <c r="F146" s="13">
        <f t="array" ref="F146">-INDEX(E:E,ROUNDUP(ROW(E150)/2,0))</f>
        <v>0</v>
      </c>
      <c r="G146" s="13">
        <v>152.5</v>
      </c>
      <c r="L146" s="2"/>
      <c r="M146" s="2"/>
      <c r="N146" s="2"/>
      <c r="O146" s="2"/>
      <c r="P146" s="2"/>
      <c r="Q146" s="56"/>
      <c r="R146" s="2"/>
      <c r="S146" s="53"/>
      <c r="T146" s="59"/>
      <c r="U146" s="14">
        <f t="shared" si="31"/>
        <v>0</v>
      </c>
      <c r="V146" s="14">
        <f>G146-IF(LEN(TEXT(T146,"0"))=1,1.25,IF(LEN(TEXT(T146,"0"))=2,1.525,2.025))</f>
        <v>151.25</v>
      </c>
    </row>
    <row r="147" spans="1:22" x14ac:dyDescent="0.25">
      <c r="A147" s="2"/>
      <c r="E147" s="2"/>
      <c r="F147" s="13">
        <f t="array" ref="F147">-INDEX(E:E,ROUNDUP(ROW(E151)/2,0))</f>
        <v>0</v>
      </c>
      <c r="G147" s="13">
        <v>152.5</v>
      </c>
      <c r="L147" s="2"/>
      <c r="M147" s="2"/>
      <c r="N147" s="2"/>
      <c r="O147" s="2"/>
      <c r="P147" s="2"/>
      <c r="Q147" s="56"/>
      <c r="R147" s="2"/>
      <c r="S147" s="53"/>
      <c r="T147" s="59"/>
      <c r="U147" s="14">
        <f>F147-1.5</f>
        <v>-1.5</v>
      </c>
      <c r="V147" s="14">
        <f>G147-IF(LEN(TEXT(T147,"0"))=1,1.25,IF(LEN(TEXT(T147,"0"))=2,1.525,2.025))</f>
        <v>151.25</v>
      </c>
    </row>
    <row r="148" spans="1:22" x14ac:dyDescent="0.25">
      <c r="A148" s="2"/>
      <c r="E148" s="2"/>
      <c r="F148" s="13">
        <f t="array" ref="F148">-INDEX(E:E,ROUNDUP(ROW(E152)/2,0))</f>
        <v>0</v>
      </c>
      <c r="G148" s="13">
        <v>162.5</v>
      </c>
      <c r="L148" s="2"/>
      <c r="M148" s="2"/>
      <c r="N148" s="2"/>
      <c r="O148" s="2"/>
      <c r="P148" s="2"/>
      <c r="Q148" s="56"/>
      <c r="R148" s="2"/>
      <c r="S148" s="53"/>
      <c r="T148" s="59"/>
      <c r="U148" s="14">
        <f t="shared" si="31"/>
        <v>0</v>
      </c>
      <c r="V148" s="14">
        <f>G148</f>
        <v>162.5</v>
      </c>
    </row>
    <row r="149" spans="1:22" x14ac:dyDescent="0.25">
      <c r="A149" s="2"/>
      <c r="E149" s="2"/>
      <c r="F149" s="13">
        <f t="array" ref="F149">-INDEX(E:E,ROUNDUP(ROW(E153)/2,0))</f>
        <v>0</v>
      </c>
      <c r="G149" s="13">
        <v>162.5</v>
      </c>
      <c r="L149" s="2"/>
      <c r="M149" s="2"/>
      <c r="N149" s="2"/>
      <c r="O149" s="2"/>
      <c r="P149" s="2"/>
      <c r="Q149" s="56"/>
      <c r="R149" s="2"/>
      <c r="S149" s="53"/>
      <c r="T149" s="59"/>
      <c r="U149" s="14">
        <f>IF(U150&lt;U148,(U150+U148)/2-0.75,0)</f>
        <v>0</v>
      </c>
      <c r="V149" s="14">
        <f>G149-IF(LEN(TEXT(T149,"0"))=1,6.28,IF(LEN(TEXT(T149,"0"))=2,6.55,7.05))</f>
        <v>156.22</v>
      </c>
    </row>
    <row r="150" spans="1:22" x14ac:dyDescent="0.25">
      <c r="A150" s="2"/>
      <c r="E150" s="2"/>
      <c r="F150" s="13">
        <f t="array" ref="F150">-INDEX(E:E,ROUNDUP(ROW(E154)/2,0))</f>
        <v>0</v>
      </c>
      <c r="G150" s="13">
        <v>152.5</v>
      </c>
      <c r="L150" s="2"/>
      <c r="M150" s="2"/>
      <c r="N150" s="2"/>
      <c r="O150" s="2"/>
      <c r="P150" s="2"/>
      <c r="Q150" s="56"/>
      <c r="R150" s="2"/>
      <c r="S150" s="53"/>
      <c r="T150" s="59"/>
      <c r="U150" s="14">
        <f t="shared" ref="U150:U154" si="32">F150</f>
        <v>0</v>
      </c>
      <c r="V150" s="14">
        <f>G150-IF(LEN(TEXT(T150,"0"))=1,1.25,IF(LEN(TEXT(T150,"0"))=2,1.525,2.025))</f>
        <v>151.25</v>
      </c>
    </row>
    <row r="151" spans="1:22" x14ac:dyDescent="0.25">
      <c r="A151" s="2"/>
      <c r="E151" s="2"/>
      <c r="F151" s="13">
        <f t="array" ref="F151">-INDEX(E:E,ROUNDUP(ROW(E155)/2,0))</f>
        <v>0</v>
      </c>
      <c r="G151" s="13">
        <v>152.5</v>
      </c>
      <c r="L151" s="2"/>
      <c r="M151" s="2"/>
      <c r="N151" s="2"/>
      <c r="O151" s="2"/>
      <c r="P151" s="2"/>
      <c r="Q151" s="56"/>
      <c r="R151" s="2"/>
      <c r="S151" s="53"/>
      <c r="T151" s="59"/>
      <c r="U151" s="14">
        <f>F151-1.5</f>
        <v>-1.5</v>
      </c>
      <c r="V151" s="14">
        <f>G151-IF(LEN(TEXT(T151,"0"))=1,1.25,IF(LEN(TEXT(T151,"0"))=2,1.525,2.025))</f>
        <v>151.25</v>
      </c>
    </row>
    <row r="152" spans="1:22" x14ac:dyDescent="0.25">
      <c r="A152" s="2"/>
      <c r="E152" s="2"/>
      <c r="F152" s="13">
        <f t="array" ref="F152">-INDEX(E:E,ROUNDUP(ROW(E156)/2,0))</f>
        <v>0</v>
      </c>
      <c r="G152" s="13">
        <v>162.5</v>
      </c>
      <c r="L152" s="2"/>
      <c r="M152" s="2"/>
      <c r="N152" s="2"/>
      <c r="O152" s="2"/>
      <c r="P152" s="2"/>
      <c r="Q152" s="56"/>
      <c r="R152" s="2"/>
      <c r="S152" s="53"/>
      <c r="T152" s="59"/>
      <c r="U152" s="14">
        <f t="shared" si="32"/>
        <v>0</v>
      </c>
      <c r="V152" s="14">
        <f>G152</f>
        <v>162.5</v>
      </c>
    </row>
    <row r="153" spans="1:22" x14ac:dyDescent="0.25">
      <c r="A153" s="2"/>
      <c r="E153" s="2"/>
      <c r="F153" s="13">
        <f t="array" ref="F153">-INDEX(E:E,ROUNDUP(ROW(E157)/2,0))</f>
        <v>0</v>
      </c>
      <c r="G153" s="13">
        <v>162.5</v>
      </c>
      <c r="L153" s="2"/>
      <c r="M153" s="2"/>
      <c r="N153" s="2"/>
      <c r="O153" s="2"/>
      <c r="P153" s="2"/>
      <c r="Q153" s="56"/>
      <c r="R153" s="2"/>
      <c r="S153" s="53"/>
      <c r="T153" s="59"/>
      <c r="U153" s="14">
        <f>IF(U154&lt;U152,(U154+U152)/2-0.75,0)</f>
        <v>0</v>
      </c>
      <c r="V153" s="14">
        <f>G153-IF(LEN(TEXT(T153,"0"))=1,6.28,IF(LEN(TEXT(T153,"0"))=2,6.55,7.05))</f>
        <v>156.22</v>
      </c>
    </row>
    <row r="154" spans="1:22" x14ac:dyDescent="0.25">
      <c r="A154" s="2"/>
      <c r="E154" s="2"/>
      <c r="F154" s="13">
        <f t="array" ref="F154">-INDEX(E:E,ROUNDUP(ROW(E158)/2,0))</f>
        <v>0</v>
      </c>
      <c r="G154" s="13">
        <v>152.5</v>
      </c>
      <c r="L154" s="2"/>
      <c r="M154" s="2"/>
      <c r="N154" s="2"/>
      <c r="O154" s="2"/>
      <c r="P154" s="2"/>
      <c r="Q154" s="56"/>
      <c r="R154" s="2"/>
      <c r="S154" s="53"/>
      <c r="T154" s="59"/>
      <c r="U154" s="14">
        <f t="shared" si="32"/>
        <v>0</v>
      </c>
      <c r="V154" s="14">
        <f>G154-IF(LEN(TEXT(T154,"0"))=1,1.25,IF(LEN(TEXT(T154,"0"))=2,1.525,2.025))</f>
        <v>151.25</v>
      </c>
    </row>
    <row r="155" spans="1:22" x14ac:dyDescent="0.25">
      <c r="A155" s="2"/>
      <c r="E155" s="2"/>
      <c r="F155" s="13">
        <f t="array" ref="F155">-INDEX(E:E,ROUNDUP(ROW(E159)/2,0))</f>
        <v>0</v>
      </c>
      <c r="G155" s="13">
        <v>152.5</v>
      </c>
      <c r="L155" s="2"/>
      <c r="M155" s="2"/>
      <c r="N155" s="2"/>
      <c r="O155" s="2"/>
      <c r="P155" s="2"/>
      <c r="Q155" s="56"/>
      <c r="R155" s="2"/>
      <c r="S155" s="53"/>
      <c r="T155" s="59"/>
      <c r="U155" s="14">
        <f>F155-1.5</f>
        <v>-1.5</v>
      </c>
      <c r="V155" s="14">
        <f>G155-IF(LEN(TEXT(T155,"0"))=1,1.25,IF(LEN(TEXT(T155,"0"))=2,1.525,2.025))</f>
        <v>151.25</v>
      </c>
    </row>
    <row r="156" spans="1:22" x14ac:dyDescent="0.25">
      <c r="A156" s="2"/>
      <c r="E156" s="2"/>
      <c r="F156" s="13">
        <f t="array" ref="F156">-INDEX(E:E,ROUNDUP(ROW(E160)/2,0))</f>
        <v>0</v>
      </c>
      <c r="G156" s="13">
        <v>162.5</v>
      </c>
      <c r="L156" s="2"/>
      <c r="M156" s="2"/>
      <c r="N156" s="2"/>
      <c r="O156" s="2"/>
      <c r="P156" s="2"/>
      <c r="Q156" s="56"/>
      <c r="R156" s="2"/>
      <c r="S156" s="53"/>
      <c r="T156" s="59"/>
      <c r="U156" s="14">
        <f t="shared" ref="U156:U160" si="33">F156</f>
        <v>0</v>
      </c>
      <c r="V156" s="14">
        <f>G156</f>
        <v>162.5</v>
      </c>
    </row>
    <row r="157" spans="1:22" x14ac:dyDescent="0.25">
      <c r="A157" s="2"/>
      <c r="E157" s="2"/>
      <c r="F157" s="13">
        <f t="array" ref="F157">-INDEX(E:E,ROUNDUP(ROW(E161)/2,0))</f>
        <v>0</v>
      </c>
      <c r="G157" s="13">
        <v>162.5</v>
      </c>
      <c r="L157" s="2"/>
      <c r="M157" s="2"/>
      <c r="N157" s="2"/>
      <c r="O157" s="2"/>
      <c r="P157" s="2"/>
      <c r="Q157" s="56"/>
      <c r="R157" s="2"/>
      <c r="S157" s="53"/>
      <c r="T157" s="59"/>
      <c r="U157" s="14">
        <f>IF(U158&lt;U156,(U158+U156)/2-0.75,0)</f>
        <v>0</v>
      </c>
      <c r="V157" s="14">
        <f>G157-IF(LEN(TEXT(T157,"0"))=1,6.28,IF(LEN(TEXT(T157,"0"))=2,6.55,7.05))</f>
        <v>156.22</v>
      </c>
    </row>
    <row r="158" spans="1:22" x14ac:dyDescent="0.25">
      <c r="A158" s="2"/>
      <c r="E158" s="2"/>
      <c r="F158" s="13">
        <f t="array" ref="F158">-INDEX(E:E,ROUNDUP(ROW(E162)/2,0))</f>
        <v>0</v>
      </c>
      <c r="G158" s="13">
        <v>152.5</v>
      </c>
      <c r="L158" s="2"/>
      <c r="M158" s="2"/>
      <c r="N158" s="2"/>
      <c r="O158" s="2"/>
      <c r="P158" s="2"/>
      <c r="Q158" s="56"/>
      <c r="R158" s="2"/>
      <c r="S158" s="53"/>
      <c r="T158" s="59"/>
      <c r="U158" s="14">
        <f t="shared" si="33"/>
        <v>0</v>
      </c>
      <c r="V158" s="14">
        <f>G158-IF(LEN(TEXT(T158,"0"))=1,1.25,IF(LEN(TEXT(T158,"0"))=2,1.525,2.025))</f>
        <v>151.25</v>
      </c>
    </row>
    <row r="159" spans="1:22" x14ac:dyDescent="0.25">
      <c r="A159" s="2"/>
      <c r="E159" s="2"/>
      <c r="F159" s="13">
        <f t="array" ref="F159">-INDEX(E:E,ROUNDUP(ROW(E163)/2,0))</f>
        <v>0</v>
      </c>
      <c r="G159" s="13">
        <v>152.5</v>
      </c>
      <c r="L159" s="2"/>
      <c r="M159" s="2"/>
      <c r="N159" s="2"/>
      <c r="O159" s="2"/>
      <c r="P159" s="2"/>
      <c r="Q159" s="56"/>
      <c r="R159" s="2"/>
      <c r="S159" s="53"/>
      <c r="T159" s="59"/>
      <c r="U159" s="14">
        <f>F159-1.5</f>
        <v>-1.5</v>
      </c>
      <c r="V159" s="14">
        <f>G159-IF(LEN(TEXT(T159,"0"))=1,1.25,IF(LEN(TEXT(T159,"0"))=2,1.525,2.025))</f>
        <v>151.25</v>
      </c>
    </row>
    <row r="160" spans="1:22" x14ac:dyDescent="0.25">
      <c r="A160" s="2"/>
      <c r="E160" s="2"/>
      <c r="F160" s="13">
        <f t="array" ref="F160">-INDEX(E:E,ROUNDUP(ROW(E164)/2,0))</f>
        <v>0</v>
      </c>
      <c r="G160" s="13">
        <v>162.5</v>
      </c>
      <c r="L160" s="2"/>
      <c r="M160" s="2"/>
      <c r="N160" s="2"/>
      <c r="O160" s="2"/>
      <c r="P160" s="2"/>
      <c r="Q160" s="56"/>
      <c r="R160" s="2"/>
      <c r="S160" s="53"/>
      <c r="T160" s="59"/>
      <c r="U160" s="14">
        <f t="shared" si="33"/>
        <v>0</v>
      </c>
      <c r="V160" s="14">
        <f>G160</f>
        <v>162.5</v>
      </c>
    </row>
    <row r="161" spans="1:22" x14ac:dyDescent="0.25">
      <c r="A161" s="2"/>
      <c r="E161" s="2"/>
      <c r="F161" s="13">
        <f t="array" ref="F161">-INDEX(E:E,ROUNDUP(ROW(E165)/2,0))</f>
        <v>0</v>
      </c>
      <c r="G161" s="13">
        <v>162.5</v>
      </c>
      <c r="L161" s="2"/>
      <c r="M161" s="2"/>
      <c r="N161" s="2"/>
      <c r="O161" s="2"/>
      <c r="P161" s="2"/>
      <c r="Q161" s="56"/>
      <c r="R161" s="2"/>
      <c r="S161" s="53"/>
      <c r="T161" s="59"/>
      <c r="U161" s="14">
        <f>IF(U162&lt;U160,(U162+U160)/2-0.75,0)</f>
        <v>0</v>
      </c>
      <c r="V161" s="14">
        <f>G161-IF(LEN(TEXT(T161,"0"))=1,6.28,IF(LEN(TEXT(T161,"0"))=2,6.55,7.05))</f>
        <v>156.22</v>
      </c>
    </row>
    <row r="162" spans="1:22" x14ac:dyDescent="0.25">
      <c r="A162" s="2"/>
      <c r="E162" s="2"/>
      <c r="F162" s="13">
        <f t="array" ref="F162">-INDEX(E:E,ROUNDUP(ROW(E166)/2,0))</f>
        <v>0</v>
      </c>
      <c r="G162" s="13">
        <v>152.5</v>
      </c>
      <c r="L162" s="2"/>
      <c r="M162" s="2"/>
      <c r="N162" s="2"/>
      <c r="O162" s="2"/>
      <c r="P162" s="2"/>
      <c r="Q162" s="56"/>
      <c r="R162" s="2"/>
      <c r="S162" s="53"/>
      <c r="T162" s="59"/>
      <c r="U162" s="14">
        <f t="shared" ref="U162:U166" si="34">F162</f>
        <v>0</v>
      </c>
      <c r="V162" s="14">
        <f>G162-IF(LEN(TEXT(T162,"0"))=1,1.25,IF(LEN(TEXT(T162,"0"))=2,1.525,2.025))</f>
        <v>151.25</v>
      </c>
    </row>
    <row r="163" spans="1:22" x14ac:dyDescent="0.25">
      <c r="A163" s="2"/>
      <c r="E163" s="2"/>
      <c r="F163" s="13">
        <f t="array" ref="F163">-INDEX(E:E,ROUNDUP(ROW(E167)/2,0))</f>
        <v>0</v>
      </c>
      <c r="G163" s="13">
        <v>152.5</v>
      </c>
      <c r="L163" s="2"/>
      <c r="M163" s="2"/>
      <c r="N163" s="2"/>
      <c r="O163" s="2"/>
      <c r="P163" s="2"/>
      <c r="Q163" s="56"/>
      <c r="R163" s="2"/>
      <c r="S163" s="53"/>
      <c r="T163" s="59"/>
      <c r="U163" s="14">
        <f>F163-1.5</f>
        <v>-1.5</v>
      </c>
      <c r="V163" s="14">
        <f>G163-IF(LEN(TEXT(T163,"0"))=1,1.25,IF(LEN(TEXT(T163,"0"))=2,1.525,2.025))</f>
        <v>151.25</v>
      </c>
    </row>
    <row r="164" spans="1:22" x14ac:dyDescent="0.25">
      <c r="A164" s="2"/>
      <c r="E164" s="2"/>
      <c r="F164" s="13">
        <f t="array" ref="F164">-INDEX(E:E,ROUNDUP(ROW(E168)/2,0))</f>
        <v>0</v>
      </c>
      <c r="G164" s="13">
        <v>162.5</v>
      </c>
      <c r="L164" s="2"/>
      <c r="M164" s="2"/>
      <c r="N164" s="2"/>
      <c r="O164" s="2"/>
      <c r="P164" s="2"/>
      <c r="Q164" s="56"/>
      <c r="R164" s="2"/>
      <c r="S164" s="53"/>
      <c r="T164" s="59"/>
      <c r="U164" s="14">
        <f t="shared" si="34"/>
        <v>0</v>
      </c>
      <c r="V164" s="14">
        <f>G164</f>
        <v>162.5</v>
      </c>
    </row>
    <row r="165" spans="1:22" x14ac:dyDescent="0.25">
      <c r="A165" s="2"/>
      <c r="E165" s="2"/>
      <c r="F165" s="13">
        <f t="array" ref="F165">-INDEX(E:E,ROUNDUP(ROW(E169)/2,0))</f>
        <v>0</v>
      </c>
      <c r="G165" s="13">
        <v>162.5</v>
      </c>
      <c r="L165" s="2"/>
      <c r="M165" s="2"/>
      <c r="N165" s="2"/>
      <c r="O165" s="2"/>
      <c r="P165" s="2"/>
      <c r="Q165" s="56"/>
      <c r="R165" s="2"/>
      <c r="S165" s="53"/>
      <c r="T165" s="59"/>
      <c r="U165" s="14">
        <f>IF(U166&lt;U164,(U166+U164)/2-0.75,0)</f>
        <v>0</v>
      </c>
      <c r="V165" s="14">
        <f>G165-IF(LEN(TEXT(T165,"0"))=1,6.28,IF(LEN(TEXT(T165,"0"))=2,6.55,7.05))</f>
        <v>156.22</v>
      </c>
    </row>
    <row r="166" spans="1:22" x14ac:dyDescent="0.25">
      <c r="A166" s="2"/>
      <c r="E166" s="2"/>
      <c r="F166" s="13">
        <f t="array" ref="F166">-INDEX(E:E,ROUNDUP(ROW(E170)/2,0))</f>
        <v>0</v>
      </c>
      <c r="G166" s="13">
        <v>152.5</v>
      </c>
      <c r="L166" s="2"/>
      <c r="M166" s="2"/>
      <c r="N166" s="2"/>
      <c r="O166" s="2"/>
      <c r="P166" s="2"/>
      <c r="Q166" s="56"/>
      <c r="R166" s="2"/>
      <c r="S166" s="53"/>
      <c r="T166" s="59"/>
      <c r="U166" s="14">
        <f t="shared" si="34"/>
        <v>0</v>
      </c>
      <c r="V166" s="14">
        <f>G166-IF(LEN(TEXT(T166,"0"))=1,1.25,IF(LEN(TEXT(T166,"0"))=2,1.525,2.025))</f>
        <v>151.25</v>
      </c>
    </row>
    <row r="167" spans="1:22" x14ac:dyDescent="0.25">
      <c r="A167" s="2"/>
      <c r="E167" s="2"/>
      <c r="F167" s="13">
        <f t="array" ref="F167">-INDEX(E:E,ROUNDUP(ROW(E171)/2,0))</f>
        <v>0</v>
      </c>
      <c r="G167" s="13">
        <v>152.5</v>
      </c>
      <c r="L167" s="2"/>
      <c r="M167" s="2"/>
      <c r="N167" s="2"/>
      <c r="O167" s="2"/>
      <c r="P167" s="2"/>
      <c r="Q167" s="56"/>
      <c r="R167" s="2"/>
      <c r="S167" s="53"/>
      <c r="T167" s="59"/>
      <c r="U167" s="14">
        <f>F167-1.5</f>
        <v>-1.5</v>
      </c>
      <c r="V167" s="14">
        <f>G167-IF(LEN(TEXT(T167,"0"))=1,1.25,IF(LEN(TEXT(T167,"0"))=2,1.525,2.025))</f>
        <v>151.25</v>
      </c>
    </row>
    <row r="168" spans="1:22" x14ac:dyDescent="0.25">
      <c r="A168" s="2"/>
      <c r="E168" s="2"/>
      <c r="F168" s="13">
        <f t="array" ref="F168">-INDEX(E:E,ROUNDUP(ROW(E172)/2,0))</f>
        <v>0</v>
      </c>
      <c r="G168" s="13">
        <v>162.5</v>
      </c>
      <c r="L168" s="2"/>
      <c r="M168" s="2"/>
      <c r="N168" s="2"/>
      <c r="O168" s="2"/>
      <c r="P168" s="2"/>
      <c r="Q168" s="56"/>
      <c r="R168" s="2"/>
      <c r="S168" s="53"/>
      <c r="T168" s="59"/>
      <c r="U168" s="14">
        <f t="shared" ref="U168:U172" si="35">F168</f>
        <v>0</v>
      </c>
      <c r="V168" s="14">
        <f>G168</f>
        <v>162.5</v>
      </c>
    </row>
    <row r="169" spans="1:22" x14ac:dyDescent="0.25">
      <c r="A169" s="2"/>
      <c r="E169" s="2"/>
      <c r="F169" s="13">
        <f t="array" ref="F169">-INDEX(E:E,ROUNDUP(ROW(E173)/2,0))</f>
        <v>0</v>
      </c>
      <c r="G169" s="13">
        <v>162.5</v>
      </c>
      <c r="L169" s="2"/>
      <c r="M169" s="2"/>
      <c r="N169" s="2"/>
      <c r="O169" s="2"/>
      <c r="P169" s="2"/>
      <c r="Q169" s="56"/>
      <c r="R169" s="2"/>
      <c r="S169" s="53"/>
      <c r="T169" s="59"/>
      <c r="U169" s="14">
        <f>IF(U170&lt;U168,(U170+U168)/2-0.75,0)</f>
        <v>0</v>
      </c>
      <c r="V169" s="14">
        <f>G169-IF(LEN(TEXT(T169,"0"))=1,6.28,IF(LEN(TEXT(T169,"0"))=2,6.55,7.05))</f>
        <v>156.22</v>
      </c>
    </row>
    <row r="170" spans="1:22" x14ac:dyDescent="0.25">
      <c r="A170" s="2"/>
      <c r="E170" s="2"/>
      <c r="F170" s="13">
        <f t="array" ref="F170">-INDEX(E:E,ROUNDUP(ROW(E174)/2,0))</f>
        <v>0</v>
      </c>
      <c r="G170" s="13">
        <v>152.5</v>
      </c>
      <c r="L170" s="2"/>
      <c r="M170" s="2"/>
      <c r="N170" s="2"/>
      <c r="O170" s="2"/>
      <c r="P170" s="2"/>
      <c r="Q170" s="56"/>
      <c r="R170" s="2"/>
      <c r="S170" s="53"/>
      <c r="T170" s="59"/>
      <c r="U170" s="14">
        <f t="shared" si="35"/>
        <v>0</v>
      </c>
      <c r="V170" s="14">
        <f>G170-IF(LEN(TEXT(T170,"0"))=1,1.25,IF(LEN(TEXT(T170,"0"))=2,1.525,2.025))</f>
        <v>151.25</v>
      </c>
    </row>
    <row r="171" spans="1:22" x14ac:dyDescent="0.25">
      <c r="A171" s="2"/>
      <c r="E171" s="2"/>
      <c r="F171" s="13">
        <f t="array" ref="F171">-INDEX(E:E,ROUNDUP(ROW(E175)/2,0))</f>
        <v>0</v>
      </c>
      <c r="G171" s="13">
        <v>152.5</v>
      </c>
      <c r="L171" s="2"/>
      <c r="M171" s="2"/>
      <c r="N171" s="2"/>
      <c r="O171" s="2"/>
      <c r="P171" s="2"/>
      <c r="Q171" s="56"/>
      <c r="R171" s="2"/>
      <c r="S171" s="53"/>
      <c r="T171" s="59"/>
      <c r="U171" s="14">
        <f>F171-1.5</f>
        <v>-1.5</v>
      </c>
      <c r="V171" s="14">
        <f>G171-IF(LEN(TEXT(T171,"0"))=1,1.25,IF(LEN(TEXT(T171,"0"))=2,1.525,2.025))</f>
        <v>151.25</v>
      </c>
    </row>
    <row r="172" spans="1:22" x14ac:dyDescent="0.25">
      <c r="A172" s="2"/>
      <c r="E172" s="2"/>
      <c r="F172" s="13">
        <f t="array" ref="F172">-INDEX(E:E,ROUNDUP(ROW(E176)/2,0))</f>
        <v>0</v>
      </c>
      <c r="G172" s="13">
        <v>162.5</v>
      </c>
      <c r="L172" s="2"/>
      <c r="M172" s="2"/>
      <c r="N172" s="2"/>
      <c r="O172" s="2"/>
      <c r="P172" s="2"/>
      <c r="Q172" s="56"/>
      <c r="R172" s="2"/>
      <c r="S172" s="53"/>
      <c r="T172" s="59"/>
      <c r="U172" s="14">
        <f t="shared" si="35"/>
        <v>0</v>
      </c>
      <c r="V172" s="14">
        <f>G172</f>
        <v>162.5</v>
      </c>
    </row>
    <row r="173" spans="1:22" x14ac:dyDescent="0.25">
      <c r="A173" s="2"/>
      <c r="E173" s="2"/>
      <c r="F173" s="13">
        <f t="array" ref="F173">-INDEX(E:E,ROUNDUP(ROW(E177)/2,0))</f>
        <v>0</v>
      </c>
      <c r="G173" s="13">
        <v>162.5</v>
      </c>
      <c r="L173" s="2"/>
      <c r="M173" s="2"/>
      <c r="N173" s="2"/>
      <c r="O173" s="2"/>
      <c r="P173" s="2"/>
      <c r="Q173" s="56"/>
      <c r="R173" s="2"/>
      <c r="S173" s="53"/>
      <c r="T173" s="59"/>
      <c r="U173" s="14">
        <f>IF(U174&lt;U172,(U174+U172)/2-0.75,0)</f>
        <v>0</v>
      </c>
      <c r="V173" s="14">
        <f>G173-IF(LEN(TEXT(T173,"0"))=1,6.28,IF(LEN(TEXT(T173,"0"))=2,6.55,7.05))</f>
        <v>156.22</v>
      </c>
    </row>
    <row r="174" spans="1:22" x14ac:dyDescent="0.25">
      <c r="A174" s="2"/>
      <c r="E174" s="2"/>
      <c r="F174" s="13">
        <f t="array" ref="F174">-INDEX(E:E,ROUNDUP(ROW(E178)/2,0))</f>
        <v>0</v>
      </c>
      <c r="G174" s="13">
        <v>152.5</v>
      </c>
      <c r="L174" s="2"/>
      <c r="M174" s="2"/>
      <c r="N174" s="2"/>
      <c r="O174" s="2"/>
      <c r="P174" s="2"/>
      <c r="Q174" s="56"/>
      <c r="R174" s="2"/>
      <c r="S174" s="53"/>
      <c r="T174" s="59"/>
      <c r="U174" s="14">
        <f t="shared" ref="U174:U178" si="36">F174</f>
        <v>0</v>
      </c>
      <c r="V174" s="14">
        <f>G174-IF(LEN(TEXT(T174,"0"))=1,1.25,IF(LEN(TEXT(T174,"0"))=2,1.525,2.025))</f>
        <v>151.25</v>
      </c>
    </row>
    <row r="175" spans="1:22" x14ac:dyDescent="0.25">
      <c r="A175" s="2"/>
      <c r="E175" s="2"/>
      <c r="F175" s="13">
        <f t="array" ref="F175">-INDEX(E:E,ROUNDUP(ROW(E179)/2,0))</f>
        <v>0</v>
      </c>
      <c r="G175" s="13">
        <v>152.5</v>
      </c>
      <c r="L175" s="2"/>
      <c r="M175" s="2"/>
      <c r="N175" s="2"/>
      <c r="O175" s="2"/>
      <c r="P175" s="2"/>
      <c r="Q175" s="56"/>
      <c r="R175" s="2"/>
      <c r="S175" s="53"/>
      <c r="T175" s="59"/>
      <c r="U175" s="14">
        <f>F175-1.5</f>
        <v>-1.5</v>
      </c>
      <c r="V175" s="14">
        <f>G175-IF(LEN(TEXT(T175,"0"))=1,1.25,IF(LEN(TEXT(T175,"0"))=2,1.525,2.025))</f>
        <v>151.25</v>
      </c>
    </row>
    <row r="176" spans="1:22" x14ac:dyDescent="0.25">
      <c r="A176" s="2"/>
      <c r="E176" s="2"/>
      <c r="F176" s="13">
        <f t="array" ref="F176">-INDEX(E:E,ROUNDUP(ROW(E180)/2,0))</f>
        <v>0</v>
      </c>
      <c r="G176" s="13">
        <v>162.5</v>
      </c>
      <c r="L176" s="2"/>
      <c r="M176" s="2"/>
      <c r="N176" s="2"/>
      <c r="O176" s="2"/>
      <c r="P176" s="2"/>
      <c r="Q176" s="56"/>
      <c r="R176" s="2"/>
      <c r="S176" s="53"/>
      <c r="T176" s="59"/>
      <c r="U176" s="14">
        <f t="shared" si="36"/>
        <v>0</v>
      </c>
      <c r="V176" s="14">
        <f>G176</f>
        <v>162.5</v>
      </c>
    </row>
    <row r="177" spans="1:22" x14ac:dyDescent="0.25">
      <c r="A177" s="2"/>
      <c r="E177" s="2"/>
      <c r="F177" s="13">
        <f t="array" ref="F177">-INDEX(E:E,ROUNDUP(ROW(E181)/2,0))</f>
        <v>0</v>
      </c>
      <c r="G177" s="13">
        <v>162.5</v>
      </c>
      <c r="L177" s="2"/>
      <c r="M177" s="2"/>
      <c r="N177" s="2"/>
      <c r="O177" s="2"/>
      <c r="P177" s="2"/>
      <c r="Q177" s="56"/>
      <c r="R177" s="2"/>
      <c r="S177" s="53"/>
      <c r="T177" s="59"/>
      <c r="U177" s="14">
        <f>IF(U178&lt;U176,(U178+U176)/2-0.75,0)</f>
        <v>0</v>
      </c>
      <c r="V177" s="14">
        <f>G177-IF(LEN(TEXT(T177,"0"))=1,6.28,IF(LEN(TEXT(T177,"0"))=2,6.55,7.05))</f>
        <v>156.22</v>
      </c>
    </row>
    <row r="178" spans="1:22" x14ac:dyDescent="0.25">
      <c r="A178" s="2"/>
      <c r="E178" s="2"/>
      <c r="F178" s="13">
        <f t="array" ref="F178">-INDEX(E:E,ROUNDUP(ROW(E182)/2,0))</f>
        <v>0</v>
      </c>
      <c r="G178" s="13">
        <v>152.5</v>
      </c>
      <c r="L178" s="2"/>
      <c r="M178" s="2"/>
      <c r="N178" s="2"/>
      <c r="O178" s="2"/>
      <c r="P178" s="2"/>
      <c r="Q178" s="56"/>
      <c r="R178" s="2"/>
      <c r="S178" s="53"/>
      <c r="T178" s="59"/>
      <c r="U178" s="14">
        <f t="shared" si="36"/>
        <v>0</v>
      </c>
      <c r="V178" s="14">
        <f>G178-IF(LEN(TEXT(T178,"0"))=1,1.25,IF(LEN(TEXT(T178,"0"))=2,1.525,2.025))</f>
        <v>151.25</v>
      </c>
    </row>
    <row r="179" spans="1:22" x14ac:dyDescent="0.25">
      <c r="A179" s="2"/>
      <c r="E179" s="2"/>
      <c r="F179" s="13">
        <f t="array" ref="F179">-INDEX(E:E,ROUNDUP(ROW(E183)/2,0))</f>
        <v>0</v>
      </c>
      <c r="G179" s="13">
        <v>152.5</v>
      </c>
      <c r="L179" s="2"/>
      <c r="M179" s="2"/>
      <c r="N179" s="2"/>
      <c r="O179" s="2"/>
      <c r="P179" s="2"/>
      <c r="Q179" s="56"/>
      <c r="R179" s="2"/>
      <c r="S179" s="53"/>
      <c r="T179" s="59"/>
      <c r="U179" s="14">
        <f>F179-1.5</f>
        <v>-1.5</v>
      </c>
      <c r="V179" s="14">
        <f>G179-IF(LEN(TEXT(T179,"0"))=1,1.25,IF(LEN(TEXT(T179,"0"))=2,1.525,2.025))</f>
        <v>151.25</v>
      </c>
    </row>
    <row r="180" spans="1:22" x14ac:dyDescent="0.25">
      <c r="A180" s="2"/>
      <c r="E180" s="2"/>
      <c r="F180" s="13">
        <f t="array" ref="F180">-INDEX(E:E,ROUNDUP(ROW(E184)/2,0))</f>
        <v>0</v>
      </c>
      <c r="G180" s="13">
        <v>162.5</v>
      </c>
      <c r="L180" s="2"/>
      <c r="M180" s="2"/>
      <c r="N180" s="2"/>
      <c r="O180" s="2"/>
      <c r="P180" s="2"/>
      <c r="Q180" s="56"/>
      <c r="R180" s="2"/>
      <c r="S180" s="53"/>
      <c r="T180" s="59"/>
      <c r="U180" s="14">
        <f t="shared" ref="U180:U184" si="37">F180</f>
        <v>0</v>
      </c>
      <c r="V180" s="14">
        <f>G180</f>
        <v>162.5</v>
      </c>
    </row>
    <row r="181" spans="1:22" x14ac:dyDescent="0.25">
      <c r="A181" s="2"/>
      <c r="E181" s="2"/>
      <c r="F181" s="13">
        <f t="array" ref="F181">-INDEX(E:E,ROUNDUP(ROW(E185)/2,0))</f>
        <v>0</v>
      </c>
      <c r="G181" s="13">
        <v>162.5</v>
      </c>
      <c r="L181" s="2"/>
      <c r="M181" s="2"/>
      <c r="N181" s="2"/>
      <c r="O181" s="2"/>
      <c r="P181" s="2"/>
      <c r="Q181" s="56"/>
      <c r="R181" s="2"/>
      <c r="S181" s="53"/>
      <c r="T181" s="59"/>
      <c r="U181" s="14">
        <f>IF(U182&lt;U180,(U182+U180)/2-0.75,0)</f>
        <v>0</v>
      </c>
      <c r="V181" s="14">
        <f>G181-IF(LEN(TEXT(T181,"0"))=1,6.28,IF(LEN(TEXT(T181,"0"))=2,6.55,7.05))</f>
        <v>156.22</v>
      </c>
    </row>
    <row r="182" spans="1:22" x14ac:dyDescent="0.25">
      <c r="A182" s="2"/>
      <c r="E182" s="2"/>
      <c r="F182" s="13">
        <f t="array" ref="F182">-INDEX(E:E,ROUNDUP(ROW(E186)/2,0))</f>
        <v>0</v>
      </c>
      <c r="G182" s="13">
        <v>152.5</v>
      </c>
      <c r="U182" s="14">
        <f t="shared" si="37"/>
        <v>0</v>
      </c>
      <c r="V182" s="14">
        <f>G182-IF(LEN(TEXT(T182,"0"))=1,1.25,IF(LEN(TEXT(T182,"0"))=2,1.525,2.025))</f>
        <v>151.25</v>
      </c>
    </row>
    <row r="183" spans="1:22" x14ac:dyDescent="0.25">
      <c r="A183" s="2"/>
      <c r="E183" s="2"/>
      <c r="F183" s="13">
        <f t="array" ref="F183">-INDEX(E:E,ROUNDUP(ROW(E187)/2,0))</f>
        <v>0</v>
      </c>
      <c r="G183" s="13">
        <v>152.5</v>
      </c>
      <c r="U183" s="14">
        <f>F183-1.5</f>
        <v>-1.5</v>
      </c>
      <c r="V183" s="14">
        <f>G183-IF(LEN(TEXT(T183,"0"))=1,1.25,IF(LEN(TEXT(T183,"0"))=2,1.525,2.025))</f>
        <v>151.25</v>
      </c>
    </row>
    <row r="184" spans="1:22" x14ac:dyDescent="0.25">
      <c r="A184" s="2"/>
      <c r="E184" s="2"/>
      <c r="F184" s="13">
        <f t="array" ref="F184">-INDEX(E:E,ROUNDUP(ROW(E188)/2,0))</f>
        <v>0</v>
      </c>
      <c r="G184" s="13">
        <v>162.5</v>
      </c>
      <c r="U184" s="14">
        <f t="shared" si="37"/>
        <v>0</v>
      </c>
      <c r="V184" s="14">
        <f>G184</f>
        <v>162.5</v>
      </c>
    </row>
    <row r="185" spans="1:22" x14ac:dyDescent="0.25">
      <c r="A185" s="2"/>
      <c r="E185" s="2"/>
      <c r="F185" s="13">
        <f t="array" ref="F185">-INDEX(E:E,ROUNDUP(ROW(E189)/2,0))</f>
        <v>0</v>
      </c>
      <c r="G185" s="13">
        <v>162.5</v>
      </c>
      <c r="U185" s="14">
        <f>IF(U186&lt;U184,(U186+U184)/2-0.75,0)</f>
        <v>0</v>
      </c>
      <c r="V185" s="14">
        <f>G185-IF(LEN(TEXT(T185,"0"))=1,6.28,IF(LEN(TEXT(T185,"0"))=2,6.55,7.05))</f>
        <v>156.22</v>
      </c>
    </row>
    <row r="186" spans="1:22" x14ac:dyDescent="0.25">
      <c r="A186" s="2"/>
      <c r="E186" s="2"/>
      <c r="U186" s="14">
        <f>F186</f>
        <v>0</v>
      </c>
      <c r="V186" s="14">
        <f>G186-IF(LEN(TEXT(T186,"0"))=1,1.25,IF(LEN(TEXT(T186,"0"))=2,1.525,2.025))</f>
        <v>-1.25</v>
      </c>
    </row>
    <row r="187" spans="1:22" x14ac:dyDescent="0.25">
      <c r="A187" s="2"/>
      <c r="E187" s="2"/>
      <c r="U187" s="14">
        <f>F187-1.5</f>
        <v>-1.5</v>
      </c>
      <c r="V187" s="14">
        <f>G187-IF(LEN(TEXT(T187,"0"))=1,1.25,IF(LEN(TEXT(T187,"0"))=2,1.525,2.025))</f>
        <v>-1.25</v>
      </c>
    </row>
    <row r="188" spans="1:22" x14ac:dyDescent="0.25">
      <c r="A188" s="2"/>
      <c r="E188" s="2"/>
      <c r="U188" s="14">
        <f>F188</f>
        <v>0</v>
      </c>
      <c r="V188" s="14">
        <f>G188</f>
        <v>0</v>
      </c>
    </row>
    <row r="189" spans="1:22" x14ac:dyDescent="0.25">
      <c r="A189" s="2"/>
      <c r="E189" s="2"/>
      <c r="U189" s="14">
        <f>IF(U190&lt;U188,(U190+U188)/2-0.75,0)</f>
        <v>0</v>
      </c>
      <c r="V189" s="14">
        <f>G189-IF(LEN(TEXT(T189,"0"))=1,6.28,IF(LEN(TEXT(T189,"0"))=2,6.55,7.05))</f>
        <v>-6.28</v>
      </c>
    </row>
    <row r="190" spans="1:22" x14ac:dyDescent="0.25">
      <c r="A190" s="2"/>
      <c r="E190" s="2"/>
      <c r="V190" s="2"/>
    </row>
    <row r="191" spans="1:22" x14ac:dyDescent="0.25">
      <c r="A191" s="2"/>
      <c r="E191" s="2"/>
      <c r="V191" s="2"/>
    </row>
    <row r="192" spans="1:22" x14ac:dyDescent="0.25">
      <c r="A192" s="2"/>
      <c r="E192" s="2"/>
      <c r="V192" s="2"/>
    </row>
    <row r="193" spans="1:22" x14ac:dyDescent="0.25">
      <c r="A193" s="2"/>
      <c r="E193" s="2"/>
      <c r="V193" s="2"/>
    </row>
    <row r="194" spans="1:22" x14ac:dyDescent="0.25">
      <c r="A194" s="2"/>
      <c r="E194" s="2"/>
      <c r="V194" s="2"/>
    </row>
    <row r="195" spans="1:22" x14ac:dyDescent="0.25">
      <c r="A195" s="2"/>
      <c r="E195" s="2"/>
      <c r="V195" s="2"/>
    </row>
    <row r="196" spans="1:22" x14ac:dyDescent="0.25">
      <c r="A196" s="2"/>
      <c r="E196" s="2"/>
      <c r="V196" s="2"/>
    </row>
    <row r="197" spans="1:22" x14ac:dyDescent="0.25">
      <c r="A197" s="2"/>
      <c r="E197" s="2"/>
      <c r="V197" s="2"/>
    </row>
    <row r="198" spans="1:22" x14ac:dyDescent="0.25">
      <c r="A198" s="2"/>
      <c r="E198" s="2"/>
      <c r="V198" s="2"/>
    </row>
    <row r="199" spans="1:22" x14ac:dyDescent="0.25">
      <c r="A199" s="2"/>
      <c r="E199" s="2"/>
      <c r="V199" s="2"/>
    </row>
    <row r="200" spans="1:22" x14ac:dyDescent="0.25">
      <c r="A200" s="2"/>
      <c r="E200" s="2"/>
      <c r="V200" s="2"/>
    </row>
    <row r="201" spans="1:22" x14ac:dyDescent="0.25">
      <c r="A201" s="2"/>
      <c r="E201" s="2"/>
      <c r="V201" s="2"/>
    </row>
    <row r="202" spans="1:22" x14ac:dyDescent="0.25">
      <c r="A202" s="2"/>
      <c r="E202" s="2"/>
      <c r="V202" s="2"/>
    </row>
    <row r="203" spans="1:22" x14ac:dyDescent="0.25">
      <c r="A203" s="2"/>
      <c r="E203" s="2"/>
      <c r="V203" s="2"/>
    </row>
    <row r="204" spans="1:22" x14ac:dyDescent="0.25">
      <c r="A204" s="2"/>
      <c r="E204" s="2"/>
      <c r="V204" s="2"/>
    </row>
    <row r="205" spans="1:22" x14ac:dyDescent="0.25">
      <c r="A205" s="2"/>
      <c r="E205" s="2"/>
      <c r="V205" s="2"/>
    </row>
    <row r="206" spans="1:22" x14ac:dyDescent="0.25">
      <c r="A206" s="2"/>
      <c r="E206" s="2"/>
      <c r="V206" s="2"/>
    </row>
    <row r="207" spans="1:22" x14ac:dyDescent="0.25">
      <c r="A207" s="2"/>
      <c r="E207" s="2"/>
      <c r="V207" s="2"/>
    </row>
    <row r="208" spans="1:22" x14ac:dyDescent="0.25">
      <c r="A208" s="2"/>
      <c r="E208" s="2"/>
      <c r="V208" s="2"/>
    </row>
    <row r="209" spans="1:22" x14ac:dyDescent="0.25">
      <c r="A209" s="2"/>
      <c r="E209" s="2"/>
      <c r="V209" s="2"/>
    </row>
    <row r="210" spans="1:22" x14ac:dyDescent="0.25">
      <c r="A210" s="2"/>
      <c r="E210" s="2"/>
      <c r="V210" s="2"/>
    </row>
    <row r="211" spans="1:22" x14ac:dyDescent="0.25">
      <c r="A211" s="2"/>
      <c r="E211" s="2"/>
      <c r="V211" s="2"/>
    </row>
    <row r="212" spans="1:22" x14ac:dyDescent="0.25">
      <c r="A212" s="2"/>
      <c r="E212" s="2"/>
      <c r="V212" s="2"/>
    </row>
    <row r="213" spans="1:22" x14ac:dyDescent="0.25">
      <c r="A213" s="2"/>
      <c r="E213" s="2"/>
      <c r="V213" s="2"/>
    </row>
    <row r="214" spans="1:22" x14ac:dyDescent="0.25">
      <c r="A214" s="2"/>
      <c r="E214" s="2"/>
      <c r="V214" s="2"/>
    </row>
    <row r="215" spans="1:22" x14ac:dyDescent="0.25">
      <c r="A215" s="2"/>
      <c r="E215" s="2"/>
      <c r="V215" s="2"/>
    </row>
    <row r="216" spans="1:22" x14ac:dyDescent="0.25">
      <c r="A216" s="2"/>
      <c r="E216" s="2"/>
      <c r="V216" s="2"/>
    </row>
    <row r="217" spans="1:22" x14ac:dyDescent="0.25">
      <c r="A217" s="2"/>
      <c r="E217" s="2"/>
      <c r="V217" s="2"/>
    </row>
    <row r="218" spans="1:22" x14ac:dyDescent="0.25">
      <c r="A218" s="2"/>
      <c r="E218" s="2"/>
      <c r="V218" s="2"/>
    </row>
    <row r="219" spans="1:22" x14ac:dyDescent="0.25">
      <c r="A219" s="2"/>
      <c r="E219" s="2"/>
      <c r="V219" s="2"/>
    </row>
    <row r="220" spans="1:22" x14ac:dyDescent="0.25">
      <c r="A220" s="2"/>
      <c r="E220" s="2"/>
      <c r="V220" s="2"/>
    </row>
    <row r="221" spans="1:22" x14ac:dyDescent="0.25">
      <c r="A221" s="2"/>
      <c r="E221" s="2"/>
      <c r="V221" s="2"/>
    </row>
    <row r="222" spans="1:22" x14ac:dyDescent="0.25">
      <c r="A222" s="2"/>
      <c r="E222" s="2"/>
      <c r="V222" s="2"/>
    </row>
    <row r="223" spans="1:22" x14ac:dyDescent="0.25">
      <c r="A223" s="2"/>
      <c r="E223" s="2"/>
      <c r="V223" s="2"/>
    </row>
    <row r="224" spans="1:22" x14ac:dyDescent="0.25">
      <c r="A224" s="2"/>
      <c r="E224" s="2"/>
      <c r="V224" s="2"/>
    </row>
    <row r="225" spans="1:22" x14ac:dyDescent="0.25">
      <c r="A225" s="2"/>
      <c r="E225" s="2"/>
      <c r="V225" s="2"/>
    </row>
    <row r="226" spans="1:22" x14ac:dyDescent="0.25">
      <c r="A226" s="2"/>
      <c r="E226" s="2"/>
      <c r="V226" s="2"/>
    </row>
    <row r="227" spans="1:22" x14ac:dyDescent="0.25">
      <c r="A227" s="2"/>
      <c r="E227" s="2"/>
      <c r="V227" s="2"/>
    </row>
    <row r="228" spans="1:22" x14ac:dyDescent="0.25">
      <c r="A228" s="2"/>
      <c r="E228" s="2"/>
      <c r="V228" s="2"/>
    </row>
    <row r="229" spans="1:22" x14ac:dyDescent="0.25">
      <c r="A229" s="2"/>
      <c r="E229" s="2"/>
      <c r="V229" s="2"/>
    </row>
    <row r="230" spans="1:22" x14ac:dyDescent="0.25">
      <c r="A230" s="2"/>
      <c r="E230" s="2"/>
      <c r="V230" s="2"/>
    </row>
    <row r="231" spans="1:22" x14ac:dyDescent="0.25">
      <c r="A231" s="2"/>
      <c r="E231" s="2"/>
      <c r="V231" s="2"/>
    </row>
    <row r="232" spans="1:22" x14ac:dyDescent="0.25">
      <c r="A232" s="2"/>
      <c r="E232" s="2"/>
      <c r="V232" s="2"/>
    </row>
    <row r="233" spans="1:22" x14ac:dyDescent="0.25">
      <c r="A233" s="2"/>
      <c r="E233" s="2"/>
      <c r="V233" s="2"/>
    </row>
    <row r="234" spans="1:22" x14ac:dyDescent="0.25">
      <c r="A234" s="2"/>
      <c r="E234" s="2"/>
      <c r="V234" s="2"/>
    </row>
    <row r="235" spans="1:22" x14ac:dyDescent="0.25">
      <c r="A235" s="2"/>
      <c r="E235" s="2"/>
      <c r="V235" s="2"/>
    </row>
    <row r="236" spans="1:22" x14ac:dyDescent="0.25">
      <c r="A236" s="2"/>
      <c r="E236" s="2"/>
      <c r="V236" s="2"/>
    </row>
    <row r="237" spans="1:22" x14ac:dyDescent="0.25">
      <c r="A237" s="2"/>
      <c r="E237" s="2"/>
      <c r="V237" s="2"/>
    </row>
    <row r="238" spans="1:22" x14ac:dyDescent="0.25">
      <c r="A238" s="2"/>
      <c r="E238" s="2"/>
      <c r="V238" s="2"/>
    </row>
    <row r="239" spans="1:22" x14ac:dyDescent="0.25">
      <c r="A239" s="2"/>
      <c r="E239" s="2"/>
      <c r="V239" s="2"/>
    </row>
    <row r="240" spans="1:22" x14ac:dyDescent="0.25">
      <c r="A240" s="2"/>
      <c r="E240" s="2"/>
      <c r="V240" s="2"/>
    </row>
    <row r="241" spans="1:22" x14ac:dyDescent="0.25">
      <c r="A241" s="2"/>
      <c r="E241" s="2"/>
      <c r="V241" s="2"/>
    </row>
    <row r="242" spans="1:22" x14ac:dyDescent="0.25">
      <c r="A242" s="2"/>
      <c r="E242" s="2"/>
      <c r="V242" s="2"/>
    </row>
    <row r="243" spans="1:22" x14ac:dyDescent="0.25">
      <c r="A243" s="2"/>
      <c r="E243" s="2"/>
      <c r="V243" s="2"/>
    </row>
    <row r="244" spans="1:22" x14ac:dyDescent="0.25">
      <c r="A244" s="2"/>
      <c r="E244" s="2"/>
      <c r="V244" s="2"/>
    </row>
    <row r="245" spans="1:22" x14ac:dyDescent="0.25">
      <c r="A245" s="2"/>
      <c r="E245" s="2"/>
      <c r="V245" s="2"/>
    </row>
    <row r="246" spans="1:22" x14ac:dyDescent="0.25">
      <c r="A246" s="2"/>
      <c r="E246" s="2"/>
      <c r="V246" s="2"/>
    </row>
    <row r="247" spans="1:22" x14ac:dyDescent="0.25">
      <c r="A247" s="2"/>
      <c r="E247" s="2"/>
      <c r="V247" s="2"/>
    </row>
    <row r="248" spans="1:22" x14ac:dyDescent="0.25">
      <c r="A248" s="2"/>
      <c r="E248" s="2"/>
      <c r="V248" s="2"/>
    </row>
    <row r="249" spans="1:22" x14ac:dyDescent="0.25">
      <c r="A249" s="2"/>
      <c r="E249" s="2"/>
      <c r="V249" s="2"/>
    </row>
    <row r="250" spans="1:22" x14ac:dyDescent="0.25">
      <c r="A250" s="2"/>
      <c r="E250" s="2"/>
      <c r="V250" s="2"/>
    </row>
    <row r="251" spans="1:22" x14ac:dyDescent="0.25">
      <c r="A251" s="2"/>
      <c r="E251" s="2"/>
      <c r="V251" s="2"/>
    </row>
    <row r="252" spans="1:22" x14ac:dyDescent="0.25">
      <c r="A252" s="2"/>
      <c r="E252" s="2"/>
      <c r="V252" s="2"/>
    </row>
    <row r="253" spans="1:22" x14ac:dyDescent="0.25">
      <c r="A253" s="2"/>
      <c r="E253" s="2"/>
      <c r="V253" s="2"/>
    </row>
    <row r="254" spans="1:22" x14ac:dyDescent="0.25">
      <c r="A254" s="2"/>
      <c r="E254" s="2"/>
      <c r="V254" s="2"/>
    </row>
    <row r="255" spans="1:22" x14ac:dyDescent="0.25">
      <c r="A255" s="2"/>
      <c r="E255" s="2"/>
      <c r="V255" s="2"/>
    </row>
    <row r="256" spans="1:22" x14ac:dyDescent="0.25">
      <c r="A256" s="2"/>
      <c r="E256" s="2"/>
      <c r="V256" s="2"/>
    </row>
    <row r="257" spans="1:22" x14ac:dyDescent="0.25">
      <c r="A257" s="2"/>
      <c r="E257" s="2"/>
      <c r="V257" s="2"/>
    </row>
    <row r="258" spans="1:22" x14ac:dyDescent="0.25">
      <c r="A258" s="2"/>
      <c r="E258" s="2"/>
      <c r="V258" s="2"/>
    </row>
    <row r="259" spans="1:22" x14ac:dyDescent="0.25">
      <c r="A259" s="2"/>
      <c r="E259" s="2"/>
      <c r="V259" s="2"/>
    </row>
    <row r="260" spans="1:22" x14ac:dyDescent="0.25">
      <c r="A260" s="2"/>
      <c r="E260" s="2"/>
      <c r="V260" s="2"/>
    </row>
    <row r="261" spans="1:22" x14ac:dyDescent="0.25">
      <c r="A261" s="2"/>
      <c r="E261" s="2"/>
      <c r="V261" s="2"/>
    </row>
    <row r="262" spans="1:22" x14ac:dyDescent="0.25">
      <c r="A262" s="2"/>
      <c r="E262" s="2"/>
      <c r="V262" s="2"/>
    </row>
    <row r="263" spans="1:22" x14ac:dyDescent="0.25">
      <c r="A263" s="2"/>
      <c r="E263" s="2"/>
      <c r="V263" s="2"/>
    </row>
    <row r="264" spans="1:22" x14ac:dyDescent="0.25">
      <c r="A264" s="2"/>
      <c r="E264" s="2"/>
      <c r="V264" s="2"/>
    </row>
    <row r="265" spans="1:22" x14ac:dyDescent="0.25">
      <c r="A265" s="2"/>
      <c r="E265" s="2"/>
      <c r="V265" s="2"/>
    </row>
    <row r="266" spans="1:22" x14ac:dyDescent="0.25">
      <c r="A266" s="2"/>
      <c r="E266" s="2"/>
      <c r="V266" s="2"/>
    </row>
    <row r="267" spans="1:22" x14ac:dyDescent="0.25">
      <c r="A267" s="2"/>
      <c r="E267" s="2"/>
      <c r="V267" s="2"/>
    </row>
    <row r="268" spans="1:22" x14ac:dyDescent="0.25">
      <c r="A268" s="2"/>
      <c r="E268" s="2"/>
      <c r="V268" s="2"/>
    </row>
    <row r="269" spans="1:22" x14ac:dyDescent="0.25">
      <c r="A269" s="2"/>
      <c r="E269" s="2"/>
      <c r="V269" s="2"/>
    </row>
    <row r="270" spans="1:22" x14ac:dyDescent="0.25">
      <c r="A270" s="2"/>
      <c r="E270" s="2"/>
      <c r="V270" s="2"/>
    </row>
    <row r="271" spans="1:22" x14ac:dyDescent="0.25">
      <c r="A271" s="2"/>
      <c r="E271" s="2"/>
      <c r="V271" s="2"/>
    </row>
    <row r="272" spans="1:22" x14ac:dyDescent="0.25">
      <c r="A272" s="2"/>
      <c r="E272" s="2"/>
      <c r="V272" s="2"/>
    </row>
    <row r="273" spans="1:22" x14ac:dyDescent="0.25">
      <c r="A273" s="2"/>
      <c r="E273" s="2"/>
      <c r="V273" s="2"/>
    </row>
    <row r="274" spans="1:22" x14ac:dyDescent="0.25">
      <c r="A274" s="2"/>
      <c r="E274" s="2"/>
      <c r="V274" s="2"/>
    </row>
    <row r="275" spans="1:22" x14ac:dyDescent="0.25">
      <c r="A275" s="2"/>
      <c r="E275" s="2"/>
      <c r="V275" s="2"/>
    </row>
    <row r="276" spans="1:22" x14ac:dyDescent="0.25">
      <c r="A276" s="2"/>
      <c r="E276" s="2"/>
      <c r="V276" s="2"/>
    </row>
    <row r="277" spans="1:22" x14ac:dyDescent="0.25">
      <c r="A277" s="2"/>
      <c r="E277" s="2"/>
      <c r="V277" s="2"/>
    </row>
    <row r="278" spans="1:22" x14ac:dyDescent="0.25">
      <c r="A278" s="2"/>
      <c r="E278" s="2"/>
      <c r="V278" s="2"/>
    </row>
    <row r="279" spans="1:22" x14ac:dyDescent="0.25">
      <c r="A279" s="2"/>
      <c r="E279" s="2"/>
      <c r="V279" s="2"/>
    </row>
    <row r="280" spans="1:22" x14ac:dyDescent="0.25">
      <c r="A280" s="2"/>
      <c r="E280" s="2"/>
      <c r="V280" s="2"/>
    </row>
    <row r="281" spans="1:22" x14ac:dyDescent="0.25">
      <c r="A281" s="2"/>
      <c r="E281" s="2"/>
      <c r="V281" s="2"/>
    </row>
    <row r="282" spans="1:22" x14ac:dyDescent="0.25">
      <c r="A282" s="2"/>
      <c r="E282" s="2"/>
      <c r="V282" s="2"/>
    </row>
    <row r="283" spans="1:22" x14ac:dyDescent="0.25">
      <c r="A283" s="2"/>
      <c r="E283" s="2"/>
      <c r="V283" s="2"/>
    </row>
    <row r="284" spans="1:22" x14ac:dyDescent="0.25">
      <c r="A284" s="2"/>
      <c r="E284" s="2"/>
      <c r="V284" s="2"/>
    </row>
    <row r="285" spans="1:22" x14ac:dyDescent="0.25">
      <c r="A285" s="2"/>
      <c r="E285" s="2"/>
      <c r="V285" s="2"/>
    </row>
    <row r="286" spans="1:22" x14ac:dyDescent="0.25">
      <c r="A286" s="2"/>
      <c r="E286" s="2"/>
      <c r="V286" s="2"/>
    </row>
    <row r="287" spans="1:22" x14ac:dyDescent="0.25">
      <c r="A287" s="2"/>
      <c r="E287" s="2"/>
      <c r="V287" s="2"/>
    </row>
    <row r="288" spans="1:22" x14ac:dyDescent="0.25">
      <c r="A288" s="2"/>
      <c r="E288" s="2"/>
      <c r="V288" s="2"/>
    </row>
    <row r="289" spans="1:22" x14ac:dyDescent="0.25">
      <c r="A289" s="2"/>
      <c r="E289" s="2"/>
      <c r="V289" s="2"/>
    </row>
    <row r="290" spans="1:22" x14ac:dyDescent="0.25">
      <c r="A290" s="2"/>
      <c r="E290" s="2"/>
      <c r="V290" s="2"/>
    </row>
    <row r="291" spans="1:22" x14ac:dyDescent="0.25">
      <c r="A291" s="2"/>
      <c r="E291" s="2"/>
      <c r="V291" s="2"/>
    </row>
    <row r="292" spans="1:22" x14ac:dyDescent="0.25">
      <c r="A292" s="2"/>
      <c r="E292" s="2"/>
      <c r="V292" s="2"/>
    </row>
    <row r="293" spans="1:22" x14ac:dyDescent="0.25">
      <c r="A293" s="2"/>
      <c r="E293" s="2"/>
      <c r="V293" s="2"/>
    </row>
    <row r="294" spans="1:22" x14ac:dyDescent="0.25">
      <c r="A294" s="2"/>
      <c r="E294" s="2"/>
      <c r="V294" s="2"/>
    </row>
    <row r="295" spans="1:22" x14ac:dyDescent="0.25">
      <c r="A295" s="2"/>
      <c r="E295" s="2"/>
      <c r="V295" s="2"/>
    </row>
    <row r="296" spans="1:22" x14ac:dyDescent="0.25">
      <c r="A296" s="2"/>
      <c r="E296" s="2"/>
      <c r="V296" s="2"/>
    </row>
    <row r="297" spans="1:22" x14ac:dyDescent="0.25">
      <c r="A297" s="2"/>
      <c r="E297" s="2"/>
      <c r="V297" s="2"/>
    </row>
    <row r="298" spans="1:22" x14ac:dyDescent="0.25">
      <c r="A298" s="2"/>
      <c r="E298" s="2"/>
      <c r="V298" s="2"/>
    </row>
    <row r="299" spans="1:22" x14ac:dyDescent="0.25">
      <c r="A299" s="2"/>
      <c r="E299" s="2"/>
      <c r="V299" s="2"/>
    </row>
    <row r="300" spans="1:22" x14ac:dyDescent="0.25">
      <c r="A300" s="2"/>
      <c r="E300" s="2"/>
      <c r="V300" s="2"/>
    </row>
    <row r="301" spans="1:22" x14ac:dyDescent="0.25">
      <c r="A301" s="2"/>
      <c r="E301" s="2"/>
      <c r="V301" s="2"/>
    </row>
    <row r="302" spans="1:22" x14ac:dyDescent="0.25">
      <c r="A302" s="2"/>
      <c r="E302" s="2"/>
      <c r="V302" s="2"/>
    </row>
    <row r="303" spans="1:22" x14ac:dyDescent="0.25">
      <c r="A303" s="2"/>
      <c r="E303" s="2"/>
      <c r="V303" s="2"/>
    </row>
    <row r="304" spans="1:22" x14ac:dyDescent="0.25">
      <c r="A304" s="2"/>
      <c r="E304" s="2"/>
      <c r="V304" s="2"/>
    </row>
    <row r="305" spans="1:22" x14ac:dyDescent="0.25">
      <c r="A305" s="2"/>
      <c r="E305" s="2"/>
      <c r="V305" s="2"/>
    </row>
    <row r="306" spans="1:22" x14ac:dyDescent="0.25">
      <c r="A306" s="2"/>
      <c r="E306" s="2"/>
      <c r="V306" s="2"/>
    </row>
    <row r="307" spans="1:22" x14ac:dyDescent="0.25">
      <c r="A307" s="2"/>
      <c r="E307" s="2"/>
      <c r="V307" s="2"/>
    </row>
    <row r="308" spans="1:22" x14ac:dyDescent="0.25">
      <c r="A308" s="2"/>
      <c r="E308" s="2"/>
      <c r="V308" s="2"/>
    </row>
    <row r="309" spans="1:22" x14ac:dyDescent="0.25">
      <c r="A309" s="2"/>
      <c r="E309" s="2"/>
      <c r="V309" s="2"/>
    </row>
    <row r="310" spans="1:22" x14ac:dyDescent="0.25">
      <c r="A310" s="2"/>
      <c r="E310" s="2"/>
      <c r="V310" s="2"/>
    </row>
    <row r="311" spans="1:22" x14ac:dyDescent="0.25">
      <c r="A311" s="2"/>
      <c r="E311" s="2"/>
      <c r="V311" s="2"/>
    </row>
    <row r="312" spans="1:22" x14ac:dyDescent="0.25">
      <c r="A312" s="2"/>
      <c r="E312" s="2"/>
      <c r="V312" s="2"/>
    </row>
    <row r="313" spans="1:22" x14ac:dyDescent="0.25">
      <c r="A313" s="2"/>
      <c r="E313" s="2"/>
      <c r="V313" s="2"/>
    </row>
    <row r="314" spans="1:22" x14ac:dyDescent="0.25">
      <c r="A314" s="2"/>
      <c r="E314" s="2"/>
      <c r="V314" s="2"/>
    </row>
    <row r="315" spans="1:22" x14ac:dyDescent="0.25">
      <c r="A315" s="2"/>
      <c r="E315" s="2"/>
      <c r="V315" s="2"/>
    </row>
    <row r="316" spans="1:22" x14ac:dyDescent="0.25">
      <c r="A316" s="2"/>
      <c r="E316" s="2"/>
      <c r="V316" s="2"/>
    </row>
    <row r="317" spans="1:22" x14ac:dyDescent="0.25">
      <c r="A317" s="2"/>
      <c r="E317" s="2"/>
      <c r="V317" s="2"/>
    </row>
    <row r="318" spans="1:22" x14ac:dyDescent="0.25">
      <c r="A318" s="2"/>
      <c r="E318" s="2"/>
      <c r="V318" s="2"/>
    </row>
    <row r="319" spans="1:22" x14ac:dyDescent="0.25">
      <c r="A319" s="2"/>
      <c r="E319" s="2"/>
      <c r="V319" s="2"/>
    </row>
  </sheetData>
  <mergeCells count="65">
    <mergeCell ref="A1:D2"/>
    <mergeCell ref="E1:H2"/>
    <mergeCell ref="I1:K2"/>
    <mergeCell ref="L1:P2"/>
    <mergeCell ref="Q1:S2"/>
    <mergeCell ref="T1:V2"/>
    <mergeCell ref="X1:Z2"/>
    <mergeCell ref="B3:C3"/>
    <mergeCell ref="F3:G3"/>
    <mergeCell ref="J3:K3"/>
    <mergeCell ref="O3:P3"/>
    <mergeCell ref="R3:S3"/>
    <mergeCell ref="U3:V3"/>
    <mergeCell ref="E3:E4"/>
    <mergeCell ref="L3:L4"/>
    <mergeCell ref="M3:M4"/>
    <mergeCell ref="N3:N4"/>
    <mergeCell ref="D4:D5"/>
    <mergeCell ref="H4:H5"/>
    <mergeCell ref="D6:D7"/>
    <mergeCell ref="H6:H7"/>
    <mergeCell ref="D8:D9"/>
    <mergeCell ref="H8:H9"/>
    <mergeCell ref="D10:D11"/>
    <mergeCell ref="H10:H11"/>
    <mergeCell ref="D12:D13"/>
    <mergeCell ref="H12:H13"/>
    <mergeCell ref="D14:D15"/>
    <mergeCell ref="H14:H15"/>
    <mergeCell ref="D16:D17"/>
    <mergeCell ref="H16:H17"/>
    <mergeCell ref="I17:K18"/>
    <mergeCell ref="D18:D19"/>
    <mergeCell ref="H18:H19"/>
    <mergeCell ref="J19:K19"/>
    <mergeCell ref="D20:D21"/>
    <mergeCell ref="H20:H21"/>
    <mergeCell ref="D22:D23"/>
    <mergeCell ref="H22:H23"/>
    <mergeCell ref="D24:D25"/>
    <mergeCell ref="H24:H25"/>
    <mergeCell ref="D26:D27"/>
    <mergeCell ref="H26:H27"/>
    <mergeCell ref="D28:D29"/>
    <mergeCell ref="H28:H29"/>
    <mergeCell ref="D30:D31"/>
    <mergeCell ref="H30:H31"/>
    <mergeCell ref="D32:D33"/>
    <mergeCell ref="H32:H33"/>
    <mergeCell ref="D34:D35"/>
    <mergeCell ref="H34:H35"/>
    <mergeCell ref="D36:D37"/>
    <mergeCell ref="H36:H37"/>
    <mergeCell ref="D38:D39"/>
    <mergeCell ref="H38:H39"/>
    <mergeCell ref="D40:D41"/>
    <mergeCell ref="H40:H41"/>
    <mergeCell ref="D42:D43"/>
    <mergeCell ref="H42:H43"/>
    <mergeCell ref="H44:H45"/>
    <mergeCell ref="H46:H47"/>
    <mergeCell ref="H48:H49"/>
    <mergeCell ref="H50:H51"/>
    <mergeCell ref="H52:H53"/>
    <mergeCell ref="H54:H5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 zoomScale="70" zoomScaleNormal="70">
      <selection activeCell="J4" sqref="J4"/>
    </sheetView>
  </sheetViews>
  <sheetFormatPr defaultRowHeight="15.6" outlineLevelRow="0" outlineLevelCol="0" x14ac:dyDescent="0" defaultColWidth="9" customHeight="1"/>
  <cols>
    <col min="1" max="9" width="9" style="1" customWidth="1"/>
    <col min="10" max="11" width="12.1" style="2" customWidth="1"/>
    <col min="12" max="16384" width="9" style="1" customWidth="1"/>
  </cols>
  <sheetData>
    <row r="1" spans="1:12" x14ac:dyDescent="0.25">
      <c r="A1" s="3" t="s">
        <v>0</v>
      </c>
      <c r="B1" s="4"/>
      <c r="C1" s="4"/>
      <c r="D1" s="5" t="s">
        <v>1</v>
      </c>
      <c r="E1" s="6"/>
      <c r="F1" s="6"/>
      <c r="G1" s="3" t="s">
        <v>2</v>
      </c>
      <c r="H1" s="4"/>
      <c r="I1" s="4"/>
      <c r="J1" s="7" t="s">
        <v>3</v>
      </c>
      <c r="K1" s="8"/>
      <c r="L1" s="8"/>
    </row>
    <row r="2" spans="1:12" x14ac:dyDescent="0.25">
      <c r="A2" s="3"/>
      <c r="B2" s="4"/>
      <c r="C2" s="4"/>
      <c r="D2" s="5"/>
      <c r="E2" s="6"/>
      <c r="F2" s="6"/>
      <c r="G2" s="3"/>
      <c r="H2" s="4"/>
      <c r="I2" s="4"/>
      <c r="J2" s="7"/>
      <c r="K2" s="8"/>
      <c r="L2" s="8"/>
    </row>
    <row r="3" spans="1:12" x14ac:dyDescent="0.25">
      <c r="A3" s="9" t="s">
        <v>4</v>
      </c>
      <c r="B3" s="10" t="s">
        <v>5</v>
      </c>
      <c r="C3" s="10"/>
      <c r="D3" s="9" t="s">
        <v>4</v>
      </c>
      <c r="E3" s="10" t="s">
        <v>5</v>
      </c>
      <c r="F3" s="10"/>
      <c r="G3" s="9" t="s">
        <v>4</v>
      </c>
      <c r="H3" s="10" t="s">
        <v>5</v>
      </c>
      <c r="I3" s="10"/>
      <c r="J3" s="11" t="s">
        <v>6</v>
      </c>
      <c r="K3" s="12" t="s">
        <v>5</v>
      </c>
      <c r="L3" s="12"/>
    </row>
    <row r="4" spans="1:12" x14ac:dyDescent="0.25">
      <c r="A4" s="9"/>
      <c r="B4" s="13">
        <f t="array" ref="B4">-INDEX(A:A,ROUNDUP(ROW(A8)/2,0))</f>
        <v>0</v>
      </c>
      <c r="C4" s="13" t="s">
        <v>7</v>
      </c>
      <c r="D4" s="9"/>
      <c r="E4" s="13">
        <f t="array" ref="E4">-INDEX(D:D,ROUNDUP(ROW(D8)/2,0))</f>
        <v>0</v>
      </c>
      <c r="F4" s="13">
        <v>40</v>
      </c>
      <c r="G4" s="9"/>
      <c r="H4" s="13">
        <f t="array" ref="H4">-INDEX(G:G,ROUNDUP(ROW(G8)/2,0))</f>
        <v>0</v>
      </c>
      <c r="I4" s="13" t="s">
        <v>8</v>
      </c>
      <c r="J4" s="2">
        <f>D5</f>
        <v>0.9</v>
      </c>
      <c r="K4" s="14">
        <f>E6</f>
        <v>-0.9</v>
      </c>
      <c r="L4" s="14">
        <f>F6-IF(LEN(TEXT(J4,"0"))=1,1.25,IF(LEN(TEXT(J4,"0"))=2,1.525,2.025))</f>
        <v>33.75</v>
      </c>
    </row>
    <row r="5" spans="1:12" x14ac:dyDescent="0.25">
      <c r="A5" s="15"/>
      <c r="B5" s="13">
        <f t="array" ref="B5">-INDEX(A:A,ROUNDUP(ROW(A9)/2,0))</f>
        <v>0</v>
      </c>
      <c r="C5" s="13" t="s">
        <v>7</v>
      </c>
      <c r="D5" s="15"/>
      <c r="E5" s="13">
        <f t="array" ref="E5">-INDEX(D:D,ROUNDUP(ROW(D9)/2,0))</f>
        <v>-0.9</v>
      </c>
      <c r="F5" s="13">
        <v>40</v>
      </c>
      <c r="G5" s="15"/>
      <c r="H5" s="13">
        <f t="array" ref="H5">-INDEX(G:G,ROUNDUP(ROW(G9)/2,0))</f>
        <v>0</v>
      </c>
      <c r="I5" s="13" t="s">
        <v>8</v>
      </c>
      <c r="J5" s="2" t="s">
        <v>9</v>
      </c>
      <c r="K5" s="14">
        <f>IF(K6&lt;K4,(K6+K4)/2-0.2,0)</f>
        <v>-9.235</v>
      </c>
      <c r="L5" s="14">
        <v>32.775</v>
      </c>
    </row>
    <row r="6" spans="1:12" x14ac:dyDescent="0.25">
      <c r="A6" s="2"/>
      <c r="B6" s="13">
        <f t="array" ref="B6">-INDEX(A:A,ROUNDUP(ROW(A10)/2,0))</f>
        <v>0</v>
      </c>
      <c r="C6" s="13" t="s">
        <v>10</v>
      </c>
      <c r="D6" s="15"/>
      <c r="E6" s="13">
        <f t="array" ref="E6">-INDEX(D:D,ROUNDUP(ROW(D10)/2,0))</f>
        <v>-0.9</v>
      </c>
      <c r="F6" s="13">
        <v>35</v>
      </c>
      <c r="G6" s="2"/>
      <c r="H6" s="13">
        <f t="array" ref="H6">-INDEX(G:G,ROUNDUP(ROW(G10)/2,0))</f>
        <v>0</v>
      </c>
      <c r="I6" s="13" t="s">
        <v>11</v>
      </c>
      <c r="J6" s="16">
        <f>D6</f>
        <v>17.17</v>
      </c>
      <c r="K6" s="14">
        <f>E7</f>
        <v>-17.17</v>
      </c>
      <c r="L6" s="14">
        <f>F7-IF(LEN(TEXT(J6,"0"))=1,1.25,IF(LEN(TEXT(J6,"0"))=2,1.525,2.025))</f>
        <v>33.475</v>
      </c>
    </row>
    <row r="7" spans="1:12" x14ac:dyDescent="0.25">
      <c r="A7" s="2"/>
      <c r="B7" s="13">
        <f t="array" ref="B7">-INDEX(A:A,ROUNDUP(ROW(A11)/2,0))</f>
        <v>0</v>
      </c>
      <c r="C7" s="13" t="s">
        <v>10</v>
      </c>
      <c r="D7" s="15"/>
      <c r="E7" s="13">
        <f t="array" ref="E7">-INDEX(D:D,ROUNDUP(ROW(D11)/2,0))</f>
        <v>-17.17</v>
      </c>
      <c r="F7" s="13">
        <v>35</v>
      </c>
      <c r="G7" s="2"/>
      <c r="H7" s="13">
        <f t="array" ref="H7">-INDEX(G:G,ROUNDUP(ROW(G11)/2,0))</f>
        <v>0</v>
      </c>
      <c r="I7" s="13" t="s">
        <v>11</v>
      </c>
      <c r="J7" s="2" t="s">
        <v>12</v>
      </c>
      <c r="K7" s="14">
        <f>IF(K8&lt;K6,(K8+K6)/2-0.2,0)</f>
        <v>-75.01</v>
      </c>
      <c r="L7" s="14">
        <v>32.775</v>
      </c>
    </row>
    <row r="8" spans="1:12" x14ac:dyDescent="0.25">
      <c r="A8" s="2"/>
      <c r="B8" s="13">
        <f t="array" ref="B8">-INDEX(A:A,ROUNDUP(ROW(A12)/2,0))</f>
        <v>0</v>
      </c>
      <c r="C8" s="13" t="s">
        <v>7</v>
      </c>
      <c r="D8" s="2"/>
      <c r="E8" s="13">
        <f t="array" ref="E8">-INDEX(D:D,ROUNDUP(ROW(D12)/2,0))</f>
        <v>-17.17</v>
      </c>
      <c r="F8" s="13">
        <v>40</v>
      </c>
      <c r="G8" s="2"/>
      <c r="H8" s="13">
        <f t="array" ref="H8">-INDEX(G:G,ROUNDUP(ROW(G12)/2,0))</f>
        <v>0</v>
      </c>
      <c r="I8" s="13" t="s">
        <v>8</v>
      </c>
      <c r="J8" s="2">
        <f>D7</f>
        <v>132.45</v>
      </c>
      <c r="K8" s="14">
        <f>E10</f>
        <v>-132.45</v>
      </c>
      <c r="L8" s="14">
        <f>F10-IF(LEN(TEXT(J8,"0"))=1,1.25,IF(LEN(TEXT(J8,"0"))=2,1.525,2.025))</f>
        <v>32.975</v>
      </c>
    </row>
    <row r="9" spans="1:12" x14ac:dyDescent="0.25">
      <c r="A9" s="2"/>
      <c r="B9" s="13">
        <f t="array" ref="B9">-INDEX(A:A,ROUNDUP(ROW(A13)/2,0))</f>
        <v>0</v>
      </c>
      <c r="C9" s="13" t="s">
        <v>7</v>
      </c>
      <c r="D9" s="2"/>
      <c r="E9" s="13">
        <f t="array" ref="E9">-INDEX(D:D,ROUNDUP(ROW(D13)/2,0))</f>
        <v>-132.45</v>
      </c>
      <c r="F9" s="13">
        <v>40</v>
      </c>
      <c r="G9" s="2"/>
      <c r="H9" s="13">
        <f t="array" ref="H9">-INDEX(G:G,ROUNDUP(ROW(G13)/2,0))</f>
        <v>0</v>
      </c>
      <c r="I9" s="13" t="s">
        <v>8</v>
      </c>
      <c r="J9" s="2" t="s">
        <v>13</v>
      </c>
      <c r="K9" s="14">
        <f>IF(K10&lt;K8,(K10+K8)/2-0.2,0)</f>
        <v>-200.925</v>
      </c>
      <c r="L9" s="14">
        <v>32.775</v>
      </c>
    </row>
    <row r="10" spans="1:12" x14ac:dyDescent="0.25">
      <c r="A10" s="2"/>
      <c r="B10" s="13">
        <f t="array" ref="B10">-INDEX(A:A,ROUNDUP(ROW(A14)/2,0))</f>
        <v>0</v>
      </c>
      <c r="C10" s="13" t="s">
        <v>10</v>
      </c>
      <c r="D10" s="2"/>
      <c r="E10" s="13">
        <f t="array" ref="E10">-INDEX(D:D,ROUNDUP(ROW(D14)/2,0))</f>
        <v>-132.45</v>
      </c>
      <c r="F10" s="13">
        <v>35</v>
      </c>
      <c r="G10" s="2"/>
      <c r="H10" s="13">
        <f t="array" ref="H10">-INDEX(G:G,ROUNDUP(ROW(G14)/2,0))</f>
        <v>0</v>
      </c>
      <c r="I10" s="13" t="s">
        <v>11</v>
      </c>
      <c r="J10" s="2">
        <f>D8</f>
        <v>269</v>
      </c>
      <c r="K10" s="14">
        <f>E11</f>
        <v>-269</v>
      </c>
      <c r="L10" s="14">
        <f>F11-IF(LEN(TEXT(J10,"0"))=1,1.25,IF(LEN(TEXT(J10,"0"))=2,1.525,2.025))</f>
        <v>32.975</v>
      </c>
    </row>
    <row r="11" spans="1:12" x14ac:dyDescent="0.25">
      <c r="A11" s="2"/>
      <c r="B11" s="13">
        <f t="array" ref="B11">-INDEX(A:A,ROUNDUP(ROW(A15)/2,0))</f>
        <v>0</v>
      </c>
      <c r="C11" s="13" t="s">
        <v>10</v>
      </c>
      <c r="D11" s="2"/>
      <c r="E11" s="13">
        <f t="array" ref="E11">-INDEX(D:D,ROUNDUP(ROW(D15)/2,0))</f>
        <v>-269</v>
      </c>
      <c r="F11" s="13">
        <v>35</v>
      </c>
      <c r="G11" s="2"/>
      <c r="H11" s="13">
        <f t="array" ref="H11">-INDEX(G:G,ROUNDUP(ROW(G15)/2,0))</f>
        <v>0</v>
      </c>
      <c r="I11" s="13" t="s">
        <v>11</v>
      </c>
      <c r="J11" s="2" t="s">
        <v>14</v>
      </c>
      <c r="K11" s="14">
        <f>IF(K12&lt;K10,(K12+K10)/2-0.2,0)</f>
        <v>-482.825</v>
      </c>
      <c r="L11" s="14">
        <v>32.775</v>
      </c>
    </row>
    <row r="12" spans="1:12" x14ac:dyDescent="0.25">
      <c r="A12" s="2"/>
      <c r="B12" s="13">
        <f t="array" ref="B12">-INDEX(A:A,ROUNDUP(ROW(A16)/2,0))</f>
        <v>0</v>
      </c>
      <c r="C12" s="13" t="s">
        <v>7</v>
      </c>
      <c r="D12" s="2"/>
      <c r="E12" s="13">
        <f t="array" ref="E12">-INDEX(D:D,ROUNDUP(ROW(D16)/2,0))</f>
        <v>-269</v>
      </c>
      <c r="F12" s="13">
        <v>40</v>
      </c>
      <c r="G12" s="2"/>
      <c r="H12" s="13">
        <f t="array" ref="H12">-INDEX(G:G,ROUNDUP(ROW(G16)/2,0))</f>
        <v>0</v>
      </c>
      <c r="I12" s="13" t="s">
        <v>8</v>
      </c>
      <c r="J12" s="2">
        <f>K13</f>
        <v>696.25</v>
      </c>
      <c r="K12" s="14">
        <f>-K13</f>
        <v>-696.25</v>
      </c>
      <c r="L12" s="14">
        <f>F15-IF(LEN(TEXT(J12,"0"))=1,1.25,IF(LEN(TEXT(J12,"0"))=2,1.525,2.025))</f>
        <v>32.975</v>
      </c>
    </row>
    <row r="13" spans="1:12" x14ac:dyDescent="0.25">
      <c r="A13" s="2"/>
      <c r="B13" s="13">
        <f t="array" ref="B13">-INDEX(A:A,ROUNDUP(ROW(A17)/2,0))</f>
        <v>0</v>
      </c>
      <c r="C13" s="13" t="s">
        <v>7</v>
      </c>
      <c r="D13" s="2"/>
      <c r="E13" s="13">
        <f t="array" ref="E13">-INDEX(D:D,ROUNDUP(ROW(D17)/2,0))</f>
        <v>0</v>
      </c>
      <c r="F13" s="13">
        <v>40</v>
      </c>
      <c r="G13" s="2"/>
      <c r="H13" s="13">
        <f t="array" ref="H13">-INDEX(G:G,ROUNDUP(ROW(G17)/2,0))</f>
        <v>0</v>
      </c>
      <c r="I13" s="13" t="s">
        <v>8</v>
      </c>
      <c r="J13" s="17" t="s">
        <v>15</v>
      </c>
      <c r="K13" s="18"/>
      <c r="L13" s="17"/>
    </row>
    <row r="14" spans="1:9" x14ac:dyDescent="0.25">
      <c r="A14" s="2"/>
      <c r="B14" s="13">
        <f t="array" ref="B14">-INDEX(A:A,ROUNDUP(ROW(A18)/2,0))</f>
        <v>0</v>
      </c>
      <c r="C14" s="13" t="s">
        <v>10</v>
      </c>
      <c r="D14" s="2"/>
      <c r="E14" s="13">
        <f t="array" ref="E14">-INDEX(D:D,ROUNDUP(ROW(D18)/2,0))</f>
        <v>0</v>
      </c>
      <c r="F14" s="13">
        <v>35</v>
      </c>
      <c r="G14" s="2"/>
      <c r="H14" s="13">
        <f t="array" ref="H14">-INDEX(G:G,ROUNDUP(ROW(G18)/2,0))</f>
        <v>0</v>
      </c>
      <c r="I14" s="13" t="s">
        <v>11</v>
      </c>
    </row>
    <row r="15" spans="1:9" x14ac:dyDescent="0.25">
      <c r="A15" s="2"/>
      <c r="B15" s="13">
        <f t="array" ref="B15">-INDEX(A:A,ROUNDUP(ROW(A19)/2,0))</f>
        <v>0</v>
      </c>
      <c r="C15" s="13" t="s">
        <v>10</v>
      </c>
      <c r="D15" s="2"/>
      <c r="E15" s="13">
        <f t="array" ref="E15">-INDEX(D:D,ROUNDUP(ROW(D19)/2,0))</f>
        <v>0</v>
      </c>
      <c r="F15" s="13">
        <v>35</v>
      </c>
      <c r="G15" s="2"/>
      <c r="H15" s="13">
        <f t="array" ref="H15">-INDEX(G:G,ROUNDUP(ROW(G19)/2,0))</f>
        <v>0</v>
      </c>
      <c r="I15" s="13" t="s">
        <v>11</v>
      </c>
    </row>
    <row r="16" spans="1:9" x14ac:dyDescent="0.25">
      <c r="A16" s="2"/>
      <c r="B16" s="13">
        <f t="array" ref="B16">-INDEX(A:A,ROUNDUP(ROW(A20)/2,0))</f>
        <v>0</v>
      </c>
      <c r="C16" s="13" t="s">
        <v>7</v>
      </c>
      <c r="D16" s="2"/>
      <c r="E16" s="13">
        <f t="array" ref="E16">-INDEX(D:D,ROUNDUP(ROW(D20)/2,0))</f>
        <v>0</v>
      </c>
      <c r="F16" s="13">
        <v>40</v>
      </c>
      <c r="G16" s="2"/>
      <c r="H16" s="13">
        <f t="array" ref="H16">-INDEX(G:G,ROUNDUP(ROW(G20)/2,0))</f>
        <v>0</v>
      </c>
      <c r="I16" s="13" t="s">
        <v>8</v>
      </c>
    </row>
    <row r="17" spans="1:9" x14ac:dyDescent="0.25">
      <c r="A17" s="2"/>
      <c r="B17" s="13">
        <f t="array" ref="B17">-INDEX(A:A,ROUNDUP(ROW(A21)/2,0))</f>
        <v>0</v>
      </c>
      <c r="C17" s="13" t="s">
        <v>7</v>
      </c>
      <c r="D17" s="2"/>
      <c r="E17" s="13">
        <f t="array" ref="E17">-INDEX(D:D,ROUNDUP(ROW(D21)/2,0))</f>
        <v>0</v>
      </c>
      <c r="F17" s="13">
        <v>40</v>
      </c>
      <c r="G17" s="2"/>
      <c r="H17" s="13">
        <f t="array" ref="H17">-INDEX(G:G,ROUNDUP(ROW(G21)/2,0))</f>
        <v>0</v>
      </c>
      <c r="I17" s="13" t="s">
        <v>8</v>
      </c>
    </row>
    <row r="18" spans="1:9" x14ac:dyDescent="0.25">
      <c r="A18" s="2"/>
      <c r="B18" s="13">
        <f t="array" ref="B18">-INDEX(A:A,ROUNDUP(ROW(A22)/2,0))</f>
        <v>0</v>
      </c>
      <c r="C18" s="13" t="s">
        <v>10</v>
      </c>
      <c r="D18" s="2"/>
      <c r="E18" s="13">
        <f t="array" ref="E18">-INDEX(D:D,ROUNDUP(ROW(D22)/2,0))</f>
        <v>0</v>
      </c>
      <c r="F18" s="13">
        <v>35</v>
      </c>
      <c r="G18" s="2"/>
      <c r="H18" s="13">
        <f t="array" ref="H18">-INDEX(G:G,ROUNDUP(ROW(G22)/2,0))</f>
        <v>0</v>
      </c>
      <c r="I18" s="13" t="s">
        <v>11</v>
      </c>
    </row>
    <row r="19" spans="1:9" x14ac:dyDescent="0.25">
      <c r="A19" s="2"/>
      <c r="B19" s="13">
        <f t="array" ref="B19">-INDEX(A:A,ROUNDUP(ROW(A23)/2,0))</f>
        <v>0</v>
      </c>
      <c r="C19" s="13" t="s">
        <v>10</v>
      </c>
      <c r="D19" s="2"/>
      <c r="E19" s="13">
        <f t="array" ref="E19">-INDEX(D:D,ROUNDUP(ROW(D23)/2,0))</f>
        <v>0</v>
      </c>
      <c r="F19" s="13">
        <v>35</v>
      </c>
      <c r="G19" s="2"/>
      <c r="H19" s="13">
        <f t="array" ref="H19">-INDEX(G:G,ROUNDUP(ROW(G23)/2,0))</f>
        <v>0</v>
      </c>
      <c r="I19" s="13" t="s">
        <v>11</v>
      </c>
    </row>
    <row r="20" spans="1:9" x14ac:dyDescent="0.25">
      <c r="A20" s="2"/>
      <c r="B20" s="13">
        <f t="array" ref="B20">-INDEX(A:A,ROUNDUP(ROW(A24)/2,0))</f>
        <v>0</v>
      </c>
      <c r="C20" s="13" t="s">
        <v>7</v>
      </c>
      <c r="D20" s="2"/>
      <c r="E20" s="13">
        <f t="array" ref="E20">-INDEX(D:D,ROUNDUP(ROW(D24)/2,0))</f>
        <v>0</v>
      </c>
      <c r="F20" s="13">
        <v>40</v>
      </c>
      <c r="G20" s="2"/>
      <c r="H20" s="13">
        <f t="array" ref="H20">-INDEX(G:G,ROUNDUP(ROW(G24)/2,0))</f>
        <v>0</v>
      </c>
      <c r="I20" s="13" t="s">
        <v>8</v>
      </c>
    </row>
    <row r="21" spans="1:9" x14ac:dyDescent="0.25">
      <c r="A21" s="2"/>
      <c r="B21" s="13">
        <f t="array" ref="B21">-INDEX(A:A,ROUNDUP(ROW(A25)/2,0))</f>
        <v>0</v>
      </c>
      <c r="C21" s="13" t="s">
        <v>7</v>
      </c>
      <c r="D21" s="2"/>
      <c r="E21" s="13">
        <f t="array" ref="E21">-INDEX(D:D,ROUNDUP(ROW(D25)/2,0))</f>
        <v>0</v>
      </c>
      <c r="F21" s="13">
        <v>40</v>
      </c>
      <c r="G21" s="2"/>
      <c r="H21" s="13">
        <f t="array" ref="H21">-INDEX(G:G,ROUNDUP(ROW(G25)/2,0))</f>
        <v>0</v>
      </c>
      <c r="I21" s="13" t="s">
        <v>8</v>
      </c>
    </row>
    <row r="22" spans="1:9" x14ac:dyDescent="0.25">
      <c r="A22" s="2"/>
      <c r="B22" s="13">
        <f t="array" ref="B22">-INDEX(A:A,ROUNDUP(ROW(A26)/2,0))</f>
        <v>0</v>
      </c>
      <c r="C22" s="13" t="s">
        <v>10</v>
      </c>
      <c r="D22" s="2"/>
      <c r="E22" s="13">
        <f t="array" ref="E22">-INDEX(D:D,ROUNDUP(ROW(D26)/2,0))</f>
        <v>0</v>
      </c>
      <c r="F22" s="13">
        <v>35</v>
      </c>
      <c r="G22" s="2"/>
      <c r="H22" s="13">
        <f t="array" ref="H22">-INDEX(G:G,ROUNDUP(ROW(G26)/2,0))</f>
        <v>0</v>
      </c>
      <c r="I22" s="13" t="s">
        <v>11</v>
      </c>
    </row>
    <row r="23" spans="1:9" x14ac:dyDescent="0.25">
      <c r="A23" s="2"/>
      <c r="B23" s="13">
        <f t="array" ref="B23">-INDEX(A:A,ROUNDUP(ROW(A27)/2,0))</f>
        <v>0</v>
      </c>
      <c r="C23" s="13" t="s">
        <v>10</v>
      </c>
      <c r="D23" s="2"/>
      <c r="E23" s="13">
        <f t="array" ref="E23">-INDEX(D:D,ROUNDUP(ROW(D27)/2,0))</f>
        <v>0</v>
      </c>
      <c r="F23" s="13">
        <v>35</v>
      </c>
      <c r="G23" s="2"/>
      <c r="H23" s="13">
        <f t="array" ref="H23">-INDEX(G:G,ROUNDUP(ROW(G27)/2,0))</f>
        <v>0</v>
      </c>
      <c r="I23" s="13" t="s">
        <v>11</v>
      </c>
    </row>
    <row r="24" spans="1:9" x14ac:dyDescent="0.25">
      <c r="A24" s="2"/>
      <c r="B24" s="13">
        <f t="array" ref="B24">-INDEX(A:A,ROUNDUP(ROW(A28)/2,0))</f>
        <v>0</v>
      </c>
      <c r="C24" s="13" t="s">
        <v>7</v>
      </c>
      <c r="D24" s="2"/>
      <c r="E24" s="13">
        <f t="array" ref="E24">-INDEX(D:D,ROUNDUP(ROW(D28)/2,0))</f>
        <v>0</v>
      </c>
      <c r="F24" s="13">
        <v>40</v>
      </c>
      <c r="G24" s="2"/>
      <c r="H24" s="13">
        <f t="array" ref="H24">-INDEX(G:G,ROUNDUP(ROW(G28)/2,0))</f>
        <v>0</v>
      </c>
      <c r="I24" s="13" t="s">
        <v>8</v>
      </c>
    </row>
    <row r="25" spans="1:9" x14ac:dyDescent="0.25">
      <c r="A25" s="2"/>
      <c r="B25" s="13">
        <f t="array" ref="B25">-INDEX(A:A,ROUNDUP(ROW(A29)/2,0))</f>
        <v>0</v>
      </c>
      <c r="C25" s="13" t="s">
        <v>7</v>
      </c>
      <c r="D25" s="2"/>
      <c r="E25" s="13">
        <f t="array" ref="E25">-INDEX(D:D,ROUNDUP(ROW(D29)/2,0))</f>
        <v>0</v>
      </c>
      <c r="F25" s="13">
        <v>40</v>
      </c>
      <c r="G25" s="2"/>
      <c r="H25" s="13">
        <f t="array" ref="H25">-INDEX(G:G,ROUNDUP(ROW(G29)/2,0))</f>
        <v>0</v>
      </c>
      <c r="I25" s="13" t="s">
        <v>8</v>
      </c>
    </row>
    <row r="26" spans="1:9" x14ac:dyDescent="0.25">
      <c r="A26" s="2"/>
      <c r="B26" s="13">
        <f t="array" ref="B26">-INDEX(A:A,ROUNDUP(ROW(A30)/2,0))</f>
        <v>0</v>
      </c>
      <c r="C26" s="13" t="s">
        <v>10</v>
      </c>
      <c r="D26" s="2"/>
      <c r="E26" s="13">
        <f t="array" ref="E26">-INDEX(D:D,ROUNDUP(ROW(D30)/2,0))</f>
        <v>0</v>
      </c>
      <c r="F26" s="13">
        <v>35</v>
      </c>
      <c r="G26" s="2"/>
      <c r="H26" s="13">
        <f t="array" ref="H26">-INDEX(G:G,ROUNDUP(ROW(G30)/2,0))</f>
        <v>0</v>
      </c>
      <c r="I26" s="13" t="s">
        <v>11</v>
      </c>
    </row>
    <row r="27" spans="1:9" x14ac:dyDescent="0.25">
      <c r="A27" s="2"/>
      <c r="B27" s="13">
        <f t="array" ref="B27">-INDEX(A:A,ROUNDUP(ROW(A31)/2,0))</f>
        <v>0</v>
      </c>
      <c r="C27" s="13" t="s">
        <v>10</v>
      </c>
      <c r="D27" s="2"/>
      <c r="E27" s="13">
        <f t="array" ref="E27">-INDEX(D:D,ROUNDUP(ROW(D31)/2,0))</f>
        <v>0</v>
      </c>
      <c r="F27" s="13">
        <v>35</v>
      </c>
      <c r="G27" s="2"/>
      <c r="H27" s="13">
        <f t="array" ref="H27">-INDEX(G:G,ROUNDUP(ROW(G31)/2,0))</f>
        <v>0</v>
      </c>
      <c r="I27" s="13" t="s">
        <v>11</v>
      </c>
    </row>
    <row r="28" spans="7:7" x14ac:dyDescent="0.25">
      <c r="G28" s="2"/>
    </row>
    <row r="29" spans="7:7" x14ac:dyDescent="0.25">
      <c r="G29" s="2"/>
    </row>
    <row r="30" spans="7:7" x14ac:dyDescent="0.25">
      <c r="G30" s="2"/>
    </row>
  </sheetData>
  <mergeCells count="12">
    <mergeCell ref="A1:C2"/>
    <mergeCell ref="D1:F2"/>
    <mergeCell ref="G1:I2"/>
    <mergeCell ref="J1:L2"/>
    <mergeCell ref="B3:C3"/>
    <mergeCell ref="E3:F3"/>
    <mergeCell ref="H3:I3"/>
    <mergeCell ref="K3:L3"/>
    <mergeCell ref="A3:A4"/>
    <mergeCell ref="D3:D4"/>
    <mergeCell ref="G3:G4"/>
    <mergeCell ref="K13:L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5"/>
  <sheetViews>
    <sheetView workbookViewId="0" zoomScale="85" zoomScaleNormal="85">
      <selection activeCell="D1" sqref="D1"/>
    </sheetView>
  </sheetViews>
  <sheetFormatPr defaultRowHeight="15.6" outlineLevelRow="0" outlineLevelCol="4" x14ac:dyDescent="0" defaultColWidth="8.8" customHeight="1"/>
  <cols>
    <col min="1" max="1" width="9.4" style="56" customWidth="1"/>
    <col min="2" max="2" width="8.9" style="56" customWidth="1"/>
    <col min="3" max="3" width="8.8" style="56" customWidth="1"/>
    <col min="4" max="4" width="9.5" style="56" customWidth="1"/>
    <col min="5" max="16384" width="8.8" style="56" customWidth="1"/>
  </cols>
  <sheetData>
    <row r="1" spans="1:5" x14ac:dyDescent="0.25">
      <c r="A1" s="56">
        <v>0</v>
      </c>
      <c r="B1" s="56">
        <v>40</v>
      </c>
      <c r="C1" s="56">
        <v>0.9</v>
      </c>
      <c r="D1" s="56">
        <v>-0.9</v>
      </c>
      <c r="E1" s="56">
        <v>33.75</v>
      </c>
    </row>
    <row r="2" spans="1:5" x14ac:dyDescent="0.25">
      <c r="A2" s="56">
        <v>-0.9</v>
      </c>
      <c r="B2" s="56">
        <v>40</v>
      </c>
      <c r="C2" s="56" t="s">
        <v>9</v>
      </c>
      <c r="D2" s="56">
        <v>-9.235</v>
      </c>
      <c r="E2" s="56">
        <v>32.775</v>
      </c>
    </row>
    <row r="3" spans="1:5" x14ac:dyDescent="0.25">
      <c r="A3" s="56">
        <v>-0.9</v>
      </c>
      <c r="B3" s="56">
        <v>35</v>
      </c>
      <c r="C3" s="56">
        <v>17.17</v>
      </c>
      <c r="D3" s="56">
        <v>-17.17</v>
      </c>
      <c r="E3" s="56">
        <v>33.475</v>
      </c>
    </row>
    <row r="4" spans="1:5" x14ac:dyDescent="0.25">
      <c r="A4" s="56">
        <v>-17.17</v>
      </c>
      <c r="B4" s="56">
        <v>35</v>
      </c>
      <c r="C4" s="56" t="s">
        <v>12</v>
      </c>
      <c r="D4" s="56">
        <v>-75.01</v>
      </c>
      <c r="E4" s="56">
        <v>32.775</v>
      </c>
    </row>
    <row r="5" spans="1:5" x14ac:dyDescent="0.25">
      <c r="A5" s="56">
        <v>-17.17</v>
      </c>
      <c r="B5" s="56">
        <v>40</v>
      </c>
      <c r="C5" s="56">
        <v>132.45</v>
      </c>
      <c r="D5" s="56">
        <v>-132.45</v>
      </c>
      <c r="E5" s="56">
        <v>32.975</v>
      </c>
    </row>
    <row r="6" spans="1:5" x14ac:dyDescent="0.25">
      <c r="A6" s="56">
        <v>-132.45</v>
      </c>
      <c r="B6" s="56">
        <v>40</v>
      </c>
      <c r="C6" s="56" t="s">
        <v>13</v>
      </c>
      <c r="D6" s="56">
        <v>-200.925</v>
      </c>
      <c r="E6" s="56">
        <v>32.775</v>
      </c>
    </row>
    <row r="7" spans="1:5" x14ac:dyDescent="0.25">
      <c r="A7" s="56">
        <v>-132.45</v>
      </c>
      <c r="B7" s="56">
        <v>35</v>
      </c>
      <c r="C7" s="56">
        <v>269</v>
      </c>
      <c r="D7" s="56">
        <v>-269</v>
      </c>
      <c r="E7" s="56">
        <v>32.975</v>
      </c>
    </row>
    <row r="8" spans="1:5" x14ac:dyDescent="0.25">
      <c r="A8" s="56">
        <v>-269</v>
      </c>
      <c r="B8" s="56">
        <v>35</v>
      </c>
      <c r="C8" s="56" t="s">
        <v>14</v>
      </c>
      <c r="D8" s="56">
        <v>-482.825</v>
      </c>
      <c r="E8" s="56">
        <v>32.775</v>
      </c>
    </row>
    <row r="9" spans="1:5" x14ac:dyDescent="0.25">
      <c r="A9" s="56">
        <v>-269</v>
      </c>
      <c r="B9" s="56">
        <v>40</v>
      </c>
      <c r="C9" s="56">
        <v>696.25</v>
      </c>
      <c r="D9" s="56">
        <v>-696.25</v>
      </c>
      <c r="E9" s="56">
        <v>32.975</v>
      </c>
    </row>
    <row r="10" spans="3:5" x14ac:dyDescent="0.25">
      <c r="C10" s="56">
        <v>147.75</v>
      </c>
      <c r="D10" s="56">
        <v>-150.35</v>
      </c>
      <c r="E10" s="56">
        <v>161.125</v>
      </c>
    </row>
    <row r="11" spans="1:5" x14ac:dyDescent="0.25">
      <c r="A11" s="56">
        <v>0</v>
      </c>
      <c r="B11" s="56">
        <v>110.5</v>
      </c>
      <c r="C11" s="56">
        <v>0.9</v>
      </c>
      <c r="D11" s="56">
        <v>-2.4</v>
      </c>
      <c r="E11" s="56">
        <v>140.82</v>
      </c>
    </row>
    <row r="12" spans="1:5" x14ac:dyDescent="0.25">
      <c r="A12" s="56">
        <v>-0.9</v>
      </c>
      <c r="B12" s="56">
        <v>110.5</v>
      </c>
      <c r="C12" s="56">
        <v>20.95</v>
      </c>
      <c r="D12" s="56">
        <v>-12.875</v>
      </c>
      <c r="E12" s="56">
        <v>145.95</v>
      </c>
    </row>
    <row r="13" spans="1:5" x14ac:dyDescent="0.25">
      <c r="A13" s="56">
        <v>-0.9</v>
      </c>
      <c r="B13" s="56">
        <v>110.5</v>
      </c>
      <c r="C13" s="56">
        <v>21.85</v>
      </c>
      <c r="D13" s="56">
        <v>-21.85</v>
      </c>
      <c r="E13" s="56">
        <v>140.975</v>
      </c>
    </row>
    <row r="14" spans="1:5" x14ac:dyDescent="0.25">
      <c r="A14" s="56">
        <v>-1.65</v>
      </c>
      <c r="B14" s="56">
        <v>110.5</v>
      </c>
      <c r="C14" s="56">
        <v>26.6</v>
      </c>
      <c r="D14" s="56">
        <v>-28.1</v>
      </c>
      <c r="E14" s="56">
        <v>140.975</v>
      </c>
    </row>
    <row r="15" spans="1:5" x14ac:dyDescent="0.25">
      <c r="A15" s="56">
        <v>-1.65</v>
      </c>
      <c r="B15" s="56">
        <v>111.9</v>
      </c>
      <c r="C15" s="56" t="s">
        <v>44</v>
      </c>
      <c r="D15" s="56">
        <v>-26.6</v>
      </c>
      <c r="E15" s="56">
        <v>152.5</v>
      </c>
    </row>
    <row r="16" spans="1:5" x14ac:dyDescent="0.25">
      <c r="A16" s="56">
        <v>-3.15</v>
      </c>
      <c r="B16" s="56">
        <v>111.9</v>
      </c>
      <c r="C16" s="56">
        <v>11.35</v>
      </c>
      <c r="D16" s="56">
        <v>-33.025</v>
      </c>
      <c r="E16" s="56">
        <v>145.95</v>
      </c>
    </row>
    <row r="17" spans="1:5" x14ac:dyDescent="0.25">
      <c r="A17" s="56">
        <v>-3.15</v>
      </c>
      <c r="B17" s="56">
        <v>111.9</v>
      </c>
      <c r="C17" s="56">
        <v>37.95</v>
      </c>
      <c r="D17" s="56">
        <v>-37.95</v>
      </c>
      <c r="E17" s="56">
        <v>140.975</v>
      </c>
    </row>
    <row r="18" spans="1:5" x14ac:dyDescent="0.25">
      <c r="A18" s="56">
        <v>-4.55</v>
      </c>
      <c r="B18" s="56">
        <v>111.9</v>
      </c>
      <c r="C18" s="56">
        <v>42.77</v>
      </c>
      <c r="D18" s="56">
        <v>-44.27</v>
      </c>
      <c r="E18" s="56">
        <v>140.975</v>
      </c>
    </row>
    <row r="19" spans="1:5" x14ac:dyDescent="0.25">
      <c r="A19" s="56">
        <v>-4.55</v>
      </c>
      <c r="B19" s="56">
        <v>111.6</v>
      </c>
      <c r="C19" s="56" t="s">
        <v>44</v>
      </c>
      <c r="D19" s="56">
        <v>-42.77</v>
      </c>
      <c r="E19" s="56">
        <v>152.5</v>
      </c>
    </row>
    <row r="20" spans="1:5" x14ac:dyDescent="0.25">
      <c r="A20" s="56">
        <v>-5.95</v>
      </c>
      <c r="B20" s="56">
        <v>111.6</v>
      </c>
      <c r="C20" s="56">
        <v>96.93</v>
      </c>
      <c r="D20" s="56">
        <v>-91.985</v>
      </c>
      <c r="E20" s="56">
        <v>145.95</v>
      </c>
    </row>
    <row r="21" spans="1:5" x14ac:dyDescent="0.25">
      <c r="A21" s="56">
        <v>-5.95</v>
      </c>
      <c r="B21" s="56">
        <v>112</v>
      </c>
      <c r="C21" s="56">
        <v>139.7</v>
      </c>
      <c r="D21" s="56">
        <v>-139.7</v>
      </c>
      <c r="E21" s="56">
        <v>140.475</v>
      </c>
    </row>
    <row r="22" spans="1:5" x14ac:dyDescent="0.25">
      <c r="A22" s="56">
        <v>-7.55</v>
      </c>
      <c r="B22" s="56">
        <v>112</v>
      </c>
      <c r="C22" s="56">
        <v>187.01</v>
      </c>
      <c r="D22" s="56">
        <v>-188.51</v>
      </c>
      <c r="E22" s="56">
        <v>140.475</v>
      </c>
    </row>
    <row r="23" spans="1:5" x14ac:dyDescent="0.25">
      <c r="A23" s="56">
        <v>-7.55</v>
      </c>
      <c r="B23" s="56">
        <v>112.4</v>
      </c>
      <c r="C23" s="56" t="s">
        <v>44</v>
      </c>
      <c r="D23" s="56">
        <v>-187.01</v>
      </c>
      <c r="E23" s="56">
        <v>152.5</v>
      </c>
    </row>
    <row r="24" spans="1:5" x14ac:dyDescent="0.25">
      <c r="A24" s="56">
        <v>-9.05</v>
      </c>
      <c r="B24" s="56">
        <v>112.4</v>
      </c>
      <c r="C24" s="56">
        <v>113.72</v>
      </c>
      <c r="D24" s="56">
        <v>-244.62</v>
      </c>
      <c r="E24" s="56">
        <v>145.45</v>
      </c>
    </row>
    <row r="25" spans="1:5" x14ac:dyDescent="0.25">
      <c r="A25" s="56">
        <v>-9.05</v>
      </c>
      <c r="B25" s="56">
        <v>112.5</v>
      </c>
      <c r="C25" s="56">
        <v>300.73</v>
      </c>
      <c r="D25" s="56">
        <v>-300.73</v>
      </c>
      <c r="E25" s="56">
        <v>140.475</v>
      </c>
    </row>
    <row r="26" spans="1:5" x14ac:dyDescent="0.25">
      <c r="A26" s="56">
        <v>-10.55</v>
      </c>
      <c r="B26" s="56">
        <v>112.5</v>
      </c>
      <c r="C26" s="56">
        <v>305.66</v>
      </c>
      <c r="D26" s="56">
        <v>-307.16</v>
      </c>
      <c r="E26" s="56">
        <v>140.475</v>
      </c>
    </row>
    <row r="27" spans="1:5" x14ac:dyDescent="0.25">
      <c r="A27" s="56">
        <v>-10.55</v>
      </c>
      <c r="B27" s="56">
        <v>112.5</v>
      </c>
      <c r="C27" s="56" t="s">
        <v>44</v>
      </c>
      <c r="D27" s="56">
        <v>-305.66</v>
      </c>
      <c r="E27" s="56">
        <v>152.5</v>
      </c>
    </row>
    <row r="28" spans="1:5" x14ac:dyDescent="0.25">
      <c r="A28" s="56">
        <v>-12.05</v>
      </c>
      <c r="B28" s="56">
        <v>112.5</v>
      </c>
      <c r="C28" s="56">
        <v>183.71</v>
      </c>
      <c r="D28" s="56">
        <v>-398.265</v>
      </c>
      <c r="E28" s="56">
        <v>145.45</v>
      </c>
    </row>
    <row r="29" spans="1:5" x14ac:dyDescent="0.25">
      <c r="A29" s="56">
        <v>-12.05</v>
      </c>
      <c r="B29" s="56">
        <v>112.5</v>
      </c>
      <c r="C29" s="56">
        <v>489.37</v>
      </c>
      <c r="D29" s="56">
        <v>-489.37</v>
      </c>
      <c r="E29" s="56">
        <v>140.475</v>
      </c>
    </row>
    <row r="30" spans="1:5" x14ac:dyDescent="0.25">
      <c r="A30" s="56">
        <v>-13.55</v>
      </c>
      <c r="B30" s="56">
        <v>112.5</v>
      </c>
      <c r="C30" s="56">
        <v>625.8</v>
      </c>
      <c r="D30" s="56">
        <v>-627.3</v>
      </c>
      <c r="E30" s="56">
        <v>140.475</v>
      </c>
    </row>
    <row r="31" spans="1:5" x14ac:dyDescent="0.25">
      <c r="A31" s="56">
        <v>-13.55</v>
      </c>
      <c r="B31" s="56">
        <v>111.8</v>
      </c>
      <c r="C31" s="56" t="s">
        <v>44</v>
      </c>
      <c r="D31" s="56">
        <v>-625.8</v>
      </c>
      <c r="E31" s="56">
        <v>152.5</v>
      </c>
    </row>
    <row r="32" spans="1:5" x14ac:dyDescent="0.25">
      <c r="A32" s="56">
        <v>-15.05</v>
      </c>
      <c r="B32" s="56">
        <v>111.8</v>
      </c>
      <c r="C32" s="56">
        <v>3.48000000000002</v>
      </c>
      <c r="D32" s="56">
        <v>-628.29</v>
      </c>
      <c r="E32" s="56">
        <v>146.22</v>
      </c>
    </row>
    <row r="33" spans="1:5" x14ac:dyDescent="0.25">
      <c r="A33" s="56">
        <v>-15.05</v>
      </c>
      <c r="B33" s="56">
        <v>111.8</v>
      </c>
      <c r="C33" s="56">
        <v>629.28</v>
      </c>
      <c r="D33" s="56">
        <v>-629.28</v>
      </c>
      <c r="E33" s="56">
        <v>140.475</v>
      </c>
    </row>
    <row r="34" spans="1:5" x14ac:dyDescent="0.25">
      <c r="A34" s="56">
        <v>-16.55</v>
      </c>
      <c r="B34" s="56">
        <v>111.8</v>
      </c>
      <c r="C34" s="56">
        <v>635.71</v>
      </c>
      <c r="D34" s="56">
        <v>-637.21</v>
      </c>
      <c r="E34" s="56">
        <v>140.475</v>
      </c>
    </row>
    <row r="35" spans="1:5" x14ac:dyDescent="0.25">
      <c r="A35" s="56">
        <v>-16.55</v>
      </c>
      <c r="B35" s="56">
        <v>111.8</v>
      </c>
      <c r="C35" s="56" t="s">
        <v>44</v>
      </c>
      <c r="D35" s="56">
        <v>-635.71</v>
      </c>
      <c r="E35" s="56">
        <v>152.5</v>
      </c>
    </row>
    <row r="36" spans="1:5" x14ac:dyDescent="0.25">
      <c r="A36" s="56">
        <v>-18.05</v>
      </c>
      <c r="B36" s="56">
        <v>111.8</v>
      </c>
      <c r="C36" s="56">
        <v>21.0899999999999</v>
      </c>
      <c r="D36" s="56">
        <v>-647.005</v>
      </c>
      <c r="E36" s="56">
        <v>145.95</v>
      </c>
    </row>
    <row r="37" spans="1:5" x14ac:dyDescent="0.25">
      <c r="A37" s="56">
        <v>-18.05</v>
      </c>
      <c r="B37" s="56">
        <v>112.5</v>
      </c>
      <c r="C37" s="56">
        <v>656.8</v>
      </c>
      <c r="D37" s="56">
        <v>-656.8</v>
      </c>
      <c r="E37" s="56">
        <v>140.475</v>
      </c>
    </row>
    <row r="38" spans="1:5" x14ac:dyDescent="0.25">
      <c r="A38" s="56">
        <v>-19.55</v>
      </c>
      <c r="B38" s="56">
        <v>112.5</v>
      </c>
      <c r="C38" s="56">
        <v>680.45</v>
      </c>
      <c r="D38" s="56">
        <v>-681.95</v>
      </c>
      <c r="E38" s="56">
        <v>140.475</v>
      </c>
    </row>
    <row r="39" spans="1:5" x14ac:dyDescent="0.25">
      <c r="A39" s="56">
        <v>-19.55</v>
      </c>
      <c r="B39" s="56">
        <v>111.5</v>
      </c>
      <c r="C39" s="56" t="s">
        <v>44</v>
      </c>
      <c r="D39" s="56">
        <v>-680.45</v>
      </c>
      <c r="E39" s="56">
        <v>152.5</v>
      </c>
    </row>
    <row r="40" spans="1:5" x14ac:dyDescent="0.25">
      <c r="A40" s="56">
        <v>-21.05</v>
      </c>
      <c r="B40" s="56">
        <v>111.5</v>
      </c>
      <c r="C40" s="56">
        <v>15.8</v>
      </c>
      <c r="D40" s="56">
        <v>-689.1</v>
      </c>
      <c r="E40" s="56">
        <v>145.95</v>
      </c>
    </row>
    <row r="41" spans="1:5" x14ac:dyDescent="0.25">
      <c r="A41" s="56">
        <v>-21.05</v>
      </c>
      <c r="B41" s="56">
        <v>112.5</v>
      </c>
      <c r="C41" s="56">
        <v>696.25</v>
      </c>
      <c r="D41" s="56">
        <v>-696.25</v>
      </c>
      <c r="E41" s="56">
        <v>140.475</v>
      </c>
    </row>
    <row r="42" spans="1:5" x14ac:dyDescent="0.25">
      <c r="A42" s="56">
        <v>-22.55</v>
      </c>
      <c r="B42" s="56">
        <v>112.5</v>
      </c>
      <c r="C42" s="56">
        <v>0</v>
      </c>
      <c r="D42" s="56">
        <v>-1.5</v>
      </c>
      <c r="E42" s="56">
        <v>150.82</v>
      </c>
    </row>
    <row r="43" spans="1:5" x14ac:dyDescent="0.25">
      <c r="A43" s="56">
        <v>-22.55</v>
      </c>
      <c r="B43" s="56">
        <v>112.4</v>
      </c>
      <c r="C43" s="56">
        <v>17.17</v>
      </c>
      <c r="D43" s="56">
        <v>-10.085</v>
      </c>
      <c r="E43" s="56">
        <v>155.95</v>
      </c>
    </row>
    <row r="44" spans="1:5" x14ac:dyDescent="0.25">
      <c r="A44" s="56">
        <v>-24.05</v>
      </c>
      <c r="B44" s="56">
        <v>112.4</v>
      </c>
      <c r="C44" s="56">
        <v>17.17</v>
      </c>
      <c r="D44" s="56">
        <v>-17.17</v>
      </c>
      <c r="E44" s="56">
        <v>150.975</v>
      </c>
    </row>
    <row r="45" spans="1:5" x14ac:dyDescent="0.25">
      <c r="A45" s="56">
        <v>-24.05</v>
      </c>
      <c r="B45" s="56">
        <v>112.3</v>
      </c>
      <c r="C45" s="56">
        <v>8.26</v>
      </c>
      <c r="D45" s="56">
        <v>-9.76</v>
      </c>
      <c r="E45" s="56">
        <v>151.25</v>
      </c>
    </row>
    <row r="46" spans="1:5" x14ac:dyDescent="0.25">
      <c r="A46" s="56">
        <v>-24.9</v>
      </c>
      <c r="B46" s="56">
        <v>112.3</v>
      </c>
      <c r="C46" s="56" t="s">
        <v>44</v>
      </c>
      <c r="D46" s="56">
        <v>-8.26</v>
      </c>
      <c r="E46" s="56">
        <v>162.5</v>
      </c>
    </row>
    <row r="47" spans="1:5" x14ac:dyDescent="0.25">
      <c r="A47" s="56">
        <v>-24.9</v>
      </c>
      <c r="B47" s="56">
        <v>112.4</v>
      </c>
      <c r="C47" s="56">
        <v>6.04</v>
      </c>
      <c r="D47" s="56">
        <v>-12.03</v>
      </c>
      <c r="E47" s="56">
        <v>156.22</v>
      </c>
    </row>
    <row r="48" spans="1:5" x14ac:dyDescent="0.25">
      <c r="A48" s="56">
        <v>-26.05</v>
      </c>
      <c r="B48" s="56">
        <v>112.4</v>
      </c>
      <c r="C48" s="56">
        <v>14.3</v>
      </c>
      <c r="D48" s="56">
        <v>-14.3</v>
      </c>
      <c r="E48" s="56">
        <v>150.975</v>
      </c>
    </row>
    <row r="49" spans="1:5" x14ac:dyDescent="0.25">
      <c r="A49" s="56">
        <v>-26.05</v>
      </c>
      <c r="B49" s="56">
        <v>112.4</v>
      </c>
      <c r="C49" s="56">
        <v>26.6</v>
      </c>
      <c r="D49" s="56">
        <v>-28.1</v>
      </c>
      <c r="E49" s="56">
        <v>150.975</v>
      </c>
    </row>
    <row r="50" spans="1:5" x14ac:dyDescent="0.25">
      <c r="A50" s="56">
        <v>-27.2</v>
      </c>
      <c r="B50" s="56">
        <v>112.4</v>
      </c>
      <c r="C50" s="56" t="s">
        <v>44</v>
      </c>
      <c r="D50" s="56">
        <v>-26.6</v>
      </c>
      <c r="E50" s="56">
        <v>162.5</v>
      </c>
    </row>
    <row r="51" spans="1:5" x14ac:dyDescent="0.25">
      <c r="A51" s="56">
        <v>-27.2</v>
      </c>
      <c r="B51" s="56">
        <v>112.4</v>
      </c>
      <c r="C51" s="56">
        <v>6.36</v>
      </c>
      <c r="D51" s="56">
        <v>-30.53</v>
      </c>
      <c r="E51" s="56">
        <v>156.22</v>
      </c>
    </row>
    <row r="52" spans="1:5" x14ac:dyDescent="0.25">
      <c r="A52" s="56">
        <v>-28.7</v>
      </c>
      <c r="B52" s="56">
        <v>112.4</v>
      </c>
      <c r="C52" s="56">
        <v>32.96</v>
      </c>
      <c r="D52" s="56">
        <v>-32.96</v>
      </c>
      <c r="E52" s="56">
        <v>150.975</v>
      </c>
    </row>
    <row r="53" spans="1:5" x14ac:dyDescent="0.25">
      <c r="A53" s="56">
        <v>-28.7</v>
      </c>
      <c r="B53" s="56">
        <v>112.4</v>
      </c>
      <c r="C53" s="56">
        <v>34.85</v>
      </c>
      <c r="D53" s="56">
        <v>-36.35</v>
      </c>
      <c r="E53" s="56">
        <v>150.975</v>
      </c>
    </row>
    <row r="54" spans="1:5" x14ac:dyDescent="0.25">
      <c r="A54" s="56">
        <v>-30.2</v>
      </c>
      <c r="B54" s="56">
        <v>112.4</v>
      </c>
      <c r="C54" s="56" t="s">
        <v>44</v>
      </c>
      <c r="D54" s="56">
        <v>-34.85</v>
      </c>
      <c r="E54" s="56">
        <v>162.5</v>
      </c>
    </row>
    <row r="55" spans="1:5" x14ac:dyDescent="0.25">
      <c r="A55" s="56">
        <v>-30.2</v>
      </c>
      <c r="B55" s="56">
        <v>111.9</v>
      </c>
      <c r="C55" s="56">
        <v>1.68</v>
      </c>
      <c r="D55" s="56">
        <v>-36.44</v>
      </c>
      <c r="E55" s="56">
        <v>156.22</v>
      </c>
    </row>
    <row r="56" spans="1:5" x14ac:dyDescent="0.25">
      <c r="A56" s="56">
        <v>-31.8</v>
      </c>
      <c r="B56" s="56">
        <v>111.9</v>
      </c>
      <c r="C56" s="56">
        <v>36.53</v>
      </c>
      <c r="D56" s="56">
        <v>-36.53</v>
      </c>
      <c r="E56" s="56">
        <v>150.975</v>
      </c>
    </row>
    <row r="57" spans="1:5" x14ac:dyDescent="0.25">
      <c r="A57" s="56">
        <v>-31.8</v>
      </c>
      <c r="B57" s="56">
        <v>112.4</v>
      </c>
      <c r="C57" s="56">
        <v>37.95</v>
      </c>
      <c r="D57" s="56">
        <v>-39.45</v>
      </c>
      <c r="E57" s="56">
        <v>150.975</v>
      </c>
    </row>
    <row r="58" spans="1:5" x14ac:dyDescent="0.25">
      <c r="A58" s="56">
        <v>-33.4</v>
      </c>
      <c r="B58" s="56">
        <v>112.4</v>
      </c>
      <c r="C58" s="56" t="s">
        <v>44</v>
      </c>
      <c r="D58" s="56">
        <v>-37.95</v>
      </c>
      <c r="E58" s="56">
        <v>162.5</v>
      </c>
    </row>
    <row r="59" spans="1:5" x14ac:dyDescent="0.25">
      <c r="A59" s="56">
        <v>-33.4</v>
      </c>
      <c r="B59" s="56">
        <v>112.2</v>
      </c>
      <c r="C59" s="56">
        <v>4.82</v>
      </c>
      <c r="D59" s="56">
        <v>-41.11</v>
      </c>
      <c r="E59" s="56">
        <v>156.22</v>
      </c>
    </row>
    <row r="60" spans="1:5" x14ac:dyDescent="0.25">
      <c r="A60" s="56">
        <v>-34.95</v>
      </c>
      <c r="B60" s="56">
        <v>112.2</v>
      </c>
      <c r="C60" s="56">
        <v>42.77</v>
      </c>
      <c r="D60" s="56">
        <v>-42.77</v>
      </c>
      <c r="E60" s="56">
        <v>150.975</v>
      </c>
    </row>
    <row r="61" spans="1:5" x14ac:dyDescent="0.25">
      <c r="A61" s="56">
        <v>-34.95</v>
      </c>
      <c r="B61" s="56">
        <v>112.2</v>
      </c>
      <c r="C61" s="56">
        <v>105.55</v>
      </c>
      <c r="D61" s="56">
        <v>-107.05</v>
      </c>
      <c r="E61" s="56">
        <v>150.475</v>
      </c>
    </row>
    <row r="62" spans="1:5" x14ac:dyDescent="0.25">
      <c r="A62" s="56">
        <v>-36.45</v>
      </c>
      <c r="B62" s="56">
        <v>112.2</v>
      </c>
      <c r="C62" s="56" t="s">
        <v>44</v>
      </c>
      <c r="D62" s="56">
        <v>-105.55</v>
      </c>
      <c r="E62" s="56">
        <v>162.5</v>
      </c>
    </row>
    <row r="63" spans="1:5" x14ac:dyDescent="0.25">
      <c r="A63" s="56">
        <v>-36.45</v>
      </c>
      <c r="B63" s="56">
        <v>112.4</v>
      </c>
      <c r="C63" s="56">
        <v>2.03</v>
      </c>
      <c r="D63" s="56">
        <v>-107.315</v>
      </c>
      <c r="E63" s="56">
        <v>156.22</v>
      </c>
    </row>
    <row r="64" spans="1:5" x14ac:dyDescent="0.25">
      <c r="A64" s="56">
        <v>-37.95</v>
      </c>
      <c r="B64" s="56">
        <v>112.4</v>
      </c>
      <c r="C64" s="56">
        <v>107.58</v>
      </c>
      <c r="D64" s="56">
        <v>-107.58</v>
      </c>
      <c r="E64" s="56">
        <v>150.475</v>
      </c>
    </row>
    <row r="65" spans="1:5" x14ac:dyDescent="0.25">
      <c r="A65" s="56">
        <v>-37.95</v>
      </c>
      <c r="B65" s="56">
        <v>112.4</v>
      </c>
      <c r="C65" s="56">
        <v>260.35</v>
      </c>
      <c r="D65" s="56">
        <v>-261.85</v>
      </c>
      <c r="E65" s="56">
        <v>150.475</v>
      </c>
    </row>
    <row r="66" spans="1:5" x14ac:dyDescent="0.25">
      <c r="A66" s="56">
        <v>-39.45</v>
      </c>
      <c r="B66" s="56">
        <v>112.4</v>
      </c>
      <c r="C66" s="56" t="s">
        <v>44</v>
      </c>
      <c r="D66" s="56">
        <v>-260.35</v>
      </c>
      <c r="E66" s="56">
        <v>162.5</v>
      </c>
    </row>
    <row r="67" spans="1:5" x14ac:dyDescent="0.25">
      <c r="A67" s="56">
        <v>-39.45</v>
      </c>
      <c r="B67" s="56">
        <v>111.8</v>
      </c>
      <c r="C67" s="56">
        <v>8.59999999999997</v>
      </c>
      <c r="D67" s="56">
        <v>-265.4</v>
      </c>
      <c r="E67" s="56">
        <v>156.22</v>
      </c>
    </row>
    <row r="68" spans="1:5" x14ac:dyDescent="0.25">
      <c r="A68" s="56">
        <v>-40.95</v>
      </c>
      <c r="B68" s="56">
        <v>111.8</v>
      </c>
      <c r="C68" s="56">
        <v>268.95</v>
      </c>
      <c r="D68" s="56">
        <v>-268.95</v>
      </c>
      <c r="E68" s="56">
        <v>150.475</v>
      </c>
    </row>
    <row r="69" spans="1:5" x14ac:dyDescent="0.25">
      <c r="A69" s="56">
        <v>-40.95</v>
      </c>
      <c r="B69" s="56">
        <v>112.1</v>
      </c>
      <c r="C69" s="56">
        <v>292.82</v>
      </c>
      <c r="D69" s="56">
        <v>-294.32</v>
      </c>
      <c r="E69" s="56">
        <v>150.475</v>
      </c>
    </row>
    <row r="70" spans="1:5" x14ac:dyDescent="0.25">
      <c r="A70" s="56">
        <v>-42.35</v>
      </c>
      <c r="B70" s="56">
        <v>112.1</v>
      </c>
      <c r="C70" s="56" t="s">
        <v>44</v>
      </c>
      <c r="D70" s="56">
        <v>-292.82</v>
      </c>
      <c r="E70" s="56">
        <v>162.5</v>
      </c>
    </row>
    <row r="71" spans="1:5" x14ac:dyDescent="0.25">
      <c r="A71" s="56">
        <v>-42.35</v>
      </c>
      <c r="B71" s="56">
        <v>111.9</v>
      </c>
      <c r="C71" s="56">
        <v>2.73000000000002</v>
      </c>
      <c r="D71" s="56">
        <v>-294.935</v>
      </c>
      <c r="E71" s="56">
        <v>156.22</v>
      </c>
    </row>
    <row r="72" spans="1:5" x14ac:dyDescent="0.25">
      <c r="A72" s="56">
        <v>-43.95</v>
      </c>
      <c r="B72" s="56">
        <v>111.9</v>
      </c>
      <c r="C72" s="56">
        <v>295.55</v>
      </c>
      <c r="D72" s="56">
        <v>-295.55</v>
      </c>
      <c r="E72" s="56">
        <v>150.475</v>
      </c>
    </row>
    <row r="73" spans="1:5" x14ac:dyDescent="0.25">
      <c r="A73" s="56">
        <v>-43.95</v>
      </c>
      <c r="B73" s="56">
        <v>112.5</v>
      </c>
      <c r="C73" s="56">
        <v>347</v>
      </c>
      <c r="D73" s="56">
        <v>-348.5</v>
      </c>
      <c r="E73" s="56">
        <v>150.475</v>
      </c>
    </row>
    <row r="74" spans="1:5" x14ac:dyDescent="0.25">
      <c r="A74" s="56">
        <v>-45.45</v>
      </c>
      <c r="B74" s="56">
        <v>112.5</v>
      </c>
      <c r="C74" s="56" t="s">
        <v>44</v>
      </c>
      <c r="D74" s="56">
        <v>-347</v>
      </c>
      <c r="E74" s="56">
        <v>162.5</v>
      </c>
    </row>
    <row r="75" spans="1:5" x14ac:dyDescent="0.25">
      <c r="A75" s="56">
        <v>-45.45</v>
      </c>
      <c r="B75" s="56">
        <v>112.5</v>
      </c>
      <c r="C75" s="56">
        <v>1.14999999999998</v>
      </c>
      <c r="D75" s="56">
        <v>-348.325</v>
      </c>
      <c r="E75" s="56">
        <v>156.22</v>
      </c>
    </row>
    <row r="76" spans="1:5" x14ac:dyDescent="0.25">
      <c r="A76" s="56">
        <v>-46.95</v>
      </c>
      <c r="B76" s="56">
        <v>112.5</v>
      </c>
      <c r="C76" s="56">
        <v>348.15</v>
      </c>
      <c r="D76" s="56">
        <v>-348.15</v>
      </c>
      <c r="E76" s="56">
        <v>150.475</v>
      </c>
    </row>
    <row r="77" spans="1:5" x14ac:dyDescent="0.25">
      <c r="A77" s="56">
        <v>-46.95</v>
      </c>
      <c r="B77" s="56">
        <v>112.5</v>
      </c>
      <c r="C77" s="56">
        <v>362.82</v>
      </c>
      <c r="D77" s="56">
        <v>-364.32</v>
      </c>
      <c r="E77" s="56">
        <v>150.475</v>
      </c>
    </row>
    <row r="78" spans="1:5" x14ac:dyDescent="0.25">
      <c r="A78" s="56">
        <v>-48.45</v>
      </c>
      <c r="B78" s="56">
        <v>112.5</v>
      </c>
      <c r="C78" s="56" t="s">
        <v>44</v>
      </c>
      <c r="D78" s="56">
        <v>-362.82</v>
      </c>
      <c r="E78" s="56">
        <v>162.5</v>
      </c>
    </row>
    <row r="79" spans="1:5" x14ac:dyDescent="0.25">
      <c r="A79" s="56">
        <v>-48.45</v>
      </c>
      <c r="B79" s="56">
        <v>112.5</v>
      </c>
      <c r="C79" s="56">
        <v>8.50999999999999</v>
      </c>
      <c r="D79" s="56">
        <v>-367.825</v>
      </c>
      <c r="E79" s="56">
        <v>156.22</v>
      </c>
    </row>
    <row r="80" spans="1:5" x14ac:dyDescent="0.25">
      <c r="A80" s="56">
        <v>-49.95</v>
      </c>
      <c r="B80" s="56">
        <v>112.5</v>
      </c>
      <c r="C80" s="56">
        <v>371.33</v>
      </c>
      <c r="D80" s="56">
        <v>-371.33</v>
      </c>
      <c r="E80" s="56">
        <v>150.475</v>
      </c>
    </row>
    <row r="81" spans="1:2" x14ac:dyDescent="0.25">
      <c r="A81" s="56">
        <v>-49.95</v>
      </c>
      <c r="B81" s="56">
        <v>112.5</v>
      </c>
    </row>
    <row r="82" spans="1:2" x14ac:dyDescent="0.25">
      <c r="A82" s="56">
        <v>-51.45</v>
      </c>
      <c r="B82" s="56">
        <v>112.5</v>
      </c>
    </row>
    <row r="83" spans="1:2" x14ac:dyDescent="0.25">
      <c r="A83" s="56">
        <v>-51.45</v>
      </c>
      <c r="B83" s="56">
        <v>112.5</v>
      </c>
    </row>
    <row r="84" spans="1:2" x14ac:dyDescent="0.25">
      <c r="A84" s="56">
        <v>-52.95</v>
      </c>
      <c r="B84" s="56">
        <v>112.5</v>
      </c>
    </row>
    <row r="85" spans="1:2" x14ac:dyDescent="0.25">
      <c r="A85" s="56">
        <v>-52.95</v>
      </c>
      <c r="B85" s="56">
        <v>111.8</v>
      </c>
    </row>
    <row r="86" spans="1:2" x14ac:dyDescent="0.25">
      <c r="A86" s="56">
        <v>-54.45</v>
      </c>
      <c r="B86" s="56">
        <v>111.8</v>
      </c>
    </row>
    <row r="87" spans="1:2" x14ac:dyDescent="0.25">
      <c r="A87" s="56">
        <v>-54.45</v>
      </c>
      <c r="B87" s="56">
        <v>112.4</v>
      </c>
    </row>
    <row r="88" spans="1:2" x14ac:dyDescent="0.25">
      <c r="A88" s="56">
        <v>-55.95</v>
      </c>
      <c r="B88" s="56">
        <v>112.4</v>
      </c>
    </row>
    <row r="89" spans="1:2" x14ac:dyDescent="0.25">
      <c r="A89" s="56">
        <v>-55.95</v>
      </c>
      <c r="B89" s="56">
        <v>112</v>
      </c>
    </row>
    <row r="90" spans="1:2" x14ac:dyDescent="0.25">
      <c r="A90" s="56">
        <v>-57.45</v>
      </c>
      <c r="B90" s="56">
        <v>112</v>
      </c>
    </row>
    <row r="91" spans="1:2" x14ac:dyDescent="0.25">
      <c r="A91" s="56">
        <v>-57.45</v>
      </c>
      <c r="B91" s="56">
        <v>112.2</v>
      </c>
    </row>
    <row r="92" spans="1:2" x14ac:dyDescent="0.25">
      <c r="A92" s="56">
        <v>-58.95</v>
      </c>
      <c r="B92" s="56">
        <v>112.2</v>
      </c>
    </row>
    <row r="93" spans="1:2" x14ac:dyDescent="0.25">
      <c r="A93" s="56">
        <v>-58.95</v>
      </c>
      <c r="B93" s="56">
        <v>112.4</v>
      </c>
    </row>
    <row r="94" spans="1:2" x14ac:dyDescent="0.25">
      <c r="A94" s="56">
        <v>-60.45</v>
      </c>
      <c r="B94" s="56">
        <v>112.4</v>
      </c>
    </row>
    <row r="95" spans="1:2" x14ac:dyDescent="0.25">
      <c r="A95" s="56">
        <v>-60.45</v>
      </c>
      <c r="B95" s="56">
        <v>112</v>
      </c>
    </row>
    <row r="96" spans="1:2" x14ac:dyDescent="0.25">
      <c r="A96" s="56">
        <v>-61.95</v>
      </c>
      <c r="B96" s="56">
        <v>112</v>
      </c>
    </row>
    <row r="97" spans="1:2" x14ac:dyDescent="0.25">
      <c r="A97" s="56">
        <v>-61.95</v>
      </c>
      <c r="B97" s="56">
        <v>111.7</v>
      </c>
    </row>
    <row r="98" spans="1:2" x14ac:dyDescent="0.25">
      <c r="A98" s="56">
        <v>-63.45</v>
      </c>
      <c r="B98" s="56">
        <v>111.7</v>
      </c>
    </row>
    <row r="99" spans="1:2" x14ac:dyDescent="0.25">
      <c r="A99" s="56">
        <v>-63.45</v>
      </c>
      <c r="B99" s="56">
        <v>110.8</v>
      </c>
    </row>
    <row r="100" spans="1:2" x14ac:dyDescent="0.25">
      <c r="A100" s="56">
        <v>-64.95</v>
      </c>
      <c r="B100" s="56">
        <v>110.8</v>
      </c>
    </row>
    <row r="101" spans="1:2" x14ac:dyDescent="0.25">
      <c r="A101" s="56">
        <v>-64.95</v>
      </c>
      <c r="B101" s="56">
        <v>112</v>
      </c>
    </row>
    <row r="102" spans="1:2" x14ac:dyDescent="0.25">
      <c r="A102" s="56">
        <v>-66.45</v>
      </c>
      <c r="B102" s="56">
        <v>112</v>
      </c>
    </row>
    <row r="103" spans="1:2" x14ac:dyDescent="0.25">
      <c r="A103" s="56">
        <v>-66.45</v>
      </c>
      <c r="B103" s="56">
        <v>111.5</v>
      </c>
    </row>
    <row r="104" spans="1:2" x14ac:dyDescent="0.25">
      <c r="A104" s="56">
        <v>-67.95</v>
      </c>
      <c r="B104" s="56">
        <v>111.5</v>
      </c>
    </row>
    <row r="105" spans="1:2" x14ac:dyDescent="0.25">
      <c r="A105" s="56">
        <v>-67.95</v>
      </c>
      <c r="B105" s="56">
        <v>112.5</v>
      </c>
    </row>
    <row r="106" spans="1:2" x14ac:dyDescent="0.25">
      <c r="A106" s="56">
        <v>-69.45</v>
      </c>
      <c r="B106" s="56">
        <v>112.5</v>
      </c>
    </row>
    <row r="107" spans="1:2" x14ac:dyDescent="0.25">
      <c r="A107" s="56">
        <v>-69.45</v>
      </c>
      <c r="B107" s="56">
        <v>111.2</v>
      </c>
    </row>
    <row r="108" spans="1:2" x14ac:dyDescent="0.25">
      <c r="A108" s="56">
        <v>-70.95</v>
      </c>
      <c r="B108" s="56">
        <v>111.2</v>
      </c>
    </row>
    <row r="109" spans="1:2" x14ac:dyDescent="0.25">
      <c r="A109" s="56">
        <v>-70.95</v>
      </c>
      <c r="B109" s="56">
        <v>112.5</v>
      </c>
    </row>
    <row r="110" spans="1:2" x14ac:dyDescent="0.25">
      <c r="A110" s="56">
        <v>-72.45</v>
      </c>
      <c r="B110" s="56">
        <v>112.5</v>
      </c>
    </row>
    <row r="111" spans="1:2" x14ac:dyDescent="0.25">
      <c r="A111" s="56">
        <v>-72.45</v>
      </c>
      <c r="B111" s="56">
        <v>112.5</v>
      </c>
    </row>
    <row r="112" spans="1:2" x14ac:dyDescent="0.25">
      <c r="A112" s="56">
        <v>-73.95</v>
      </c>
      <c r="B112" s="56">
        <v>112.5</v>
      </c>
    </row>
    <row r="113" spans="1:2" x14ac:dyDescent="0.25">
      <c r="A113" s="56">
        <v>-73.95</v>
      </c>
      <c r="B113" s="56">
        <v>112.5</v>
      </c>
    </row>
    <row r="114" spans="1:2" x14ac:dyDescent="0.25">
      <c r="A114" s="56">
        <v>-75.45</v>
      </c>
      <c r="B114" s="56">
        <v>112.5</v>
      </c>
    </row>
    <row r="115" spans="1:2" x14ac:dyDescent="0.25">
      <c r="A115" s="56">
        <v>-75.45</v>
      </c>
      <c r="B115" s="56">
        <v>112.5</v>
      </c>
    </row>
    <row r="116" spans="1:2" x14ac:dyDescent="0.25">
      <c r="A116" s="56">
        <v>-76.95</v>
      </c>
      <c r="B116" s="56">
        <v>112.5</v>
      </c>
    </row>
    <row r="117" spans="1:2" x14ac:dyDescent="0.25">
      <c r="A117" s="56">
        <v>-76.95</v>
      </c>
      <c r="B117" s="56">
        <v>112.5</v>
      </c>
    </row>
    <row r="118" spans="1:2" x14ac:dyDescent="0.25">
      <c r="A118" s="56">
        <v>-78.45</v>
      </c>
      <c r="B118" s="56">
        <v>112.5</v>
      </c>
    </row>
    <row r="119" spans="1:2" x14ac:dyDescent="0.25">
      <c r="A119" s="56">
        <v>-78.45</v>
      </c>
      <c r="B119" s="56">
        <v>112.5</v>
      </c>
    </row>
    <row r="120" spans="1:2" x14ac:dyDescent="0.25">
      <c r="A120" s="56">
        <v>-79.95</v>
      </c>
      <c r="B120" s="56">
        <v>112.5</v>
      </c>
    </row>
    <row r="121" spans="1:2" x14ac:dyDescent="0.25">
      <c r="A121" s="56">
        <v>-79.95</v>
      </c>
      <c r="B121" s="56">
        <v>112.5</v>
      </c>
    </row>
    <row r="122" spans="1:2" x14ac:dyDescent="0.25">
      <c r="A122" s="56">
        <v>-81.45</v>
      </c>
      <c r="B122" s="56">
        <v>112.5</v>
      </c>
    </row>
    <row r="123" spans="1:2" x14ac:dyDescent="0.25">
      <c r="A123" s="56">
        <v>-81.45</v>
      </c>
      <c r="B123" s="56">
        <v>112.5</v>
      </c>
    </row>
    <row r="124" spans="1:2" x14ac:dyDescent="0.25">
      <c r="A124" s="56">
        <v>-82.95</v>
      </c>
      <c r="B124" s="56">
        <v>112.5</v>
      </c>
    </row>
    <row r="125" spans="1:2" x14ac:dyDescent="0.25">
      <c r="A125" s="56">
        <v>-82.95</v>
      </c>
      <c r="B125" s="56">
        <v>112.5</v>
      </c>
    </row>
    <row r="126" spans="1:2" x14ac:dyDescent="0.25">
      <c r="A126" s="56">
        <v>-84.45</v>
      </c>
      <c r="B126" s="56">
        <v>112.5</v>
      </c>
    </row>
    <row r="127" spans="1:2" x14ac:dyDescent="0.25">
      <c r="A127" s="56">
        <v>-84.45</v>
      </c>
      <c r="B127" s="56">
        <v>112.5</v>
      </c>
    </row>
    <row r="128" spans="1:2" x14ac:dyDescent="0.25">
      <c r="A128" s="56">
        <v>-85.95</v>
      </c>
      <c r="B128" s="56">
        <v>112.5</v>
      </c>
    </row>
    <row r="129" spans="1:2" x14ac:dyDescent="0.25">
      <c r="A129" s="56">
        <v>-85.95</v>
      </c>
      <c r="B129" s="56">
        <v>112.5</v>
      </c>
    </row>
    <row r="130" spans="1:2" x14ac:dyDescent="0.25">
      <c r="A130" s="56">
        <v>-87.45</v>
      </c>
      <c r="B130" s="56">
        <v>112.5</v>
      </c>
    </row>
    <row r="131" spans="1:2" x14ac:dyDescent="0.25">
      <c r="A131" s="56">
        <v>-87.45</v>
      </c>
      <c r="B131" s="56">
        <v>112.5</v>
      </c>
    </row>
    <row r="132" spans="1:2" x14ac:dyDescent="0.25">
      <c r="A132" s="56">
        <v>-88.95</v>
      </c>
      <c r="B132" s="56">
        <v>112.5</v>
      </c>
    </row>
    <row r="133" spans="1:2" x14ac:dyDescent="0.25">
      <c r="A133" s="56">
        <v>-88.95</v>
      </c>
      <c r="B133" s="56">
        <v>112.5</v>
      </c>
    </row>
    <row r="134" spans="1:2" x14ac:dyDescent="0.25">
      <c r="A134" s="56">
        <v>-90.45</v>
      </c>
      <c r="B134" s="56">
        <v>112.5</v>
      </c>
    </row>
    <row r="135" spans="1:2" x14ac:dyDescent="0.25">
      <c r="A135" s="56">
        <v>-90.45</v>
      </c>
      <c r="B135" s="56">
        <v>112.5</v>
      </c>
    </row>
    <row r="136" spans="1:2" x14ac:dyDescent="0.25">
      <c r="A136" s="56">
        <v>-91.95</v>
      </c>
      <c r="B136" s="56">
        <v>112.5</v>
      </c>
    </row>
    <row r="137" spans="1:2" x14ac:dyDescent="0.25">
      <c r="A137" s="56">
        <v>-91.95</v>
      </c>
      <c r="B137" s="56">
        <v>112.3</v>
      </c>
    </row>
    <row r="138" spans="1:2" x14ac:dyDescent="0.25">
      <c r="A138" s="56">
        <v>-93.45</v>
      </c>
      <c r="B138" s="56">
        <v>112.3</v>
      </c>
    </row>
    <row r="139" spans="1:2" x14ac:dyDescent="0.25">
      <c r="A139" s="56">
        <v>-93.45</v>
      </c>
      <c r="B139" s="56">
        <v>112.4</v>
      </c>
    </row>
    <row r="140" spans="1:2" x14ac:dyDescent="0.25">
      <c r="A140" s="56">
        <v>-94.95</v>
      </c>
      <c r="B140" s="56">
        <v>112.4</v>
      </c>
    </row>
    <row r="141" spans="1:2" x14ac:dyDescent="0.25">
      <c r="A141" s="56">
        <v>-94.95</v>
      </c>
      <c r="B141" s="56">
        <v>112.4</v>
      </c>
    </row>
    <row r="142" spans="1:2" x14ac:dyDescent="0.25">
      <c r="A142" s="56">
        <v>-96.45</v>
      </c>
      <c r="B142" s="56">
        <v>112.4</v>
      </c>
    </row>
    <row r="143" spans="1:2" x14ac:dyDescent="0.25">
      <c r="A143" s="56">
        <v>-96.45</v>
      </c>
      <c r="B143" s="56">
        <v>112.2</v>
      </c>
    </row>
    <row r="144" spans="1:2" x14ac:dyDescent="0.25">
      <c r="A144" s="56">
        <v>-97.95</v>
      </c>
      <c r="B144" s="56">
        <v>112.2</v>
      </c>
    </row>
    <row r="145" spans="1:2" x14ac:dyDescent="0.25">
      <c r="A145" s="56">
        <v>-97.95</v>
      </c>
      <c r="B145" s="56">
        <v>112.4</v>
      </c>
    </row>
    <row r="146" spans="1:2" x14ac:dyDescent="0.25">
      <c r="A146" s="56">
        <v>-99.45</v>
      </c>
      <c r="B146" s="56">
        <v>112.4</v>
      </c>
    </row>
    <row r="147" spans="1:2" x14ac:dyDescent="0.25">
      <c r="A147" s="56">
        <v>-99.45</v>
      </c>
      <c r="B147" s="56">
        <v>112.3</v>
      </c>
    </row>
    <row r="148" spans="1:2" x14ac:dyDescent="0.25">
      <c r="A148" s="56">
        <v>-100.95</v>
      </c>
      <c r="B148" s="56">
        <v>112.3</v>
      </c>
    </row>
    <row r="149" spans="1:2" x14ac:dyDescent="0.25">
      <c r="A149" s="56">
        <v>-100.95</v>
      </c>
      <c r="B149" s="56">
        <v>112.4</v>
      </c>
    </row>
    <row r="150" spans="1:2" x14ac:dyDescent="0.25">
      <c r="A150" s="56">
        <v>-102.45</v>
      </c>
      <c r="B150" s="56">
        <v>112.4</v>
      </c>
    </row>
    <row r="151" spans="1:2" x14ac:dyDescent="0.25">
      <c r="A151" s="56">
        <v>-102.45</v>
      </c>
      <c r="B151" s="56">
        <v>111.8</v>
      </c>
    </row>
    <row r="152" spans="1:2" x14ac:dyDescent="0.25">
      <c r="A152" s="56">
        <v>-103.95</v>
      </c>
      <c r="B152" s="56">
        <v>111.8</v>
      </c>
    </row>
    <row r="153" spans="1:2" x14ac:dyDescent="0.25">
      <c r="A153" s="56">
        <v>-103.95</v>
      </c>
      <c r="B153" s="56">
        <v>112.4</v>
      </c>
    </row>
    <row r="154" spans="1:2" x14ac:dyDescent="0.25">
      <c r="A154" s="56">
        <v>-105.55</v>
      </c>
      <c r="B154" s="56">
        <v>112.4</v>
      </c>
    </row>
    <row r="155" spans="1:2" x14ac:dyDescent="0.25">
      <c r="A155" s="56">
        <v>-105.55</v>
      </c>
      <c r="B155" s="56">
        <v>112.4</v>
      </c>
    </row>
    <row r="156" spans="1:2" x14ac:dyDescent="0.25">
      <c r="A156" s="56">
        <v>-106.4</v>
      </c>
      <c r="B156" s="56">
        <v>112.4</v>
      </c>
    </row>
    <row r="157" spans="1:2" x14ac:dyDescent="0.25">
      <c r="A157" s="56">
        <v>-106.4</v>
      </c>
      <c r="B157" s="56">
        <v>112.5</v>
      </c>
    </row>
    <row r="158" spans="1:2" x14ac:dyDescent="0.25">
      <c r="A158" s="56">
        <v>-108.45</v>
      </c>
      <c r="B158" s="56">
        <v>112.5</v>
      </c>
    </row>
    <row r="159" spans="1:2" x14ac:dyDescent="0.25">
      <c r="A159" s="56">
        <v>-108.45</v>
      </c>
      <c r="B159" s="56">
        <v>112.2</v>
      </c>
    </row>
    <row r="160" spans="1:2" x14ac:dyDescent="0.25">
      <c r="A160" s="56">
        <v>-111.45</v>
      </c>
      <c r="B160" s="56">
        <v>112.2</v>
      </c>
    </row>
    <row r="161" spans="1:2" x14ac:dyDescent="0.25">
      <c r="A161" s="56">
        <v>-111.45</v>
      </c>
      <c r="B161" s="56">
        <v>112.5</v>
      </c>
    </row>
    <row r="162" spans="1:2" x14ac:dyDescent="0.25">
      <c r="A162" s="56">
        <v>-114.45</v>
      </c>
      <c r="B162" s="56">
        <v>112.5</v>
      </c>
    </row>
    <row r="163" spans="1:2" x14ac:dyDescent="0.25">
      <c r="A163" s="56">
        <v>-114.45</v>
      </c>
      <c r="B163" s="56">
        <v>112.4</v>
      </c>
    </row>
    <row r="164" spans="1:2" x14ac:dyDescent="0.25">
      <c r="A164" s="56">
        <v>-117.45</v>
      </c>
      <c r="B164" s="56">
        <v>112.4</v>
      </c>
    </row>
    <row r="165" spans="1:2" x14ac:dyDescent="0.25">
      <c r="A165" s="56">
        <v>-117.45</v>
      </c>
      <c r="B165" s="56">
        <v>112.5</v>
      </c>
    </row>
    <row r="166" spans="1:2" x14ac:dyDescent="0.25">
      <c r="A166" s="56">
        <v>-120.45</v>
      </c>
      <c r="B166" s="56">
        <v>112.5</v>
      </c>
    </row>
    <row r="167" spans="1:2" x14ac:dyDescent="0.25">
      <c r="A167" s="56">
        <v>-120.45</v>
      </c>
      <c r="B167" s="56">
        <v>112.4</v>
      </c>
    </row>
    <row r="168" spans="1:2" x14ac:dyDescent="0.25">
      <c r="A168" s="56">
        <v>-123.45</v>
      </c>
      <c r="B168" s="56">
        <v>112.4</v>
      </c>
    </row>
    <row r="169" spans="1:2" x14ac:dyDescent="0.25">
      <c r="A169" s="56">
        <v>-123.45</v>
      </c>
      <c r="B169" s="56">
        <v>112.5</v>
      </c>
    </row>
    <row r="170" spans="1:2" x14ac:dyDescent="0.25">
      <c r="A170" s="56">
        <v>-126.45</v>
      </c>
      <c r="B170" s="56">
        <v>112.5</v>
      </c>
    </row>
    <row r="171" spans="1:2" x14ac:dyDescent="0.25">
      <c r="A171" s="56">
        <v>-126.45</v>
      </c>
      <c r="B171" s="56">
        <v>112.5</v>
      </c>
    </row>
    <row r="172" spans="1:2" x14ac:dyDescent="0.25">
      <c r="A172" s="56">
        <v>-129.45</v>
      </c>
      <c r="B172" s="56">
        <v>112.5</v>
      </c>
    </row>
    <row r="173" spans="1:2" x14ac:dyDescent="0.25">
      <c r="A173" s="56">
        <v>-129.45</v>
      </c>
      <c r="B173" s="56">
        <v>112.4</v>
      </c>
    </row>
    <row r="174" spans="1:2" x14ac:dyDescent="0.25">
      <c r="A174" s="56">
        <v>-132.45</v>
      </c>
      <c r="B174" s="56">
        <v>112.4</v>
      </c>
    </row>
    <row r="175" spans="1:2" x14ac:dyDescent="0.25">
      <c r="A175" s="56">
        <v>-132.45</v>
      </c>
      <c r="B175" s="56">
        <v>112.5</v>
      </c>
    </row>
    <row r="176" spans="1:2" x14ac:dyDescent="0.25">
      <c r="A176" s="56">
        <v>-135.45</v>
      </c>
      <c r="B176" s="56">
        <v>112.5</v>
      </c>
    </row>
    <row r="177" spans="1:2" x14ac:dyDescent="0.25">
      <c r="A177" s="56">
        <v>-135.45</v>
      </c>
      <c r="B177" s="56">
        <v>112.4</v>
      </c>
    </row>
    <row r="178" spans="1:2" x14ac:dyDescent="0.25">
      <c r="A178" s="56">
        <v>-138.45</v>
      </c>
      <c r="B178" s="56">
        <v>112.4</v>
      </c>
    </row>
    <row r="179" spans="1:2" x14ac:dyDescent="0.25">
      <c r="A179" s="56">
        <v>-138.45</v>
      </c>
      <c r="B179" s="56">
        <v>112.5</v>
      </c>
    </row>
    <row r="180" spans="1:2" x14ac:dyDescent="0.25">
      <c r="A180" s="56">
        <v>-141.45</v>
      </c>
      <c r="B180" s="56">
        <v>112.5</v>
      </c>
    </row>
    <row r="181" spans="1:2" x14ac:dyDescent="0.25">
      <c r="A181" s="56">
        <v>-141.45</v>
      </c>
      <c r="B181" s="56">
        <v>112.4</v>
      </c>
    </row>
    <row r="182" spans="1:2" x14ac:dyDescent="0.25">
      <c r="A182" s="56">
        <v>-144.45</v>
      </c>
      <c r="B182" s="56">
        <v>112.4</v>
      </c>
    </row>
    <row r="183" spans="1:2" x14ac:dyDescent="0.25">
      <c r="A183" s="56">
        <v>-144.45</v>
      </c>
      <c r="B183" s="56">
        <v>112.5</v>
      </c>
    </row>
    <row r="184" spans="1:2" x14ac:dyDescent="0.25">
      <c r="A184" s="56">
        <v>-147.45</v>
      </c>
      <c r="B184" s="56">
        <v>112.5</v>
      </c>
    </row>
    <row r="185" spans="1:2" x14ac:dyDescent="0.25">
      <c r="A185" s="56">
        <v>-147.45</v>
      </c>
      <c r="B185" s="56">
        <v>111.5</v>
      </c>
    </row>
    <row r="186" spans="1:2" x14ac:dyDescent="0.25">
      <c r="A186" s="56">
        <v>-150.45</v>
      </c>
      <c r="B186" s="56">
        <v>111.5</v>
      </c>
    </row>
    <row r="187" spans="1:2" x14ac:dyDescent="0.25">
      <c r="A187" s="56">
        <v>-150.45</v>
      </c>
      <c r="B187" s="56">
        <v>112</v>
      </c>
    </row>
    <row r="188" spans="1:2" x14ac:dyDescent="0.25">
      <c r="A188" s="56">
        <v>-153.45</v>
      </c>
      <c r="B188" s="56">
        <v>112</v>
      </c>
    </row>
    <row r="189" spans="1:2" x14ac:dyDescent="0.25">
      <c r="A189" s="56">
        <v>-153.45</v>
      </c>
      <c r="B189" s="56">
        <v>112.4</v>
      </c>
    </row>
    <row r="190" spans="1:2" x14ac:dyDescent="0.25">
      <c r="A190" s="56">
        <v>-155.15</v>
      </c>
      <c r="B190" s="56">
        <v>112.4</v>
      </c>
    </row>
    <row r="191" spans="1:2" x14ac:dyDescent="0.25">
      <c r="A191" s="56">
        <v>-155.15</v>
      </c>
      <c r="B191" s="56">
        <v>112.4</v>
      </c>
    </row>
    <row r="192" spans="1:2" x14ac:dyDescent="0.25">
      <c r="A192" s="56">
        <v>-157.85</v>
      </c>
      <c r="B192" s="56">
        <v>112.4</v>
      </c>
    </row>
    <row r="193" spans="1:2" x14ac:dyDescent="0.25">
      <c r="A193" s="56">
        <v>-157.85</v>
      </c>
      <c r="B193" s="56">
        <v>112.3</v>
      </c>
    </row>
    <row r="194" spans="1:2" x14ac:dyDescent="0.25">
      <c r="A194" s="56">
        <v>-160.95</v>
      </c>
      <c r="B194" s="56">
        <v>112.3</v>
      </c>
    </row>
    <row r="195" spans="1:2" x14ac:dyDescent="0.25">
      <c r="A195" s="56">
        <v>-160.95</v>
      </c>
      <c r="B195" s="56">
        <v>112.4</v>
      </c>
    </row>
    <row r="196" spans="1:2" x14ac:dyDescent="0.25">
      <c r="A196" s="56">
        <v>-163.95</v>
      </c>
      <c r="B196" s="56">
        <v>112.4</v>
      </c>
    </row>
    <row r="197" spans="1:2" x14ac:dyDescent="0.25">
      <c r="A197" s="56">
        <v>-163.95</v>
      </c>
      <c r="B197" s="56">
        <v>112.2</v>
      </c>
    </row>
    <row r="198" spans="1:2" x14ac:dyDescent="0.25">
      <c r="A198" s="56">
        <v>-166.95</v>
      </c>
      <c r="B198" s="56">
        <v>112.2</v>
      </c>
    </row>
    <row r="199" spans="1:2" x14ac:dyDescent="0.25">
      <c r="A199" s="56">
        <v>-166.95</v>
      </c>
      <c r="B199" s="56">
        <v>112.4</v>
      </c>
    </row>
    <row r="200" spans="1:2" x14ac:dyDescent="0.25">
      <c r="A200" s="56">
        <v>-169.95</v>
      </c>
      <c r="B200" s="56">
        <v>112.4</v>
      </c>
    </row>
    <row r="201" spans="1:2" x14ac:dyDescent="0.25">
      <c r="A201" s="56">
        <v>-169.95</v>
      </c>
      <c r="B201" s="56">
        <v>112.5</v>
      </c>
    </row>
    <row r="202" spans="1:2" x14ac:dyDescent="0.25">
      <c r="A202" s="56">
        <v>-172.95</v>
      </c>
      <c r="B202" s="56">
        <v>112.5</v>
      </c>
    </row>
    <row r="203" spans="1:2" x14ac:dyDescent="0.25">
      <c r="A203" s="56">
        <v>-172.95</v>
      </c>
      <c r="B203" s="56">
        <v>112.5</v>
      </c>
    </row>
    <row r="204" spans="1:2" x14ac:dyDescent="0.25">
      <c r="A204" s="56">
        <v>-175.95</v>
      </c>
      <c r="B204" s="56">
        <v>112.5</v>
      </c>
    </row>
    <row r="205" spans="1:2" x14ac:dyDescent="0.25">
      <c r="A205" s="56">
        <v>-175.95</v>
      </c>
      <c r="B205" s="56">
        <v>112.3</v>
      </c>
    </row>
    <row r="206" spans="1:2" x14ac:dyDescent="0.25">
      <c r="A206" s="56">
        <v>-178.95</v>
      </c>
      <c r="B206" s="56">
        <v>112.3</v>
      </c>
    </row>
    <row r="207" spans="1:2" x14ac:dyDescent="0.25">
      <c r="A207" s="56">
        <v>-178.95</v>
      </c>
      <c r="B207" s="56">
        <v>112.5</v>
      </c>
    </row>
    <row r="208" spans="1:2" x14ac:dyDescent="0.25">
      <c r="A208" s="56">
        <v>-181.95</v>
      </c>
      <c r="B208" s="56">
        <v>112.5</v>
      </c>
    </row>
    <row r="209" spans="1:2" x14ac:dyDescent="0.25">
      <c r="A209" s="56">
        <v>-181.95</v>
      </c>
      <c r="B209" s="56">
        <v>112.4</v>
      </c>
    </row>
    <row r="210" spans="1:2" x14ac:dyDescent="0.25">
      <c r="A210" s="56">
        <v>-184.95</v>
      </c>
      <c r="B210" s="56">
        <v>112.4</v>
      </c>
    </row>
    <row r="211" spans="1:2" x14ac:dyDescent="0.25">
      <c r="A211" s="56">
        <v>-184.95</v>
      </c>
      <c r="B211" s="56">
        <v>112.4</v>
      </c>
    </row>
    <row r="212" spans="1:2" x14ac:dyDescent="0.25">
      <c r="A212" s="56">
        <v>-187.95</v>
      </c>
      <c r="B212" s="56">
        <v>112.4</v>
      </c>
    </row>
    <row r="213" spans="1:2" x14ac:dyDescent="0.25">
      <c r="A213" s="56">
        <v>-187.95</v>
      </c>
      <c r="B213" s="56">
        <v>112.5</v>
      </c>
    </row>
    <row r="214" spans="1:2" x14ac:dyDescent="0.25">
      <c r="A214" s="56">
        <v>-190.95</v>
      </c>
      <c r="B214" s="56">
        <v>112.5</v>
      </c>
    </row>
    <row r="215" spans="1:2" x14ac:dyDescent="0.25">
      <c r="A215" s="56">
        <v>-190.95</v>
      </c>
      <c r="B215" s="56">
        <v>112.5</v>
      </c>
    </row>
    <row r="216" spans="1:2" x14ac:dyDescent="0.25">
      <c r="A216" s="56">
        <v>-193.95</v>
      </c>
      <c r="B216" s="56">
        <v>112.5</v>
      </c>
    </row>
    <row r="217" spans="1:2" x14ac:dyDescent="0.25">
      <c r="A217" s="56">
        <v>-193.95</v>
      </c>
      <c r="B217" s="56">
        <v>112.5</v>
      </c>
    </row>
    <row r="218" spans="1:2" x14ac:dyDescent="0.25">
      <c r="A218" s="56">
        <v>-196.95</v>
      </c>
      <c r="B218" s="56">
        <v>112.5</v>
      </c>
    </row>
    <row r="219" spans="1:2" x14ac:dyDescent="0.25">
      <c r="A219" s="56">
        <v>-196.95</v>
      </c>
      <c r="B219" s="56">
        <v>112.5</v>
      </c>
    </row>
    <row r="220" spans="1:2" x14ac:dyDescent="0.25">
      <c r="A220" s="56">
        <v>-199.95</v>
      </c>
      <c r="B220" s="56">
        <v>112.5</v>
      </c>
    </row>
    <row r="221" spans="1:2" x14ac:dyDescent="0.25">
      <c r="A221" s="56">
        <v>-199.95</v>
      </c>
      <c r="B221" s="56">
        <v>112.5</v>
      </c>
    </row>
    <row r="222" spans="1:2" x14ac:dyDescent="0.25">
      <c r="A222" s="56">
        <v>-202.95</v>
      </c>
      <c r="B222" s="56">
        <v>112.5</v>
      </c>
    </row>
    <row r="223" spans="1:2" x14ac:dyDescent="0.25">
      <c r="A223" s="56">
        <v>-202.95</v>
      </c>
      <c r="B223" s="56">
        <v>112.5</v>
      </c>
    </row>
    <row r="224" spans="1:2" x14ac:dyDescent="0.25">
      <c r="A224" s="56">
        <v>-205.95</v>
      </c>
      <c r="B224" s="56">
        <v>112.5</v>
      </c>
    </row>
    <row r="225" spans="1:2" x14ac:dyDescent="0.25">
      <c r="A225" s="56">
        <v>-205.95</v>
      </c>
      <c r="B225" s="56">
        <v>112.4</v>
      </c>
    </row>
    <row r="226" spans="1:2" x14ac:dyDescent="0.25">
      <c r="A226" s="56">
        <v>-208.95</v>
      </c>
      <c r="B226" s="56">
        <v>112.4</v>
      </c>
    </row>
    <row r="227" spans="1:2" x14ac:dyDescent="0.25">
      <c r="A227" s="56">
        <v>-208.95</v>
      </c>
      <c r="B227" s="56">
        <v>112</v>
      </c>
    </row>
    <row r="228" spans="1:2" x14ac:dyDescent="0.25">
      <c r="A228" s="56">
        <v>-211.95</v>
      </c>
      <c r="B228" s="56">
        <v>112</v>
      </c>
    </row>
    <row r="229" spans="1:2" x14ac:dyDescent="0.25">
      <c r="A229" s="56">
        <v>-211.95</v>
      </c>
      <c r="B229" s="56">
        <v>112.4</v>
      </c>
    </row>
    <row r="230" spans="1:2" x14ac:dyDescent="0.25">
      <c r="A230" s="56">
        <v>-213.35</v>
      </c>
      <c r="B230" s="56">
        <v>112.4</v>
      </c>
    </row>
    <row r="231" spans="1:2" x14ac:dyDescent="0.25">
      <c r="A231" s="56">
        <v>-213.35</v>
      </c>
      <c r="B231" s="56">
        <v>112.4</v>
      </c>
    </row>
    <row r="232" spans="1:2" x14ac:dyDescent="0.25">
      <c r="A232" s="56">
        <v>-216.45</v>
      </c>
      <c r="B232" s="56">
        <v>112.4</v>
      </c>
    </row>
    <row r="233" spans="1:2" x14ac:dyDescent="0.25">
      <c r="A233" s="56">
        <v>-216.45</v>
      </c>
      <c r="B233" s="56">
        <v>112.5</v>
      </c>
    </row>
    <row r="234" spans="1:2" x14ac:dyDescent="0.25">
      <c r="A234" s="56">
        <v>-219.45</v>
      </c>
      <c r="B234" s="56">
        <v>112.5</v>
      </c>
    </row>
    <row r="235" spans="1:2" x14ac:dyDescent="0.25">
      <c r="A235" s="56">
        <v>-219.45</v>
      </c>
      <c r="B235" s="56">
        <v>112.5</v>
      </c>
    </row>
    <row r="236" spans="1:2" x14ac:dyDescent="0.25">
      <c r="A236" s="56">
        <v>-221.65</v>
      </c>
      <c r="B236" s="56">
        <v>112.5</v>
      </c>
    </row>
    <row r="237" spans="1:2" x14ac:dyDescent="0.25">
      <c r="A237" s="56">
        <v>-221.65</v>
      </c>
      <c r="B237" s="56">
        <v>112.5</v>
      </c>
    </row>
    <row r="238" spans="1:2" x14ac:dyDescent="0.25">
      <c r="A238" s="56">
        <v>-223.95</v>
      </c>
      <c r="B238" s="56">
        <v>112.5</v>
      </c>
    </row>
    <row r="239" spans="1:2" x14ac:dyDescent="0.25">
      <c r="A239" s="56">
        <v>-223.95</v>
      </c>
      <c r="B239" s="56">
        <v>112.5</v>
      </c>
    </row>
    <row r="240" spans="1:2" x14ac:dyDescent="0.25">
      <c r="A240" s="56">
        <v>-226.95</v>
      </c>
      <c r="B240" s="56">
        <v>112.5</v>
      </c>
    </row>
    <row r="241" spans="1:2" x14ac:dyDescent="0.25">
      <c r="A241" s="56">
        <v>-226.95</v>
      </c>
      <c r="B241" s="56">
        <v>112.5</v>
      </c>
    </row>
    <row r="242" spans="1:2" x14ac:dyDescent="0.25">
      <c r="A242" s="56">
        <v>-229.55</v>
      </c>
      <c r="B242" s="56">
        <v>112.5</v>
      </c>
    </row>
    <row r="243" spans="1:2" x14ac:dyDescent="0.25">
      <c r="A243" s="56">
        <v>-229.55</v>
      </c>
      <c r="B243" s="56">
        <v>112.5</v>
      </c>
    </row>
    <row r="244" spans="1:2" x14ac:dyDescent="0.25">
      <c r="A244" s="56">
        <v>-232.55</v>
      </c>
      <c r="B244" s="56">
        <v>112.5</v>
      </c>
    </row>
    <row r="245" spans="1:2" x14ac:dyDescent="0.25">
      <c r="A245" s="56">
        <v>-232.55</v>
      </c>
      <c r="B245" s="56">
        <v>112.5</v>
      </c>
    </row>
    <row r="246" spans="1:2" x14ac:dyDescent="0.25">
      <c r="A246" s="56">
        <v>-234.1</v>
      </c>
      <c r="B246" s="56">
        <v>112.5</v>
      </c>
    </row>
    <row r="247" spans="1:2" x14ac:dyDescent="0.25">
      <c r="A247" s="56">
        <v>-234.1</v>
      </c>
      <c r="B247" s="56">
        <v>112.5</v>
      </c>
    </row>
    <row r="248" spans="1:2" x14ac:dyDescent="0.25">
      <c r="A248" s="56">
        <v>-236.15</v>
      </c>
      <c r="B248" s="56">
        <v>112.5</v>
      </c>
    </row>
    <row r="249" spans="1:2" x14ac:dyDescent="0.25">
      <c r="A249" s="56">
        <v>-236.15</v>
      </c>
      <c r="B249" s="56">
        <v>112.5</v>
      </c>
    </row>
    <row r="250" spans="1:2" x14ac:dyDescent="0.25">
      <c r="A250" s="56">
        <v>-238.45</v>
      </c>
      <c r="B250" s="56">
        <v>112.5</v>
      </c>
    </row>
    <row r="251" spans="1:2" x14ac:dyDescent="0.25">
      <c r="A251" s="56">
        <v>-238.45</v>
      </c>
      <c r="B251" s="56">
        <v>112.5</v>
      </c>
    </row>
    <row r="252" spans="1:2" x14ac:dyDescent="0.25">
      <c r="A252" s="56">
        <v>-240.65</v>
      </c>
      <c r="B252" s="56">
        <v>112.5</v>
      </c>
    </row>
    <row r="253" spans="1:2" x14ac:dyDescent="0.25">
      <c r="A253" s="56">
        <v>-240.65</v>
      </c>
      <c r="B253" s="56">
        <v>112.5</v>
      </c>
    </row>
    <row r="254" spans="1:2" x14ac:dyDescent="0.25">
      <c r="A254" s="56">
        <v>-243.45</v>
      </c>
      <c r="B254" s="56">
        <v>112.5</v>
      </c>
    </row>
    <row r="255" spans="1:2" x14ac:dyDescent="0.25">
      <c r="A255" s="56">
        <v>-243.45</v>
      </c>
      <c r="B255" s="56">
        <v>112.5</v>
      </c>
    </row>
    <row r="256" spans="1:2" x14ac:dyDescent="0.25">
      <c r="A256" s="56">
        <v>-244.95</v>
      </c>
      <c r="B256" s="56">
        <v>112.5</v>
      </c>
    </row>
    <row r="257" spans="1:2" x14ac:dyDescent="0.25">
      <c r="A257" s="56">
        <v>-244.95</v>
      </c>
      <c r="B257" s="56">
        <v>112.5</v>
      </c>
    </row>
    <row r="258" spans="1:2" x14ac:dyDescent="0.25">
      <c r="A258" s="56">
        <v>-247.95</v>
      </c>
      <c r="B258" s="56">
        <v>112.5</v>
      </c>
    </row>
    <row r="259" spans="1:2" x14ac:dyDescent="0.25">
      <c r="A259" s="56">
        <v>-247.95</v>
      </c>
      <c r="B259" s="56">
        <v>112.5</v>
      </c>
    </row>
    <row r="260" spans="1:2" x14ac:dyDescent="0.25">
      <c r="A260" s="56">
        <v>-250.95</v>
      </c>
      <c r="B260" s="56">
        <v>112.5</v>
      </c>
    </row>
    <row r="261" spans="1:2" x14ac:dyDescent="0.25">
      <c r="A261" s="56">
        <v>-250.95</v>
      </c>
      <c r="B261" s="56">
        <v>112.5</v>
      </c>
    </row>
    <row r="262" spans="1:2" x14ac:dyDescent="0.25">
      <c r="A262" s="56">
        <v>-253.85</v>
      </c>
      <c r="B262" s="56">
        <v>112.5</v>
      </c>
    </row>
    <row r="263" spans="1:2" x14ac:dyDescent="0.25">
      <c r="A263" s="56">
        <v>-253.85</v>
      </c>
      <c r="B263" s="56">
        <v>112.4</v>
      </c>
    </row>
    <row r="264" spans="1:2" x14ac:dyDescent="0.25">
      <c r="A264" s="56">
        <v>-256.75</v>
      </c>
      <c r="B264" s="56">
        <v>112.4</v>
      </c>
    </row>
    <row r="265" spans="1:2" x14ac:dyDescent="0.25">
      <c r="A265" s="56">
        <v>-256.75</v>
      </c>
      <c r="B265" s="56">
        <v>112.3</v>
      </c>
    </row>
    <row r="266" spans="1:2" x14ac:dyDescent="0.25">
      <c r="A266" s="56">
        <v>-259.75</v>
      </c>
      <c r="B266" s="56">
        <v>112.3</v>
      </c>
    </row>
    <row r="267" spans="1:2" x14ac:dyDescent="0.25">
      <c r="A267" s="56">
        <v>-259.75</v>
      </c>
      <c r="B267" s="56">
        <v>112.2</v>
      </c>
    </row>
    <row r="268" spans="1:2" x14ac:dyDescent="0.25">
      <c r="A268" s="56">
        <v>-262.65</v>
      </c>
      <c r="B268" s="56">
        <v>112.2</v>
      </c>
    </row>
    <row r="269" spans="1:2" x14ac:dyDescent="0.25">
      <c r="A269" s="56">
        <v>-262.65</v>
      </c>
      <c r="B269" s="56">
        <v>112.5</v>
      </c>
    </row>
    <row r="270" spans="1:2" x14ac:dyDescent="0.25">
      <c r="A270" s="56">
        <v>-265.45</v>
      </c>
      <c r="B270" s="56">
        <v>112.5</v>
      </c>
    </row>
    <row r="271" spans="1:2" x14ac:dyDescent="0.25">
      <c r="A271" s="56">
        <v>-265.45</v>
      </c>
      <c r="B271" s="56">
        <v>112.4</v>
      </c>
    </row>
    <row r="272" spans="1:2" x14ac:dyDescent="0.25">
      <c r="A272" s="56">
        <v>-267.45</v>
      </c>
      <c r="B272" s="56">
        <v>112.4</v>
      </c>
    </row>
    <row r="273" spans="1:2" x14ac:dyDescent="0.25">
      <c r="A273" s="56">
        <v>-267.45</v>
      </c>
      <c r="B273" s="56">
        <v>112.5</v>
      </c>
    </row>
    <row r="274" spans="1:2" x14ac:dyDescent="0.25">
      <c r="A274" s="56">
        <v>-268.95</v>
      </c>
      <c r="B274" s="56">
        <v>112.5</v>
      </c>
    </row>
    <row r="275" spans="1:2" x14ac:dyDescent="0.25">
      <c r="A275" s="56">
        <v>-268.95</v>
      </c>
      <c r="B275" s="56">
        <v>112.5</v>
      </c>
    </row>
    <row r="276" spans="1:2" x14ac:dyDescent="0.25">
      <c r="A276" s="56">
        <v>-271.95</v>
      </c>
      <c r="B276" s="56">
        <v>112.5</v>
      </c>
    </row>
    <row r="277" spans="1:2" x14ac:dyDescent="0.25">
      <c r="A277" s="56">
        <v>-271.95</v>
      </c>
      <c r="B277" s="56">
        <v>112.5</v>
      </c>
    </row>
    <row r="278" spans="1:2" x14ac:dyDescent="0.25">
      <c r="A278" s="56">
        <v>-274.95</v>
      </c>
      <c r="B278" s="56">
        <v>112.5</v>
      </c>
    </row>
    <row r="279" spans="1:2" x14ac:dyDescent="0.25">
      <c r="A279" s="56">
        <v>-274.95</v>
      </c>
      <c r="B279" s="56">
        <v>112.5</v>
      </c>
    </row>
    <row r="280" spans="1:2" x14ac:dyDescent="0.25">
      <c r="A280" s="56">
        <v>-277.95</v>
      </c>
      <c r="B280" s="56">
        <v>112.5</v>
      </c>
    </row>
    <row r="281" spans="1:2" x14ac:dyDescent="0.25">
      <c r="A281" s="56">
        <v>-277.95</v>
      </c>
      <c r="B281" s="56">
        <v>112.5</v>
      </c>
    </row>
    <row r="282" spans="1:2" x14ac:dyDescent="0.25">
      <c r="A282" s="56">
        <v>-280.95</v>
      </c>
      <c r="B282" s="56">
        <v>112.5</v>
      </c>
    </row>
    <row r="283" spans="1:2" x14ac:dyDescent="0.25">
      <c r="A283" s="56">
        <v>-280.95</v>
      </c>
      <c r="B283" s="56">
        <v>112.5</v>
      </c>
    </row>
    <row r="284" spans="1:2" x14ac:dyDescent="0.25">
      <c r="A284" s="56">
        <v>-283.55</v>
      </c>
      <c r="B284" s="56">
        <v>112.5</v>
      </c>
    </row>
    <row r="285" spans="1:2" x14ac:dyDescent="0.25">
      <c r="A285" s="56">
        <v>-283.55</v>
      </c>
      <c r="B285" s="56">
        <v>112.5</v>
      </c>
    </row>
    <row r="286" spans="1:2" x14ac:dyDescent="0.25">
      <c r="A286" s="56">
        <v>-286.55</v>
      </c>
      <c r="B286" s="56">
        <v>112.5</v>
      </c>
    </row>
    <row r="287" spans="1:2" x14ac:dyDescent="0.25">
      <c r="A287" s="56">
        <v>-286.55</v>
      </c>
      <c r="B287" s="56">
        <v>112.4</v>
      </c>
    </row>
    <row r="288" spans="1:2" x14ac:dyDescent="0.25">
      <c r="A288" s="56">
        <v>-289.55</v>
      </c>
      <c r="B288" s="56">
        <v>112.4</v>
      </c>
    </row>
    <row r="289" spans="1:2" x14ac:dyDescent="0.25">
      <c r="A289" s="56">
        <v>-289.55</v>
      </c>
      <c r="B289" s="56">
        <v>112.2</v>
      </c>
    </row>
    <row r="290" spans="1:2" x14ac:dyDescent="0.25">
      <c r="A290" s="56">
        <v>-291.45</v>
      </c>
      <c r="B290" s="56">
        <v>112.2</v>
      </c>
    </row>
    <row r="291" spans="1:2" x14ac:dyDescent="0.25">
      <c r="A291" s="56">
        <v>-291.45</v>
      </c>
      <c r="B291" s="56">
        <v>112.4</v>
      </c>
    </row>
    <row r="292" spans="1:2" x14ac:dyDescent="0.25">
      <c r="A292" s="56">
        <v>-294.45</v>
      </c>
      <c r="B292" s="56">
        <v>112.4</v>
      </c>
    </row>
    <row r="293" spans="1:2" x14ac:dyDescent="0.25">
      <c r="A293" s="56">
        <v>-294.45</v>
      </c>
      <c r="B293" s="56">
        <v>112.2</v>
      </c>
    </row>
    <row r="294" spans="1:2" x14ac:dyDescent="0.25">
      <c r="A294" s="56">
        <v>-296.45</v>
      </c>
      <c r="B294" s="56">
        <v>112.2</v>
      </c>
    </row>
    <row r="295" spans="1:2" x14ac:dyDescent="0.25">
      <c r="A295" s="56">
        <v>-296.45</v>
      </c>
      <c r="B295" s="56">
        <v>112.5</v>
      </c>
    </row>
    <row r="296" spans="1:2" x14ac:dyDescent="0.25">
      <c r="A296" s="56">
        <v>-298.95</v>
      </c>
      <c r="B296" s="56">
        <v>112.5</v>
      </c>
    </row>
    <row r="297" spans="1:2" x14ac:dyDescent="0.25">
      <c r="A297" s="56">
        <v>-298.95</v>
      </c>
      <c r="B297" s="56">
        <v>112.2</v>
      </c>
    </row>
    <row r="298" spans="1:2" x14ac:dyDescent="0.25">
      <c r="A298" s="56">
        <v>-301.95</v>
      </c>
      <c r="B298" s="56">
        <v>112.2</v>
      </c>
    </row>
    <row r="299" spans="1:2" x14ac:dyDescent="0.25">
      <c r="A299" s="56">
        <v>-301.95</v>
      </c>
      <c r="B299" s="56">
        <v>112.4</v>
      </c>
    </row>
    <row r="300" spans="1:2" x14ac:dyDescent="0.25">
      <c r="A300" s="56">
        <v>-304.95</v>
      </c>
      <c r="B300" s="56">
        <v>112.4</v>
      </c>
    </row>
    <row r="301" spans="1:2" x14ac:dyDescent="0.25">
      <c r="A301" s="56">
        <v>-304.95</v>
      </c>
      <c r="B301" s="56">
        <v>112.2</v>
      </c>
    </row>
    <row r="302" spans="1:2" x14ac:dyDescent="0.25">
      <c r="A302" s="56">
        <v>-307.95</v>
      </c>
      <c r="B302" s="56">
        <v>112.2</v>
      </c>
    </row>
    <row r="303" spans="1:2" x14ac:dyDescent="0.25">
      <c r="A303" s="56">
        <v>-307.95</v>
      </c>
      <c r="B303" s="56">
        <v>112.2</v>
      </c>
    </row>
    <row r="304" spans="1:2" x14ac:dyDescent="0.25">
      <c r="A304" s="56">
        <v>-310.95</v>
      </c>
      <c r="B304" s="56">
        <v>112.2</v>
      </c>
    </row>
    <row r="305" spans="1:2" x14ac:dyDescent="0.25">
      <c r="A305" s="56">
        <v>-310.95</v>
      </c>
      <c r="B305" s="56">
        <v>112.5</v>
      </c>
    </row>
    <row r="306" spans="1:2" x14ac:dyDescent="0.25">
      <c r="A306" s="56">
        <v>-313.05</v>
      </c>
      <c r="B306" s="56">
        <v>112.5</v>
      </c>
    </row>
    <row r="307" spans="1:2" x14ac:dyDescent="0.25">
      <c r="A307" s="56">
        <v>-313.05</v>
      </c>
      <c r="B307" s="56">
        <v>112.5</v>
      </c>
    </row>
    <row r="308" spans="1:2" x14ac:dyDescent="0.25">
      <c r="A308" s="56">
        <v>-315.45</v>
      </c>
      <c r="B308" s="56">
        <v>112.5</v>
      </c>
    </row>
    <row r="309" spans="1:2" x14ac:dyDescent="0.25">
      <c r="A309" s="56">
        <v>-315.45</v>
      </c>
      <c r="B309" s="56">
        <v>111.5</v>
      </c>
    </row>
    <row r="310" spans="1:2" x14ac:dyDescent="0.25">
      <c r="A310" s="56">
        <v>-318.45</v>
      </c>
      <c r="B310" s="56">
        <v>111.5</v>
      </c>
    </row>
    <row r="311" spans="1:2" x14ac:dyDescent="0.25">
      <c r="A311" s="56">
        <v>-318.45</v>
      </c>
      <c r="B311" s="56">
        <v>112</v>
      </c>
    </row>
    <row r="312" spans="1:2" x14ac:dyDescent="0.25">
      <c r="A312" s="56">
        <v>-321.45</v>
      </c>
      <c r="B312" s="56">
        <v>112</v>
      </c>
    </row>
    <row r="313" spans="1:2" x14ac:dyDescent="0.25">
      <c r="A313" s="56">
        <v>-321.45</v>
      </c>
      <c r="B313" s="56">
        <v>112</v>
      </c>
    </row>
    <row r="314" spans="1:2" x14ac:dyDescent="0.25">
      <c r="A314" s="56">
        <v>-324.45</v>
      </c>
      <c r="B314" s="56">
        <v>112</v>
      </c>
    </row>
    <row r="315" spans="1:2" x14ac:dyDescent="0.25">
      <c r="A315" s="56">
        <v>-324.45</v>
      </c>
      <c r="B315" s="56">
        <v>112.5</v>
      </c>
    </row>
    <row r="316" spans="1:2" x14ac:dyDescent="0.25">
      <c r="A316" s="56">
        <v>-327.15</v>
      </c>
      <c r="B316" s="56">
        <v>112.5</v>
      </c>
    </row>
    <row r="317" spans="1:2" x14ac:dyDescent="0.25">
      <c r="A317" s="56">
        <v>-327.15</v>
      </c>
      <c r="B317" s="56">
        <v>112.2</v>
      </c>
    </row>
    <row r="318" spans="1:2" x14ac:dyDescent="0.25">
      <c r="A318" s="56">
        <v>-330.15</v>
      </c>
      <c r="B318" s="56">
        <v>112.2</v>
      </c>
    </row>
    <row r="319" spans="1:2" x14ac:dyDescent="0.25">
      <c r="A319" s="56">
        <v>-330.15</v>
      </c>
      <c r="B319" s="56">
        <v>112.5</v>
      </c>
    </row>
    <row r="320" spans="1:2" x14ac:dyDescent="0.25">
      <c r="A320" s="56">
        <v>-333.15</v>
      </c>
      <c r="B320" s="56">
        <v>112.5</v>
      </c>
    </row>
    <row r="321" spans="1:2" x14ac:dyDescent="0.25">
      <c r="A321" s="56">
        <v>-333.15</v>
      </c>
      <c r="B321" s="56">
        <v>112.4</v>
      </c>
    </row>
    <row r="322" spans="1:2" x14ac:dyDescent="0.25">
      <c r="A322" s="56">
        <v>-336.15</v>
      </c>
      <c r="B322" s="56">
        <v>112.4</v>
      </c>
    </row>
    <row r="323" spans="1:2" x14ac:dyDescent="0.25">
      <c r="A323" s="56">
        <v>-336.15</v>
      </c>
      <c r="B323" s="56">
        <v>112.5</v>
      </c>
    </row>
    <row r="324" spans="1:2" x14ac:dyDescent="0.25">
      <c r="A324" s="56">
        <v>-339.15</v>
      </c>
      <c r="B324" s="56">
        <v>112.5</v>
      </c>
    </row>
    <row r="325" spans="1:2" x14ac:dyDescent="0.25">
      <c r="A325" s="56">
        <v>-339.15</v>
      </c>
      <c r="B325" s="56">
        <v>112.5</v>
      </c>
    </row>
    <row r="326" spans="1:2" x14ac:dyDescent="0.25">
      <c r="A326" s="56">
        <v>-342.15</v>
      </c>
      <c r="B326" s="56">
        <v>112.5</v>
      </c>
    </row>
    <row r="327" spans="1:2" x14ac:dyDescent="0.25">
      <c r="A327" s="56">
        <v>-342.15</v>
      </c>
      <c r="B327" s="56">
        <v>112.4</v>
      </c>
    </row>
    <row r="328" spans="1:2" x14ac:dyDescent="0.25">
      <c r="A328" s="56">
        <v>-345.15</v>
      </c>
      <c r="B328" s="56">
        <v>112.4</v>
      </c>
    </row>
    <row r="329" spans="1:2" x14ac:dyDescent="0.25">
      <c r="A329" s="56">
        <v>-345.15</v>
      </c>
      <c r="B329" s="56">
        <v>112.4</v>
      </c>
    </row>
    <row r="330" spans="1:2" x14ac:dyDescent="0.25">
      <c r="A330" s="56">
        <v>-348.15</v>
      </c>
      <c r="B330" s="56">
        <v>112.4</v>
      </c>
    </row>
    <row r="331" spans="1:2" x14ac:dyDescent="0.25">
      <c r="A331" s="56">
        <v>-348.15</v>
      </c>
      <c r="B331" s="56">
        <v>112.5</v>
      </c>
    </row>
    <row r="332" spans="1:2" x14ac:dyDescent="0.25">
      <c r="A332" s="56">
        <v>-351.15</v>
      </c>
      <c r="B332" s="56">
        <v>112.5</v>
      </c>
    </row>
    <row r="333" spans="1:2" x14ac:dyDescent="0.25">
      <c r="A333" s="56">
        <v>-351.15</v>
      </c>
      <c r="B333" s="56">
        <v>112.4</v>
      </c>
    </row>
    <row r="334" spans="1:2" x14ac:dyDescent="0.25">
      <c r="A334" s="56">
        <v>-354.15</v>
      </c>
      <c r="B334" s="56">
        <v>112.4</v>
      </c>
    </row>
    <row r="335" spans="1:2" x14ac:dyDescent="0.25">
      <c r="A335" s="56">
        <v>-354.15</v>
      </c>
      <c r="B335" s="56">
        <v>112.5</v>
      </c>
    </row>
    <row r="336" spans="1:2" x14ac:dyDescent="0.25">
      <c r="A336" s="56">
        <v>-357.15</v>
      </c>
      <c r="B336" s="56">
        <v>112.5</v>
      </c>
    </row>
    <row r="337" spans="1:2" x14ac:dyDescent="0.25">
      <c r="A337" s="56">
        <v>-357.15</v>
      </c>
      <c r="B337" s="56">
        <v>112.5</v>
      </c>
    </row>
    <row r="338" spans="1:2" x14ac:dyDescent="0.25">
      <c r="A338" s="56">
        <v>-360.15</v>
      </c>
      <c r="B338" s="56">
        <v>112.5</v>
      </c>
    </row>
    <row r="339" spans="1:2" x14ac:dyDescent="0.25">
      <c r="A339" s="56">
        <v>-360.15</v>
      </c>
      <c r="B339" s="56">
        <v>112.5</v>
      </c>
    </row>
    <row r="340" spans="1:2" x14ac:dyDescent="0.25">
      <c r="A340" s="56">
        <v>-363.15</v>
      </c>
      <c r="B340" s="56">
        <v>112.5</v>
      </c>
    </row>
    <row r="341" spans="1:2" x14ac:dyDescent="0.25">
      <c r="A341" s="56">
        <v>-363.15</v>
      </c>
      <c r="B341" s="56">
        <v>112.5</v>
      </c>
    </row>
    <row r="342" spans="1:2" x14ac:dyDescent="0.25">
      <c r="A342" s="56">
        <v>-364.45</v>
      </c>
      <c r="B342" s="56">
        <v>112.5</v>
      </c>
    </row>
    <row r="343" spans="1:2" x14ac:dyDescent="0.25">
      <c r="A343" s="56">
        <v>-364.45</v>
      </c>
      <c r="B343" s="56">
        <v>112.3</v>
      </c>
    </row>
    <row r="344" spans="1:2" x14ac:dyDescent="0.25">
      <c r="A344" s="56">
        <v>-366.45</v>
      </c>
      <c r="B344" s="56">
        <v>112.3</v>
      </c>
    </row>
    <row r="345" spans="1:2" x14ac:dyDescent="0.25">
      <c r="A345" s="56">
        <v>-366.45</v>
      </c>
      <c r="B345" s="56">
        <v>112.3</v>
      </c>
    </row>
    <row r="346" spans="1:2" x14ac:dyDescent="0.25">
      <c r="A346" s="56">
        <v>-368.2</v>
      </c>
      <c r="B346" s="56">
        <v>112.3</v>
      </c>
    </row>
    <row r="347" spans="1:2" x14ac:dyDescent="0.25">
      <c r="A347" s="56">
        <v>-368.2</v>
      </c>
      <c r="B347" s="56">
        <v>112.3</v>
      </c>
    </row>
    <row r="348" spans="1:2" x14ac:dyDescent="0.25">
      <c r="A348" s="56">
        <v>-369.6</v>
      </c>
      <c r="B348" s="56">
        <v>112.3</v>
      </c>
    </row>
    <row r="349" spans="1:2" x14ac:dyDescent="0.25">
      <c r="A349" s="56">
        <v>-369.6</v>
      </c>
      <c r="B349" s="56">
        <v>112.4</v>
      </c>
    </row>
    <row r="350" spans="1:2" x14ac:dyDescent="0.25">
      <c r="A350" s="56">
        <v>-371.2</v>
      </c>
      <c r="B350" s="56">
        <v>112.4</v>
      </c>
    </row>
    <row r="351" spans="1:2" x14ac:dyDescent="0.25">
      <c r="A351" s="56">
        <v>-371.2</v>
      </c>
      <c r="B351" s="56">
        <v>112.4</v>
      </c>
    </row>
    <row r="352" spans="1:2" x14ac:dyDescent="0.25">
      <c r="A352" s="56">
        <v>-373.95</v>
      </c>
      <c r="B352" s="56">
        <v>112.4</v>
      </c>
    </row>
    <row r="353" spans="1:2" x14ac:dyDescent="0.25">
      <c r="A353" s="56">
        <v>-373.95</v>
      </c>
      <c r="B353" s="56">
        <v>112.5</v>
      </c>
    </row>
    <row r="354" spans="1:2" x14ac:dyDescent="0.25">
      <c r="A354" s="56">
        <v>-376.95</v>
      </c>
      <c r="B354" s="56">
        <v>112.5</v>
      </c>
    </row>
    <row r="355" spans="1:2" x14ac:dyDescent="0.25">
      <c r="A355" s="56">
        <v>-376.95</v>
      </c>
      <c r="B355" s="56">
        <v>112.5</v>
      </c>
    </row>
    <row r="356" spans="1:2" x14ac:dyDescent="0.25">
      <c r="A356" s="56">
        <v>-379.95</v>
      </c>
      <c r="B356" s="56">
        <v>112.5</v>
      </c>
    </row>
    <row r="357" spans="1:2" x14ac:dyDescent="0.25">
      <c r="A357" s="56">
        <v>-379.95</v>
      </c>
      <c r="B357" s="56">
        <v>112.5</v>
      </c>
    </row>
    <row r="358" spans="1:2" x14ac:dyDescent="0.25">
      <c r="A358" s="56">
        <v>-382.95</v>
      </c>
      <c r="B358" s="56">
        <v>112.5</v>
      </c>
    </row>
    <row r="359" spans="1:2" x14ac:dyDescent="0.25">
      <c r="A359" s="56">
        <v>-382.95</v>
      </c>
      <c r="B359" s="56">
        <v>112.5</v>
      </c>
    </row>
    <row r="360" spans="1:2" x14ac:dyDescent="0.25">
      <c r="A360" s="56">
        <v>-385.95</v>
      </c>
      <c r="B360" s="56">
        <v>112.5</v>
      </c>
    </row>
    <row r="361" spans="1:2" x14ac:dyDescent="0.25">
      <c r="A361" s="56">
        <v>-385.95</v>
      </c>
      <c r="B361" s="56">
        <v>112.5</v>
      </c>
    </row>
    <row r="362" spans="1:2" x14ac:dyDescent="0.25">
      <c r="A362" s="56">
        <v>-388.95</v>
      </c>
      <c r="B362" s="56">
        <v>112.5</v>
      </c>
    </row>
    <row r="363" spans="1:2" x14ac:dyDescent="0.25">
      <c r="A363" s="56">
        <v>-388.95</v>
      </c>
      <c r="B363" s="56">
        <v>112.5</v>
      </c>
    </row>
    <row r="364" spans="1:2" x14ac:dyDescent="0.25">
      <c r="A364" s="56">
        <v>-391.95</v>
      </c>
      <c r="B364" s="56">
        <v>112.5</v>
      </c>
    </row>
    <row r="365" spans="1:2" x14ac:dyDescent="0.25">
      <c r="A365" s="56">
        <v>-391.95</v>
      </c>
      <c r="B365" s="56">
        <v>112.5</v>
      </c>
    </row>
    <row r="366" spans="1:2" x14ac:dyDescent="0.25">
      <c r="A366" s="56">
        <v>-394.95</v>
      </c>
      <c r="B366" s="56">
        <v>112.5</v>
      </c>
    </row>
    <row r="367" spans="1:2" x14ac:dyDescent="0.25">
      <c r="A367" s="56">
        <v>-394.95</v>
      </c>
      <c r="B367" s="56">
        <v>112.5</v>
      </c>
    </row>
    <row r="368" spans="1:2" x14ac:dyDescent="0.25">
      <c r="A368" s="56">
        <v>-397.95</v>
      </c>
      <c r="B368" s="56">
        <v>112.5</v>
      </c>
    </row>
    <row r="369" spans="1:2" x14ac:dyDescent="0.25">
      <c r="A369" s="56">
        <v>-397.95</v>
      </c>
      <c r="B369" s="56">
        <v>112.5</v>
      </c>
    </row>
    <row r="370" spans="1:2" x14ac:dyDescent="0.25">
      <c r="A370" s="56">
        <v>-400.95</v>
      </c>
      <c r="B370" s="56">
        <v>112.5</v>
      </c>
    </row>
    <row r="371" spans="1:2" x14ac:dyDescent="0.25">
      <c r="A371" s="56">
        <v>-400.95</v>
      </c>
      <c r="B371" s="56">
        <v>112.5</v>
      </c>
    </row>
    <row r="372" spans="1:2" x14ac:dyDescent="0.25">
      <c r="A372" s="56">
        <v>-403.95</v>
      </c>
      <c r="B372" s="56">
        <v>112.5</v>
      </c>
    </row>
    <row r="373" spans="1:2" x14ac:dyDescent="0.25">
      <c r="A373" s="56">
        <v>-403.95</v>
      </c>
      <c r="B373" s="56">
        <v>112.5</v>
      </c>
    </row>
    <row r="374" spans="1:2" x14ac:dyDescent="0.25">
      <c r="A374" s="56">
        <v>-406.45</v>
      </c>
      <c r="B374" s="56">
        <v>112.5</v>
      </c>
    </row>
    <row r="375" spans="1:2" x14ac:dyDescent="0.25">
      <c r="A375" s="56">
        <v>-406.45</v>
      </c>
      <c r="B375" s="56">
        <v>112.4</v>
      </c>
    </row>
    <row r="376" spans="1:2" x14ac:dyDescent="0.25">
      <c r="A376" s="56">
        <v>-408.3</v>
      </c>
      <c r="B376" s="56">
        <v>112.4</v>
      </c>
    </row>
    <row r="377" spans="1:2" x14ac:dyDescent="0.25">
      <c r="A377" s="56">
        <v>-408.3</v>
      </c>
      <c r="B377" s="56">
        <v>112.4</v>
      </c>
    </row>
    <row r="378" spans="1:2" x14ac:dyDescent="0.25">
      <c r="A378" s="56">
        <v>-411.3</v>
      </c>
      <c r="B378" s="56">
        <v>112.4</v>
      </c>
    </row>
    <row r="379" spans="1:2" x14ac:dyDescent="0.25">
      <c r="A379" s="56">
        <v>-411.3</v>
      </c>
      <c r="B379" s="56">
        <v>112.4</v>
      </c>
    </row>
    <row r="380" spans="1:2" x14ac:dyDescent="0.25">
      <c r="A380" s="56">
        <v>-414.3</v>
      </c>
      <c r="B380" s="56">
        <v>112.4</v>
      </c>
    </row>
    <row r="381" spans="1:2" x14ac:dyDescent="0.25">
      <c r="A381" s="56">
        <v>-414.3</v>
      </c>
      <c r="B381" s="56">
        <v>112.4</v>
      </c>
    </row>
    <row r="382" spans="1:2" x14ac:dyDescent="0.25">
      <c r="A382" s="56">
        <v>-417.3</v>
      </c>
      <c r="B382" s="56">
        <v>112.4</v>
      </c>
    </row>
    <row r="383" spans="1:2" x14ac:dyDescent="0.25">
      <c r="A383" s="56">
        <v>-417.3</v>
      </c>
      <c r="B383" s="56">
        <v>112.4</v>
      </c>
    </row>
    <row r="384" spans="1:2" x14ac:dyDescent="0.25">
      <c r="A384" s="56">
        <v>-420.3</v>
      </c>
      <c r="B384" s="56">
        <v>112.4</v>
      </c>
    </row>
    <row r="385" spans="1:2" x14ac:dyDescent="0.25">
      <c r="A385" s="56">
        <v>-420.3</v>
      </c>
      <c r="B385" s="56">
        <v>112.5</v>
      </c>
    </row>
    <row r="386" spans="1:2" x14ac:dyDescent="0.25">
      <c r="A386" s="56">
        <v>-423.3</v>
      </c>
      <c r="B386" s="56">
        <v>112.5</v>
      </c>
    </row>
    <row r="387" spans="1:2" x14ac:dyDescent="0.25">
      <c r="A387" s="56">
        <v>-423.3</v>
      </c>
      <c r="B387" s="56">
        <v>112.5</v>
      </c>
    </row>
    <row r="388" spans="1:2" x14ac:dyDescent="0.25">
      <c r="A388" s="56">
        <v>-426.3</v>
      </c>
      <c r="B388" s="56">
        <v>112.5</v>
      </c>
    </row>
    <row r="389" spans="1:2" x14ac:dyDescent="0.25">
      <c r="A389" s="56">
        <v>-426.3</v>
      </c>
      <c r="B389" s="56">
        <v>112.4</v>
      </c>
    </row>
    <row r="390" spans="1:2" x14ac:dyDescent="0.25">
      <c r="A390" s="56">
        <v>-429.3</v>
      </c>
      <c r="B390" s="56">
        <v>112.4</v>
      </c>
    </row>
    <row r="391" spans="1:2" x14ac:dyDescent="0.25">
      <c r="A391" s="56">
        <v>-429.3</v>
      </c>
      <c r="B391" s="56">
        <v>112.4</v>
      </c>
    </row>
    <row r="392" spans="1:2" x14ac:dyDescent="0.25">
      <c r="A392" s="56">
        <v>-432.3</v>
      </c>
      <c r="B392" s="56">
        <v>112.4</v>
      </c>
    </row>
    <row r="393" spans="1:2" x14ac:dyDescent="0.25">
      <c r="A393" s="56">
        <v>-432.3</v>
      </c>
      <c r="B393" s="56">
        <v>112.4</v>
      </c>
    </row>
    <row r="394" spans="1:2" x14ac:dyDescent="0.25">
      <c r="A394" s="56">
        <v>-434.3</v>
      </c>
      <c r="B394" s="56">
        <v>112.4</v>
      </c>
    </row>
    <row r="395" spans="1:2" x14ac:dyDescent="0.25">
      <c r="A395" s="56">
        <v>-434.3</v>
      </c>
      <c r="B395" s="56">
        <v>112.4</v>
      </c>
    </row>
    <row r="396" spans="1:2" x14ac:dyDescent="0.25">
      <c r="A396" s="56">
        <v>-436.8</v>
      </c>
      <c r="B396" s="56">
        <v>112.4</v>
      </c>
    </row>
    <row r="397" spans="1:2" x14ac:dyDescent="0.25">
      <c r="A397" s="56">
        <v>-436.8</v>
      </c>
      <c r="B397" s="56">
        <v>112.4</v>
      </c>
    </row>
    <row r="398" spans="1:2" x14ac:dyDescent="0.25">
      <c r="A398" s="56">
        <v>-438.3</v>
      </c>
      <c r="B398" s="56">
        <v>112.4</v>
      </c>
    </row>
    <row r="399" spans="1:2" x14ac:dyDescent="0.25">
      <c r="A399" s="56">
        <v>-438.3</v>
      </c>
      <c r="B399" s="56">
        <v>112.5</v>
      </c>
    </row>
    <row r="400" spans="1:2" x14ac:dyDescent="0.25">
      <c r="A400" s="56">
        <v>-440.7</v>
      </c>
      <c r="B400" s="56">
        <v>112.5</v>
      </c>
    </row>
    <row r="401" spans="1:2" x14ac:dyDescent="0.25">
      <c r="A401" s="56">
        <v>-440.7</v>
      </c>
      <c r="B401" s="56">
        <v>112.5</v>
      </c>
    </row>
    <row r="402" spans="1:2" x14ac:dyDescent="0.25">
      <c r="A402" s="56">
        <v>-442.8</v>
      </c>
      <c r="B402" s="56">
        <v>112.5</v>
      </c>
    </row>
    <row r="403" spans="1:2" x14ac:dyDescent="0.25">
      <c r="A403" s="56">
        <v>-442.8</v>
      </c>
      <c r="B403" s="56">
        <v>112.4</v>
      </c>
    </row>
    <row r="404" spans="1:2" x14ac:dyDescent="0.25">
      <c r="A404" s="56">
        <v>-444.3</v>
      </c>
      <c r="B404" s="56">
        <v>112.4</v>
      </c>
    </row>
    <row r="405" spans="1:2" x14ac:dyDescent="0.25">
      <c r="A405" s="56">
        <v>-444.3</v>
      </c>
      <c r="B405" s="56">
        <v>112.4</v>
      </c>
    </row>
    <row r="406" spans="1:2" x14ac:dyDescent="0.25">
      <c r="A406" s="56">
        <v>-447.3</v>
      </c>
      <c r="B406" s="56">
        <v>112.4</v>
      </c>
    </row>
    <row r="407" spans="1:2" x14ac:dyDescent="0.25">
      <c r="A407" s="56">
        <v>-447.3</v>
      </c>
      <c r="B407" s="56">
        <v>112.4</v>
      </c>
    </row>
    <row r="408" spans="1:2" x14ac:dyDescent="0.25">
      <c r="A408" s="56">
        <v>-450.3</v>
      </c>
      <c r="B408" s="56">
        <v>112.4</v>
      </c>
    </row>
    <row r="409" spans="1:2" x14ac:dyDescent="0.25">
      <c r="A409" s="56">
        <v>-450.3</v>
      </c>
      <c r="B409" s="56">
        <v>112.5</v>
      </c>
    </row>
    <row r="410" spans="1:2" x14ac:dyDescent="0.25">
      <c r="A410" s="56">
        <v>-453.3</v>
      </c>
      <c r="B410" s="56">
        <v>112.5</v>
      </c>
    </row>
    <row r="411" spans="1:2" x14ac:dyDescent="0.25">
      <c r="A411" s="56">
        <v>-453.3</v>
      </c>
      <c r="B411" s="56">
        <v>112.5</v>
      </c>
    </row>
    <row r="412" spans="1:2" x14ac:dyDescent="0.25">
      <c r="A412" s="56">
        <v>-456</v>
      </c>
      <c r="B412" s="56">
        <v>112.5</v>
      </c>
    </row>
    <row r="413" spans="1:2" x14ac:dyDescent="0.25">
      <c r="A413" s="56">
        <v>-456</v>
      </c>
      <c r="B413" s="56">
        <v>112.4</v>
      </c>
    </row>
    <row r="414" spans="1:2" x14ac:dyDescent="0.25">
      <c r="A414" s="56">
        <v>-457.8</v>
      </c>
      <c r="B414" s="56">
        <v>112.4</v>
      </c>
    </row>
    <row r="415" spans="1:2" x14ac:dyDescent="0.25">
      <c r="A415" s="56">
        <v>-457.8</v>
      </c>
      <c r="B415" s="56">
        <v>112.4</v>
      </c>
    </row>
    <row r="416" spans="1:2" x14ac:dyDescent="0.25">
      <c r="A416" s="56">
        <v>-459.3</v>
      </c>
      <c r="B416" s="56">
        <v>112.4</v>
      </c>
    </row>
    <row r="417" spans="1:2" x14ac:dyDescent="0.25">
      <c r="A417" s="56">
        <v>-459.3</v>
      </c>
      <c r="B417" s="56">
        <v>112.3</v>
      </c>
    </row>
    <row r="418" spans="1:2" x14ac:dyDescent="0.25">
      <c r="A418" s="56">
        <v>-462.3</v>
      </c>
      <c r="B418" s="56">
        <v>112.3</v>
      </c>
    </row>
    <row r="419" spans="1:2" x14ac:dyDescent="0.25">
      <c r="A419" s="56">
        <v>-462.3</v>
      </c>
      <c r="B419" s="56">
        <v>112.4</v>
      </c>
    </row>
    <row r="420" spans="1:2" x14ac:dyDescent="0.25">
      <c r="A420" s="56">
        <v>-465.3</v>
      </c>
      <c r="B420" s="56">
        <v>112.4</v>
      </c>
    </row>
    <row r="421" spans="1:2" x14ac:dyDescent="0.25">
      <c r="A421" s="56">
        <v>-465.3</v>
      </c>
      <c r="B421" s="56">
        <v>112.3</v>
      </c>
    </row>
    <row r="422" spans="1:2" x14ac:dyDescent="0.25">
      <c r="A422" s="56">
        <v>-468.3</v>
      </c>
      <c r="B422" s="56">
        <v>112.3</v>
      </c>
    </row>
    <row r="423" spans="1:2" x14ac:dyDescent="0.25">
      <c r="A423" s="56">
        <v>-468.3</v>
      </c>
      <c r="B423" s="56">
        <v>112.5</v>
      </c>
    </row>
    <row r="424" spans="1:2" x14ac:dyDescent="0.25">
      <c r="A424" s="56">
        <v>-471.3</v>
      </c>
      <c r="B424" s="56">
        <v>112.5</v>
      </c>
    </row>
    <row r="425" spans="1:2" x14ac:dyDescent="0.25">
      <c r="A425" s="56">
        <v>-471.3</v>
      </c>
      <c r="B425" s="56">
        <v>112.3</v>
      </c>
    </row>
    <row r="426" spans="1:2" x14ac:dyDescent="0.25">
      <c r="A426" s="56">
        <v>-473.2</v>
      </c>
      <c r="B426" s="56">
        <v>112.3</v>
      </c>
    </row>
    <row r="427" spans="1:2" x14ac:dyDescent="0.25">
      <c r="A427" s="56">
        <v>-473.2</v>
      </c>
      <c r="B427" s="56">
        <v>112.1</v>
      </c>
    </row>
    <row r="428" spans="1:2" x14ac:dyDescent="0.25">
      <c r="A428" s="56">
        <v>-475.5</v>
      </c>
      <c r="B428" s="56">
        <v>112.1</v>
      </c>
    </row>
    <row r="429" spans="1:2" x14ac:dyDescent="0.25">
      <c r="A429" s="56">
        <v>-475.5</v>
      </c>
      <c r="B429" s="56">
        <v>111.9</v>
      </c>
    </row>
    <row r="430" spans="1:2" x14ac:dyDescent="0.25">
      <c r="A430" s="56">
        <v>-478.5</v>
      </c>
      <c r="B430" s="56">
        <v>111.9</v>
      </c>
    </row>
    <row r="431" spans="1:2" x14ac:dyDescent="0.25">
      <c r="A431" s="56">
        <v>-478.5</v>
      </c>
      <c r="B431" s="56">
        <v>112.4</v>
      </c>
    </row>
    <row r="432" spans="1:2" x14ac:dyDescent="0.25">
      <c r="A432" s="56">
        <v>-481.5</v>
      </c>
      <c r="B432" s="56">
        <v>112.4</v>
      </c>
    </row>
    <row r="433" spans="1:2" x14ac:dyDescent="0.25">
      <c r="A433" s="56">
        <v>-481.5</v>
      </c>
      <c r="B433" s="56">
        <v>112.5</v>
      </c>
    </row>
    <row r="434" spans="1:2" x14ac:dyDescent="0.25">
      <c r="A434" s="56">
        <v>-483.7</v>
      </c>
      <c r="B434" s="56">
        <v>112.5</v>
      </c>
    </row>
    <row r="435" spans="1:2" x14ac:dyDescent="0.25">
      <c r="A435" s="56">
        <v>-483.7</v>
      </c>
      <c r="B435" s="56">
        <v>112.5</v>
      </c>
    </row>
    <row r="436" spans="1:2" x14ac:dyDescent="0.25">
      <c r="A436" s="56">
        <v>-486.7</v>
      </c>
      <c r="B436" s="56">
        <v>112.5</v>
      </c>
    </row>
    <row r="437" spans="1:2" x14ac:dyDescent="0.25">
      <c r="A437" s="56">
        <v>-486.7</v>
      </c>
      <c r="B437" s="56">
        <v>112.5</v>
      </c>
    </row>
    <row r="438" spans="1:2" x14ac:dyDescent="0.25">
      <c r="A438" s="56">
        <v>-489.3</v>
      </c>
      <c r="B438" s="56">
        <v>112.5</v>
      </c>
    </row>
    <row r="439" spans="1:2" x14ac:dyDescent="0.25">
      <c r="A439" s="56">
        <v>-489.3</v>
      </c>
      <c r="B439" s="56">
        <v>112.4</v>
      </c>
    </row>
    <row r="440" spans="1:2" x14ac:dyDescent="0.25">
      <c r="A440" s="56">
        <v>-492.3</v>
      </c>
      <c r="B440" s="56">
        <v>112.4</v>
      </c>
    </row>
    <row r="441" spans="1:2" x14ac:dyDescent="0.25">
      <c r="A441" s="56">
        <v>-492.3</v>
      </c>
      <c r="B441" s="56">
        <v>112.5</v>
      </c>
    </row>
    <row r="442" spans="1:2" x14ac:dyDescent="0.25">
      <c r="A442" s="56">
        <v>-495.3</v>
      </c>
      <c r="B442" s="56">
        <v>112.5</v>
      </c>
    </row>
    <row r="443" spans="1:2" x14ac:dyDescent="0.25">
      <c r="A443" s="56">
        <v>-495.3</v>
      </c>
      <c r="B443" s="56">
        <v>112.4</v>
      </c>
    </row>
    <row r="444" spans="1:2" x14ac:dyDescent="0.25">
      <c r="A444" s="56">
        <v>-498.3</v>
      </c>
      <c r="B444" s="56">
        <v>112.4</v>
      </c>
    </row>
    <row r="445" spans="1:2" x14ac:dyDescent="0.25">
      <c r="A445" s="56">
        <v>-498.3</v>
      </c>
      <c r="B445" s="56">
        <v>112.5</v>
      </c>
    </row>
    <row r="446" spans="1:2" x14ac:dyDescent="0.25">
      <c r="A446" s="56">
        <v>-501.3</v>
      </c>
      <c r="B446" s="56">
        <v>112.5</v>
      </c>
    </row>
    <row r="447" spans="1:2" x14ac:dyDescent="0.25">
      <c r="A447" s="56">
        <v>-501.3</v>
      </c>
      <c r="B447" s="56">
        <v>112.4</v>
      </c>
    </row>
    <row r="448" spans="1:2" x14ac:dyDescent="0.25">
      <c r="A448" s="56">
        <v>-504.3</v>
      </c>
      <c r="B448" s="56">
        <v>112.4</v>
      </c>
    </row>
    <row r="449" spans="1:2" x14ac:dyDescent="0.25">
      <c r="A449" s="56">
        <v>-504.3</v>
      </c>
      <c r="B449" s="56">
        <v>112.5</v>
      </c>
    </row>
    <row r="450" spans="1:2" x14ac:dyDescent="0.25">
      <c r="A450" s="56">
        <v>-507.3</v>
      </c>
      <c r="B450" s="56">
        <v>112.5</v>
      </c>
    </row>
    <row r="451" spans="1:2" x14ac:dyDescent="0.25">
      <c r="A451" s="56">
        <v>-507.3</v>
      </c>
      <c r="B451" s="56">
        <v>112.4</v>
      </c>
    </row>
    <row r="452" spans="1:2" x14ac:dyDescent="0.25">
      <c r="A452" s="56">
        <v>-510.3</v>
      </c>
      <c r="B452" s="56">
        <v>112.4</v>
      </c>
    </row>
    <row r="453" spans="1:2" x14ac:dyDescent="0.25">
      <c r="A453" s="56">
        <v>-510.3</v>
      </c>
      <c r="B453" s="56">
        <v>112.4</v>
      </c>
    </row>
    <row r="454" spans="1:2" x14ac:dyDescent="0.25">
      <c r="A454" s="56">
        <v>-513.3</v>
      </c>
      <c r="B454" s="56">
        <v>112.4</v>
      </c>
    </row>
    <row r="455" spans="1:2" x14ac:dyDescent="0.25">
      <c r="A455" s="56">
        <v>-513.3</v>
      </c>
      <c r="B455" s="56">
        <v>112.4</v>
      </c>
    </row>
    <row r="456" spans="1:2" x14ac:dyDescent="0.25">
      <c r="A456" s="56">
        <v>-516.3</v>
      </c>
      <c r="B456" s="56">
        <v>112.4</v>
      </c>
    </row>
    <row r="457" spans="1:2" x14ac:dyDescent="0.25">
      <c r="A457" s="56">
        <v>-516.3</v>
      </c>
      <c r="B457" s="56">
        <v>112.4</v>
      </c>
    </row>
    <row r="458" spans="1:2" x14ac:dyDescent="0.25">
      <c r="A458" s="56">
        <v>-517.8</v>
      </c>
      <c r="B458" s="56">
        <v>112.4</v>
      </c>
    </row>
    <row r="459" spans="1:2" x14ac:dyDescent="0.25">
      <c r="A459" s="56">
        <v>-517.8</v>
      </c>
      <c r="B459" s="56">
        <v>112.4</v>
      </c>
    </row>
    <row r="460" spans="1:2" x14ac:dyDescent="0.25">
      <c r="A460" s="56">
        <v>-520.8</v>
      </c>
      <c r="B460" s="56">
        <v>112.4</v>
      </c>
    </row>
    <row r="461" spans="1:2" x14ac:dyDescent="0.25">
      <c r="A461" s="56">
        <v>-520.8</v>
      </c>
      <c r="B461" s="56">
        <v>111.7</v>
      </c>
    </row>
    <row r="462" spans="1:2" x14ac:dyDescent="0.25">
      <c r="A462" s="56">
        <v>-523.8</v>
      </c>
      <c r="B462" s="56">
        <v>111.7</v>
      </c>
    </row>
    <row r="463" spans="1:2" x14ac:dyDescent="0.25">
      <c r="A463" s="56">
        <v>-523.8</v>
      </c>
      <c r="B463" s="56">
        <v>112.3</v>
      </c>
    </row>
    <row r="464" spans="1:2" x14ac:dyDescent="0.25">
      <c r="A464" s="56">
        <v>-526.8</v>
      </c>
      <c r="B464" s="56">
        <v>112.3</v>
      </c>
    </row>
    <row r="465" spans="1:2" x14ac:dyDescent="0.25">
      <c r="A465" s="56">
        <v>-526.8</v>
      </c>
      <c r="B465" s="56">
        <v>112.5</v>
      </c>
    </row>
    <row r="466" spans="1:2" x14ac:dyDescent="0.25">
      <c r="A466" s="56">
        <v>-529.8</v>
      </c>
      <c r="B466" s="56">
        <v>112.5</v>
      </c>
    </row>
    <row r="467" spans="1:2" x14ac:dyDescent="0.25">
      <c r="A467" s="56">
        <v>-529.8</v>
      </c>
      <c r="B467" s="56">
        <v>112.4</v>
      </c>
    </row>
    <row r="468" spans="1:2" x14ac:dyDescent="0.25">
      <c r="A468" s="56">
        <v>-532.8</v>
      </c>
      <c r="B468" s="56">
        <v>112.4</v>
      </c>
    </row>
    <row r="469" spans="1:2" x14ac:dyDescent="0.25">
      <c r="A469" s="56">
        <v>-532.8</v>
      </c>
      <c r="B469" s="56">
        <v>112.3</v>
      </c>
    </row>
    <row r="470" spans="1:2" x14ac:dyDescent="0.25">
      <c r="A470" s="56">
        <v>-535.8</v>
      </c>
      <c r="B470" s="56">
        <v>112.3</v>
      </c>
    </row>
    <row r="471" spans="1:2" x14ac:dyDescent="0.25">
      <c r="A471" s="56">
        <v>-535.8</v>
      </c>
      <c r="B471" s="56">
        <v>112.3</v>
      </c>
    </row>
    <row r="472" spans="1:2" x14ac:dyDescent="0.25">
      <c r="A472" s="56">
        <v>-538.8</v>
      </c>
      <c r="B472" s="56">
        <v>112.3</v>
      </c>
    </row>
    <row r="473" spans="1:2" x14ac:dyDescent="0.25">
      <c r="A473" s="56">
        <v>-538.8</v>
      </c>
      <c r="B473" s="56">
        <v>112.4</v>
      </c>
    </row>
    <row r="474" spans="1:2" x14ac:dyDescent="0.25">
      <c r="A474" s="56">
        <v>-541.8</v>
      </c>
      <c r="B474" s="56">
        <v>112.4</v>
      </c>
    </row>
    <row r="475" spans="1:2" x14ac:dyDescent="0.25">
      <c r="A475" s="56">
        <v>-541.8</v>
      </c>
      <c r="B475" s="56">
        <v>112.3</v>
      </c>
    </row>
    <row r="476" spans="1:2" x14ac:dyDescent="0.25">
      <c r="A476" s="56">
        <v>-544.8</v>
      </c>
      <c r="B476" s="56">
        <v>112.3</v>
      </c>
    </row>
    <row r="477" spans="1:2" x14ac:dyDescent="0.25">
      <c r="A477" s="56">
        <v>-544.8</v>
      </c>
      <c r="B477" s="56">
        <v>112.1</v>
      </c>
    </row>
    <row r="478" spans="1:2" x14ac:dyDescent="0.25">
      <c r="A478" s="56">
        <v>-547.8</v>
      </c>
      <c r="B478" s="56">
        <v>112.1</v>
      </c>
    </row>
    <row r="479" spans="1:2" x14ac:dyDescent="0.25">
      <c r="A479" s="56">
        <v>-547.8</v>
      </c>
      <c r="B479" s="56">
        <v>111.7</v>
      </c>
    </row>
    <row r="480" spans="1:2" x14ac:dyDescent="0.25">
      <c r="A480" s="56">
        <v>-550.8</v>
      </c>
      <c r="B480" s="56">
        <v>111.7</v>
      </c>
    </row>
    <row r="481" spans="1:2" x14ac:dyDescent="0.25">
      <c r="A481" s="56">
        <v>-550.8</v>
      </c>
      <c r="B481" s="56">
        <v>112.2</v>
      </c>
    </row>
    <row r="482" spans="1:2" x14ac:dyDescent="0.25">
      <c r="A482" s="56">
        <v>-553.8</v>
      </c>
      <c r="B482" s="56">
        <v>112.2</v>
      </c>
    </row>
    <row r="483" spans="1:2" x14ac:dyDescent="0.25">
      <c r="A483" s="56">
        <v>-553.8</v>
      </c>
      <c r="B483" s="56">
        <v>112.3</v>
      </c>
    </row>
    <row r="484" spans="1:2" x14ac:dyDescent="0.25">
      <c r="A484" s="56">
        <v>-556.8</v>
      </c>
      <c r="B484" s="56">
        <v>112.3</v>
      </c>
    </row>
    <row r="485" spans="1:2" x14ac:dyDescent="0.25">
      <c r="A485" s="56">
        <v>-556.8</v>
      </c>
      <c r="B485" s="56">
        <v>112.4</v>
      </c>
    </row>
    <row r="486" spans="1:2" x14ac:dyDescent="0.25">
      <c r="A486" s="56">
        <v>-559.8</v>
      </c>
      <c r="B486" s="56">
        <v>112.4</v>
      </c>
    </row>
    <row r="487" spans="1:2" x14ac:dyDescent="0.25">
      <c r="A487" s="56">
        <v>-559.8</v>
      </c>
      <c r="B487" s="56">
        <v>112.5</v>
      </c>
    </row>
    <row r="488" spans="1:2" x14ac:dyDescent="0.25">
      <c r="A488" s="56">
        <v>-562.8</v>
      </c>
      <c r="B488" s="56">
        <v>112.5</v>
      </c>
    </row>
    <row r="489" spans="1:2" x14ac:dyDescent="0.25">
      <c r="A489" s="56">
        <v>-562.8</v>
      </c>
      <c r="B489" s="56">
        <v>112.4</v>
      </c>
    </row>
    <row r="490" spans="1:2" x14ac:dyDescent="0.25">
      <c r="A490" s="56">
        <v>-565.8</v>
      </c>
      <c r="B490" s="56">
        <v>112.4</v>
      </c>
    </row>
    <row r="491" spans="1:2" x14ac:dyDescent="0.25">
      <c r="A491" s="56">
        <v>-565.8</v>
      </c>
      <c r="B491" s="56">
        <v>112.4</v>
      </c>
    </row>
    <row r="492" spans="1:2" x14ac:dyDescent="0.25">
      <c r="A492" s="56">
        <v>-568.8</v>
      </c>
      <c r="B492" s="56">
        <v>112.4</v>
      </c>
    </row>
    <row r="493" spans="1:2" x14ac:dyDescent="0.25">
      <c r="A493" s="56">
        <v>-568.8</v>
      </c>
      <c r="B493" s="56">
        <v>112.4</v>
      </c>
    </row>
    <row r="494" spans="1:2" x14ac:dyDescent="0.25">
      <c r="A494" s="56">
        <v>-571.8</v>
      </c>
      <c r="B494" s="56">
        <v>112.4</v>
      </c>
    </row>
    <row r="495" spans="1:2" x14ac:dyDescent="0.25">
      <c r="A495" s="56">
        <v>-571.8</v>
      </c>
      <c r="B495" s="56">
        <v>112.4</v>
      </c>
    </row>
    <row r="496" spans="1:2" x14ac:dyDescent="0.25">
      <c r="A496" s="56">
        <v>-574.8</v>
      </c>
      <c r="B496" s="56">
        <v>112.4</v>
      </c>
    </row>
    <row r="497" spans="1:2" x14ac:dyDescent="0.25">
      <c r="A497" s="56">
        <v>-574.8</v>
      </c>
      <c r="B497" s="56">
        <v>112.4</v>
      </c>
    </row>
    <row r="498" spans="1:2" x14ac:dyDescent="0.25">
      <c r="A498" s="56">
        <v>-577.8</v>
      </c>
      <c r="B498" s="56">
        <v>112.4</v>
      </c>
    </row>
    <row r="499" spans="1:2" x14ac:dyDescent="0.25">
      <c r="A499" s="56">
        <v>-577.8</v>
      </c>
      <c r="B499" s="56">
        <v>112.5</v>
      </c>
    </row>
    <row r="500" spans="1:2" x14ac:dyDescent="0.25">
      <c r="A500" s="56">
        <v>-580.8</v>
      </c>
      <c r="B500" s="56">
        <v>112.5</v>
      </c>
    </row>
    <row r="501" spans="1:2" x14ac:dyDescent="0.25">
      <c r="A501" s="56">
        <v>-580.8</v>
      </c>
      <c r="B501" s="56">
        <v>112.4</v>
      </c>
    </row>
    <row r="502" spans="1:2" x14ac:dyDescent="0.25">
      <c r="A502" s="56">
        <v>-583.8</v>
      </c>
      <c r="B502" s="56">
        <v>112.4</v>
      </c>
    </row>
    <row r="503" spans="1:2" x14ac:dyDescent="0.25">
      <c r="A503" s="56">
        <v>-583.8</v>
      </c>
      <c r="B503" s="56">
        <v>112.2</v>
      </c>
    </row>
    <row r="504" spans="1:2" x14ac:dyDescent="0.25">
      <c r="A504" s="56">
        <v>-585.7</v>
      </c>
      <c r="B504" s="56">
        <v>112.2</v>
      </c>
    </row>
    <row r="505" spans="1:2" x14ac:dyDescent="0.25">
      <c r="A505" s="56">
        <v>-585.7</v>
      </c>
      <c r="B505" s="56">
        <v>112.3</v>
      </c>
    </row>
    <row r="506" spans="1:2" x14ac:dyDescent="0.25">
      <c r="A506" s="56">
        <v>-586.7</v>
      </c>
      <c r="B506" s="56">
        <v>112.3</v>
      </c>
    </row>
    <row r="507" spans="1:2" x14ac:dyDescent="0.25">
      <c r="A507" s="56">
        <v>-586.7</v>
      </c>
      <c r="B507" s="56">
        <v>112</v>
      </c>
    </row>
    <row r="508" spans="1:2" x14ac:dyDescent="0.25">
      <c r="A508" s="56">
        <v>-589.8</v>
      </c>
      <c r="B508" s="56">
        <v>112</v>
      </c>
    </row>
    <row r="509" spans="1:2" x14ac:dyDescent="0.25">
      <c r="A509" s="56">
        <v>-589.8</v>
      </c>
      <c r="B509" s="56">
        <v>112</v>
      </c>
    </row>
    <row r="510" spans="1:2" x14ac:dyDescent="0.25">
      <c r="A510" s="56">
        <v>-592.8</v>
      </c>
      <c r="B510" s="56">
        <v>112</v>
      </c>
    </row>
    <row r="511" spans="1:2" x14ac:dyDescent="0.25">
      <c r="A511" s="56">
        <v>-592.8</v>
      </c>
      <c r="B511" s="56">
        <v>112.3</v>
      </c>
    </row>
    <row r="512" spans="1:2" x14ac:dyDescent="0.25">
      <c r="A512" s="56">
        <v>-595.8</v>
      </c>
      <c r="B512" s="56">
        <v>112.3</v>
      </c>
    </row>
    <row r="513" spans="1:2" x14ac:dyDescent="0.25">
      <c r="A513" s="56">
        <v>-595.8</v>
      </c>
      <c r="B513" s="56">
        <v>112</v>
      </c>
    </row>
    <row r="514" spans="1:2" x14ac:dyDescent="0.25">
      <c r="A514" s="56">
        <v>-598.8</v>
      </c>
      <c r="B514" s="56">
        <v>112</v>
      </c>
    </row>
    <row r="515" spans="1:2" x14ac:dyDescent="0.25">
      <c r="A515" s="56">
        <v>-598.8</v>
      </c>
      <c r="B515" s="56">
        <v>112.4</v>
      </c>
    </row>
    <row r="516" spans="1:2" x14ac:dyDescent="0.25">
      <c r="A516" s="56">
        <v>-601.8</v>
      </c>
      <c r="B516" s="56">
        <v>112.4</v>
      </c>
    </row>
    <row r="517" spans="1:2" x14ac:dyDescent="0.25">
      <c r="A517" s="56">
        <v>-601.8</v>
      </c>
      <c r="B517" s="56">
        <v>111.8</v>
      </c>
    </row>
    <row r="518" spans="1:2" x14ac:dyDescent="0.25">
      <c r="A518" s="56">
        <v>-603.3</v>
      </c>
      <c r="B518" s="56">
        <v>111.8</v>
      </c>
    </row>
    <row r="519" spans="1:2" x14ac:dyDescent="0.25">
      <c r="A519" s="56">
        <v>-603.3</v>
      </c>
      <c r="B519" s="56">
        <v>112.4</v>
      </c>
    </row>
    <row r="520" spans="1:2" x14ac:dyDescent="0.25">
      <c r="A520" s="56">
        <v>-606.3</v>
      </c>
      <c r="B520" s="56">
        <v>112.4</v>
      </c>
    </row>
    <row r="521" spans="1:2" x14ac:dyDescent="0.25">
      <c r="A521" s="56">
        <v>-606.3</v>
      </c>
      <c r="B521" s="56">
        <v>112.4</v>
      </c>
    </row>
    <row r="522" spans="1:2" x14ac:dyDescent="0.25">
      <c r="A522" s="56">
        <v>-609.3</v>
      </c>
      <c r="B522" s="56">
        <v>112.4</v>
      </c>
    </row>
    <row r="523" spans="1:2" x14ac:dyDescent="0.25">
      <c r="A523" s="56">
        <v>-609.3</v>
      </c>
      <c r="B523" s="56">
        <v>112.4</v>
      </c>
    </row>
    <row r="524" spans="1:2" x14ac:dyDescent="0.25">
      <c r="A524" s="56">
        <v>-612.3</v>
      </c>
      <c r="B524" s="56">
        <v>112.4</v>
      </c>
    </row>
    <row r="525" spans="1:2" x14ac:dyDescent="0.25">
      <c r="A525" s="56">
        <v>-612.3</v>
      </c>
      <c r="B525" s="56">
        <v>112.4</v>
      </c>
    </row>
    <row r="526" spans="1:2" x14ac:dyDescent="0.25">
      <c r="A526" s="56">
        <v>-615.3</v>
      </c>
      <c r="B526" s="56">
        <v>112.4</v>
      </c>
    </row>
    <row r="527" spans="1:2" x14ac:dyDescent="0.25">
      <c r="A527" s="56">
        <v>-615.3</v>
      </c>
      <c r="B527" s="56">
        <v>112.2</v>
      </c>
    </row>
    <row r="528" spans="1:2" x14ac:dyDescent="0.25">
      <c r="A528" s="56">
        <v>-617.7</v>
      </c>
      <c r="B528" s="56">
        <v>112.2</v>
      </c>
    </row>
    <row r="529" spans="1:2" x14ac:dyDescent="0.25">
      <c r="A529" s="56">
        <v>-617.7</v>
      </c>
      <c r="B529" s="56">
        <v>112.1</v>
      </c>
    </row>
    <row r="530" spans="1:2" x14ac:dyDescent="0.25">
      <c r="A530" s="56">
        <v>-619.1</v>
      </c>
      <c r="B530" s="56">
        <v>112.1</v>
      </c>
    </row>
    <row r="531" spans="1:2" x14ac:dyDescent="0.25">
      <c r="A531" s="56">
        <v>-619.1</v>
      </c>
      <c r="B531" s="56">
        <v>111.9</v>
      </c>
    </row>
    <row r="532" spans="1:2" x14ac:dyDescent="0.25">
      <c r="A532" s="56">
        <v>-620.1</v>
      </c>
      <c r="B532" s="56">
        <v>111.9</v>
      </c>
    </row>
    <row r="533" spans="1:2" x14ac:dyDescent="0.25">
      <c r="A533" s="56">
        <v>-620.1</v>
      </c>
      <c r="B533" s="56">
        <v>112</v>
      </c>
    </row>
    <row r="534" spans="1:2" x14ac:dyDescent="0.25">
      <c r="A534" s="56">
        <v>-621.6</v>
      </c>
      <c r="B534" s="56">
        <v>112</v>
      </c>
    </row>
    <row r="535" spans="1:2" x14ac:dyDescent="0.25">
      <c r="A535" s="56">
        <v>-621.6</v>
      </c>
      <c r="B535" s="56">
        <v>112.4</v>
      </c>
    </row>
    <row r="536" spans="1:2" x14ac:dyDescent="0.25">
      <c r="A536" s="56">
        <v>-623.75</v>
      </c>
      <c r="B536" s="56">
        <v>112.4</v>
      </c>
    </row>
    <row r="537" spans="1:2" x14ac:dyDescent="0.25">
      <c r="A537" s="56">
        <v>-623.75</v>
      </c>
      <c r="B537" s="56">
        <v>112.3</v>
      </c>
    </row>
    <row r="538" spans="1:2" x14ac:dyDescent="0.25">
      <c r="A538" s="56">
        <v>-625.8</v>
      </c>
      <c r="B538" s="56">
        <v>112.3</v>
      </c>
    </row>
    <row r="539" spans="1:2" x14ac:dyDescent="0.25">
      <c r="A539" s="56">
        <v>-625.8</v>
      </c>
      <c r="B539" s="56">
        <v>112.4</v>
      </c>
    </row>
    <row r="540" spans="1:2" x14ac:dyDescent="0.25">
      <c r="A540" s="56">
        <v>-628.8</v>
      </c>
      <c r="B540" s="56">
        <v>112.4</v>
      </c>
    </row>
    <row r="541" spans="1:2" x14ac:dyDescent="0.25">
      <c r="A541" s="56">
        <v>-628.8</v>
      </c>
      <c r="B541" s="56">
        <v>112</v>
      </c>
    </row>
    <row r="542" spans="1:2" x14ac:dyDescent="0.25">
      <c r="A542" s="56">
        <v>-629.35</v>
      </c>
      <c r="B542" s="56">
        <v>112</v>
      </c>
    </row>
    <row r="543" spans="1:2" x14ac:dyDescent="0.25">
      <c r="A543" s="56">
        <v>-629.35</v>
      </c>
      <c r="B543" s="56">
        <v>111.6</v>
      </c>
    </row>
    <row r="544" spans="1:2" x14ac:dyDescent="0.25">
      <c r="A544" s="56">
        <v>-631.8</v>
      </c>
      <c r="B544" s="56">
        <v>111.6</v>
      </c>
    </row>
    <row r="545" spans="1:2" x14ac:dyDescent="0.25">
      <c r="A545" s="56">
        <v>-631.8</v>
      </c>
      <c r="B545" s="56">
        <v>112.4</v>
      </c>
    </row>
    <row r="546" spans="1:2" x14ac:dyDescent="0.25">
      <c r="A546" s="56">
        <v>-634.8</v>
      </c>
      <c r="B546" s="56">
        <v>112.4</v>
      </c>
    </row>
    <row r="547" spans="1:2" x14ac:dyDescent="0.25">
      <c r="A547" s="56">
        <v>-634.8</v>
      </c>
      <c r="B547" s="56">
        <v>111.8</v>
      </c>
    </row>
    <row r="548" spans="1:2" x14ac:dyDescent="0.25">
      <c r="A548" s="56">
        <v>-636.3</v>
      </c>
      <c r="B548" s="56">
        <v>111.8</v>
      </c>
    </row>
    <row r="549" spans="1:2" x14ac:dyDescent="0.25">
      <c r="A549" s="56">
        <v>-636.3</v>
      </c>
      <c r="B549" s="56">
        <v>112.4</v>
      </c>
    </row>
    <row r="550" spans="1:2" x14ac:dyDescent="0.25">
      <c r="A550" s="56">
        <v>-639.3</v>
      </c>
      <c r="B550" s="56">
        <v>112.4</v>
      </c>
    </row>
    <row r="551" spans="1:2" x14ac:dyDescent="0.25">
      <c r="A551" s="56">
        <v>-639.3</v>
      </c>
      <c r="B551" s="56">
        <v>112.4</v>
      </c>
    </row>
    <row r="552" spans="1:2" x14ac:dyDescent="0.25">
      <c r="A552" s="56">
        <v>-642.3</v>
      </c>
      <c r="B552" s="56">
        <v>112.4</v>
      </c>
    </row>
    <row r="553" spans="1:2" x14ac:dyDescent="0.25">
      <c r="A553" s="56">
        <v>-642.3</v>
      </c>
      <c r="B553" s="56">
        <v>112.4</v>
      </c>
    </row>
    <row r="554" spans="1:2" x14ac:dyDescent="0.25">
      <c r="A554" s="56">
        <v>-645.3</v>
      </c>
      <c r="B554" s="56">
        <v>112.4</v>
      </c>
    </row>
    <row r="555" spans="1:2" x14ac:dyDescent="0.25">
      <c r="A555" s="56">
        <v>-645.3</v>
      </c>
      <c r="B555" s="56">
        <v>112.3</v>
      </c>
    </row>
    <row r="556" spans="1:2" x14ac:dyDescent="0.25">
      <c r="A556" s="56">
        <v>-648.3</v>
      </c>
      <c r="B556" s="56">
        <v>112.3</v>
      </c>
    </row>
    <row r="557" spans="1:2" x14ac:dyDescent="0.25">
      <c r="A557" s="56">
        <v>-648.3</v>
      </c>
      <c r="B557" s="56">
        <v>112.3</v>
      </c>
    </row>
    <row r="558" spans="1:2" x14ac:dyDescent="0.25">
      <c r="A558" s="56">
        <v>-651.3</v>
      </c>
      <c r="B558" s="56">
        <v>112.3</v>
      </c>
    </row>
    <row r="559" spans="1:2" x14ac:dyDescent="0.25">
      <c r="A559" s="56">
        <v>-651.3</v>
      </c>
      <c r="B559" s="56">
        <v>112</v>
      </c>
    </row>
    <row r="560" spans="1:2" x14ac:dyDescent="0.25">
      <c r="A560" s="56">
        <v>-654.3</v>
      </c>
      <c r="B560" s="56">
        <v>112</v>
      </c>
    </row>
    <row r="561" spans="1:2" x14ac:dyDescent="0.25">
      <c r="A561" s="56">
        <v>-654.3</v>
      </c>
      <c r="B561" s="56">
        <v>111.6</v>
      </c>
    </row>
    <row r="562" spans="1:2" x14ac:dyDescent="0.25">
      <c r="A562" s="56">
        <v>-657</v>
      </c>
      <c r="B562" s="56">
        <v>111.6</v>
      </c>
    </row>
    <row r="563" spans="1:2" x14ac:dyDescent="0.25">
      <c r="A563" s="56">
        <v>-657</v>
      </c>
      <c r="B563" s="56">
        <v>112.4</v>
      </c>
    </row>
    <row r="564" spans="1:2" x14ac:dyDescent="0.25">
      <c r="A564" s="56">
        <v>-657.7</v>
      </c>
      <c r="B564" s="56">
        <v>112.4</v>
      </c>
    </row>
    <row r="565" spans="1:2" x14ac:dyDescent="0.25">
      <c r="A565" s="56">
        <v>-657.7</v>
      </c>
      <c r="B565" s="56">
        <v>112.1</v>
      </c>
    </row>
    <row r="566" spans="1:2" x14ac:dyDescent="0.25">
      <c r="A566" s="56">
        <v>-660.3</v>
      </c>
      <c r="B566" s="56">
        <v>112.1</v>
      </c>
    </row>
    <row r="567" spans="1:2" x14ac:dyDescent="0.25">
      <c r="A567" s="56">
        <v>-660.3</v>
      </c>
      <c r="B567" s="56">
        <v>112.5</v>
      </c>
    </row>
    <row r="568" spans="1:2" x14ac:dyDescent="0.25">
      <c r="A568" s="56">
        <v>-662.5</v>
      </c>
      <c r="B568" s="56">
        <v>112.5</v>
      </c>
    </row>
    <row r="569" spans="1:2" x14ac:dyDescent="0.25">
      <c r="A569" s="56">
        <v>-662.5</v>
      </c>
      <c r="B569" s="56">
        <v>112.4</v>
      </c>
    </row>
    <row r="570" spans="1:2" x14ac:dyDescent="0.25">
      <c r="A570" s="56">
        <v>-665.5</v>
      </c>
      <c r="B570" s="56">
        <v>112.4</v>
      </c>
    </row>
    <row r="571" spans="1:2" x14ac:dyDescent="0.25">
      <c r="A571" s="56">
        <v>-665.5</v>
      </c>
      <c r="B571" s="56">
        <v>112.4</v>
      </c>
    </row>
    <row r="572" spans="1:2" x14ac:dyDescent="0.25">
      <c r="A572" s="56">
        <v>-668.5</v>
      </c>
      <c r="B572" s="56">
        <v>112.4</v>
      </c>
    </row>
    <row r="573" spans="1:2" x14ac:dyDescent="0.25">
      <c r="A573" s="56">
        <v>-668.5</v>
      </c>
      <c r="B573" s="56">
        <v>112.5</v>
      </c>
    </row>
    <row r="574" spans="1:2" x14ac:dyDescent="0.25">
      <c r="A574" s="56">
        <v>-670.8</v>
      </c>
      <c r="B574" s="56">
        <v>112.5</v>
      </c>
    </row>
    <row r="575" spans="1:2" x14ac:dyDescent="0.25">
      <c r="A575" s="56">
        <v>-670.8</v>
      </c>
      <c r="B575" s="56">
        <v>112.5</v>
      </c>
    </row>
    <row r="576" spans="1:2" x14ac:dyDescent="0.25">
      <c r="A576" s="56">
        <v>-672.3</v>
      </c>
      <c r="B576" s="56">
        <v>112.5</v>
      </c>
    </row>
    <row r="577" spans="1:2" x14ac:dyDescent="0.25">
      <c r="A577" s="56">
        <v>-672.3</v>
      </c>
      <c r="B577" s="56">
        <v>112.5</v>
      </c>
    </row>
    <row r="578" spans="1:2" x14ac:dyDescent="0.25">
      <c r="A578" s="56">
        <v>-673.6</v>
      </c>
      <c r="B578" s="56">
        <v>112.5</v>
      </c>
    </row>
    <row r="579" spans="1:2" x14ac:dyDescent="0.25">
      <c r="A579" s="56">
        <v>-673.6</v>
      </c>
      <c r="B579" s="56">
        <v>112.3</v>
      </c>
    </row>
    <row r="580" spans="1:2" x14ac:dyDescent="0.25">
      <c r="A580" s="56">
        <v>-675.3</v>
      </c>
      <c r="B580" s="56">
        <v>112.3</v>
      </c>
    </row>
    <row r="581" spans="1:2" x14ac:dyDescent="0.25">
      <c r="A581" s="56">
        <v>-675.3</v>
      </c>
      <c r="B581" s="56">
        <v>112.4</v>
      </c>
    </row>
    <row r="582" spans="1:2" x14ac:dyDescent="0.25">
      <c r="A582" s="56">
        <v>-676.8</v>
      </c>
      <c r="B582" s="56">
        <v>112.4</v>
      </c>
    </row>
    <row r="583" spans="1:2" x14ac:dyDescent="0.25">
      <c r="A583" s="56">
        <v>-676.8</v>
      </c>
      <c r="B583" s="56">
        <v>112.4</v>
      </c>
    </row>
    <row r="584" spans="1:2" x14ac:dyDescent="0.25">
      <c r="A584" s="56">
        <v>-678.3</v>
      </c>
      <c r="B584" s="56">
        <v>112.4</v>
      </c>
    </row>
    <row r="585" spans="1:2" x14ac:dyDescent="0.25">
      <c r="A585" s="56">
        <v>-678.3</v>
      </c>
      <c r="B585" s="56">
        <v>112.4</v>
      </c>
    </row>
    <row r="586" spans="1:2" x14ac:dyDescent="0.25">
      <c r="A586" s="56">
        <v>-679.8</v>
      </c>
      <c r="B586" s="56">
        <v>112.4</v>
      </c>
    </row>
    <row r="587" spans="1:2" x14ac:dyDescent="0.25">
      <c r="A587" s="56">
        <v>-679.8</v>
      </c>
      <c r="B587" s="56">
        <v>112.4</v>
      </c>
    </row>
    <row r="588" spans="1:2" x14ac:dyDescent="0.25">
      <c r="A588" s="56">
        <v>-681.25</v>
      </c>
      <c r="B588" s="56">
        <v>112.4</v>
      </c>
    </row>
    <row r="589" spans="1:2" x14ac:dyDescent="0.25">
      <c r="A589" s="56">
        <v>-681.25</v>
      </c>
      <c r="B589" s="56">
        <v>112.4</v>
      </c>
    </row>
    <row r="590" spans="1:2" x14ac:dyDescent="0.25">
      <c r="A590" s="56">
        <v>-682.75</v>
      </c>
      <c r="B590" s="56">
        <v>112.4</v>
      </c>
    </row>
    <row r="591" spans="1:2" x14ac:dyDescent="0.25">
      <c r="A591" s="56">
        <v>-682.75</v>
      </c>
      <c r="B591" s="56">
        <v>112.4</v>
      </c>
    </row>
    <row r="592" spans="1:2" x14ac:dyDescent="0.25">
      <c r="A592" s="56">
        <v>-684.25</v>
      </c>
      <c r="B592" s="56">
        <v>112.4</v>
      </c>
    </row>
    <row r="593" spans="1:2" x14ac:dyDescent="0.25">
      <c r="A593" s="56">
        <v>-684.25</v>
      </c>
      <c r="B593" s="56">
        <v>112.4</v>
      </c>
    </row>
    <row r="594" spans="1:2" x14ac:dyDescent="0.25">
      <c r="A594" s="56">
        <v>-685.75</v>
      </c>
      <c r="B594" s="56">
        <v>112.4</v>
      </c>
    </row>
    <row r="595" spans="1:2" x14ac:dyDescent="0.25">
      <c r="A595" s="56">
        <v>-685.75</v>
      </c>
      <c r="B595" s="56">
        <v>112.4</v>
      </c>
    </row>
    <row r="596" spans="1:2" x14ac:dyDescent="0.25">
      <c r="A596" s="56">
        <v>-687.25</v>
      </c>
      <c r="B596" s="56">
        <v>112.4</v>
      </c>
    </row>
    <row r="597" spans="1:2" x14ac:dyDescent="0.25">
      <c r="A597" s="56">
        <v>-687.25</v>
      </c>
      <c r="B597" s="56">
        <v>112.4</v>
      </c>
    </row>
    <row r="598" spans="1:2" x14ac:dyDescent="0.25">
      <c r="A598" s="56">
        <v>-688.75</v>
      </c>
      <c r="B598" s="56">
        <v>112.4</v>
      </c>
    </row>
    <row r="599" spans="1:2" x14ac:dyDescent="0.25">
      <c r="A599" s="56">
        <v>-688.75</v>
      </c>
      <c r="B599" s="56">
        <v>112.4</v>
      </c>
    </row>
    <row r="600" spans="1:2" x14ac:dyDescent="0.25">
      <c r="A600" s="56">
        <v>-690.25</v>
      </c>
      <c r="B600" s="56">
        <v>112.4</v>
      </c>
    </row>
    <row r="601" spans="1:2" x14ac:dyDescent="0.25">
      <c r="A601" s="56">
        <v>-690.25</v>
      </c>
      <c r="B601" s="56">
        <v>112.4</v>
      </c>
    </row>
    <row r="602" spans="1:2" x14ac:dyDescent="0.25">
      <c r="A602" s="56">
        <v>-691.75</v>
      </c>
      <c r="B602" s="56">
        <v>112.4</v>
      </c>
    </row>
    <row r="603" spans="1:2" x14ac:dyDescent="0.25">
      <c r="A603" s="56">
        <v>-691.75</v>
      </c>
      <c r="B603" s="56">
        <v>112.4</v>
      </c>
    </row>
    <row r="604" spans="1:2" x14ac:dyDescent="0.25">
      <c r="A604" s="56">
        <v>-693.25</v>
      </c>
      <c r="B604" s="56">
        <v>112.4</v>
      </c>
    </row>
    <row r="605" spans="1:2" x14ac:dyDescent="0.25">
      <c r="A605" s="56">
        <v>-693.25</v>
      </c>
      <c r="B605" s="56">
        <v>112.4</v>
      </c>
    </row>
    <row r="606" spans="1:2" x14ac:dyDescent="0.25">
      <c r="A606" s="56">
        <v>-694.75</v>
      </c>
      <c r="B606" s="56">
        <v>112.4</v>
      </c>
    </row>
    <row r="607" spans="1:2" x14ac:dyDescent="0.25">
      <c r="A607" s="56">
        <v>-694.75</v>
      </c>
      <c r="B607" s="56">
        <v>112.4</v>
      </c>
    </row>
    <row r="608" spans="1:2" x14ac:dyDescent="0.25">
      <c r="A608" s="56">
        <v>-696.25</v>
      </c>
      <c r="B608" s="56">
        <v>112.4</v>
      </c>
    </row>
    <row r="609" spans="1:2" x14ac:dyDescent="0.25">
      <c r="A609" s="56">
        <v>-696.25</v>
      </c>
      <c r="B609" s="56">
        <v>102.5</v>
      </c>
    </row>
    <row r="611" spans="1:2" x14ac:dyDescent="0.25">
      <c r="A611" s="56" t="s">
        <v>24</v>
      </c>
      <c r="B611" s="56">
        <v>113.8</v>
      </c>
    </row>
    <row r="612" spans="1:2" x14ac:dyDescent="0.25">
      <c r="A612" s="56">
        <v>-0.9</v>
      </c>
      <c r="B612" s="56">
        <v>113.8</v>
      </c>
    </row>
    <row r="613" spans="1:2" x14ac:dyDescent="0.25">
      <c r="A613" s="56">
        <v>-0.9</v>
      </c>
      <c r="B613" s="56">
        <v>117.4</v>
      </c>
    </row>
    <row r="614" spans="1:2" x14ac:dyDescent="0.25">
      <c r="A614" s="56">
        <v>-1.65</v>
      </c>
      <c r="B614" s="56">
        <v>117.4</v>
      </c>
    </row>
    <row r="615" spans="1:2" x14ac:dyDescent="0.25">
      <c r="A615" s="56">
        <v>-1.65</v>
      </c>
      <c r="B615" s="56">
        <v>118.2</v>
      </c>
    </row>
    <row r="616" spans="1:2" x14ac:dyDescent="0.25">
      <c r="A616" s="56">
        <v>-3.15</v>
      </c>
      <c r="B616" s="56">
        <v>118.2</v>
      </c>
    </row>
    <row r="617" spans="1:2" x14ac:dyDescent="0.25">
      <c r="A617" s="56">
        <v>-3.15</v>
      </c>
      <c r="B617" s="56">
        <v>112.5</v>
      </c>
    </row>
    <row r="618" spans="1:2" x14ac:dyDescent="0.25">
      <c r="A618" s="56">
        <v>-4.55</v>
      </c>
      <c r="B618" s="56">
        <v>112.5</v>
      </c>
    </row>
    <row r="619" spans="1:2" x14ac:dyDescent="0.25">
      <c r="A619" s="56">
        <v>-4.55</v>
      </c>
      <c r="B619" s="56">
        <v>117.5</v>
      </c>
    </row>
    <row r="620" spans="1:2" x14ac:dyDescent="0.25">
      <c r="A620" s="56">
        <v>-5.95</v>
      </c>
      <c r="B620" s="56">
        <v>117.5</v>
      </c>
    </row>
    <row r="621" spans="1:2" x14ac:dyDescent="0.25">
      <c r="A621" s="56">
        <v>-5.95</v>
      </c>
      <c r="B621" s="56">
        <v>114.2</v>
      </c>
    </row>
    <row r="622" spans="1:2" x14ac:dyDescent="0.25">
      <c r="A622" s="56">
        <v>-7.55</v>
      </c>
      <c r="B622" s="56">
        <v>114.2</v>
      </c>
    </row>
    <row r="623" spans="1:2" x14ac:dyDescent="0.25">
      <c r="A623" s="56">
        <v>-7.55</v>
      </c>
      <c r="B623" s="56">
        <v>113.4</v>
      </c>
    </row>
    <row r="624" spans="1:2" x14ac:dyDescent="0.25">
      <c r="A624" s="56">
        <v>-9.05</v>
      </c>
      <c r="B624" s="56">
        <v>113.4</v>
      </c>
    </row>
    <row r="625" spans="1:2" x14ac:dyDescent="0.25">
      <c r="A625" s="56">
        <v>-9.05</v>
      </c>
      <c r="B625" s="56">
        <v>116.9</v>
      </c>
    </row>
    <row r="626" spans="1:2" x14ac:dyDescent="0.25">
      <c r="A626" s="56">
        <v>-10.55</v>
      </c>
      <c r="B626" s="56">
        <v>116.9</v>
      </c>
    </row>
    <row r="627" spans="1:2" x14ac:dyDescent="0.25">
      <c r="A627" s="56">
        <v>-10.55</v>
      </c>
      <c r="B627" s="56">
        <v>112.5</v>
      </c>
    </row>
    <row r="628" spans="1:2" x14ac:dyDescent="0.25">
      <c r="A628" s="56">
        <v>-12.05</v>
      </c>
      <c r="B628" s="56">
        <v>112.5</v>
      </c>
    </row>
    <row r="629" spans="1:2" x14ac:dyDescent="0.25">
      <c r="A629" s="56">
        <v>-12.05</v>
      </c>
      <c r="B629" s="56">
        <v>118</v>
      </c>
    </row>
    <row r="630" spans="1:2" x14ac:dyDescent="0.25">
      <c r="A630" s="56">
        <v>-13.55</v>
      </c>
      <c r="B630" s="56">
        <v>118</v>
      </c>
    </row>
    <row r="631" spans="1:2" x14ac:dyDescent="0.25">
      <c r="A631" s="56">
        <v>-13.55</v>
      </c>
      <c r="B631" s="56">
        <v>119.4</v>
      </c>
    </row>
    <row r="632" spans="1:2" x14ac:dyDescent="0.25">
      <c r="A632" s="56">
        <v>-15.05</v>
      </c>
      <c r="B632" s="56">
        <v>119.4</v>
      </c>
    </row>
    <row r="633" spans="1:2" x14ac:dyDescent="0.25">
      <c r="A633" s="56">
        <v>-15.05</v>
      </c>
      <c r="B633" s="56">
        <v>120.6</v>
      </c>
    </row>
    <row r="634" spans="1:2" x14ac:dyDescent="0.25">
      <c r="A634" s="56">
        <v>-16.55</v>
      </c>
      <c r="B634" s="56">
        <v>120.6</v>
      </c>
    </row>
    <row r="635" spans="1:2" x14ac:dyDescent="0.25">
      <c r="A635" s="56">
        <v>-16.55</v>
      </c>
      <c r="B635" s="56">
        <v>121</v>
      </c>
    </row>
    <row r="636" spans="1:2" x14ac:dyDescent="0.25">
      <c r="A636" s="56">
        <v>-18.05</v>
      </c>
      <c r="B636" s="56">
        <v>121</v>
      </c>
    </row>
    <row r="637" spans="1:2" x14ac:dyDescent="0.25">
      <c r="A637" s="56">
        <v>-18.05</v>
      </c>
      <c r="B637" s="56">
        <v>119.2</v>
      </c>
    </row>
    <row r="638" spans="1:2" x14ac:dyDescent="0.25">
      <c r="A638" s="56">
        <v>-19.55</v>
      </c>
      <c r="B638" s="56">
        <v>119.2</v>
      </c>
    </row>
    <row r="639" spans="1:2" x14ac:dyDescent="0.25">
      <c r="A639" s="56">
        <v>-19.55</v>
      </c>
      <c r="B639" s="56">
        <v>118</v>
      </c>
    </row>
    <row r="640" spans="1:2" x14ac:dyDescent="0.25">
      <c r="A640" s="56">
        <v>-21.05</v>
      </c>
      <c r="B640" s="56">
        <v>118</v>
      </c>
    </row>
    <row r="641" spans="1:2" x14ac:dyDescent="0.25">
      <c r="A641" s="56">
        <v>-21.05</v>
      </c>
      <c r="B641" s="56">
        <v>119.7</v>
      </c>
    </row>
    <row r="642" spans="1:2" x14ac:dyDescent="0.25">
      <c r="A642" s="56">
        <v>-22.55</v>
      </c>
      <c r="B642" s="56">
        <v>119.7</v>
      </c>
    </row>
    <row r="643" spans="1:2" x14ac:dyDescent="0.25">
      <c r="A643" s="56">
        <v>-22.55</v>
      </c>
      <c r="B643" s="56">
        <v>117</v>
      </c>
    </row>
    <row r="644" spans="1:2" x14ac:dyDescent="0.25">
      <c r="A644" s="56">
        <v>-24.05</v>
      </c>
      <c r="B644" s="56">
        <v>117</v>
      </c>
    </row>
    <row r="645" spans="1:2" x14ac:dyDescent="0.25">
      <c r="A645" s="56">
        <v>-24.05</v>
      </c>
      <c r="B645" s="56">
        <v>122.2</v>
      </c>
    </row>
    <row r="646" spans="1:2" x14ac:dyDescent="0.25">
      <c r="A646" s="56">
        <v>-24.9</v>
      </c>
      <c r="B646" s="56">
        <v>122.2</v>
      </c>
    </row>
    <row r="647" spans="1:2" x14ac:dyDescent="0.25">
      <c r="A647" s="56">
        <v>-24.9</v>
      </c>
      <c r="B647" s="56">
        <v>117.4</v>
      </c>
    </row>
    <row r="648" spans="1:2" x14ac:dyDescent="0.25">
      <c r="A648" s="56">
        <v>-26.05</v>
      </c>
      <c r="B648" s="56">
        <v>117.4</v>
      </c>
    </row>
    <row r="649" spans="1:2" x14ac:dyDescent="0.25">
      <c r="A649" s="56">
        <v>-26.05</v>
      </c>
      <c r="B649" s="56">
        <v>117.4</v>
      </c>
    </row>
    <row r="650" spans="1:2" x14ac:dyDescent="0.25">
      <c r="A650" s="56">
        <v>-27.2</v>
      </c>
      <c r="B650" s="56">
        <v>117.4</v>
      </c>
    </row>
    <row r="651" spans="1:2" x14ac:dyDescent="0.25">
      <c r="A651" s="56">
        <v>-27.2</v>
      </c>
      <c r="B651" s="56">
        <v>117.4</v>
      </c>
    </row>
    <row r="652" spans="1:2" x14ac:dyDescent="0.25">
      <c r="A652" s="56">
        <v>-28.7</v>
      </c>
      <c r="B652" s="56">
        <v>117.4</v>
      </c>
    </row>
    <row r="653" spans="1:2" x14ac:dyDescent="0.25">
      <c r="A653" s="56">
        <v>-28.7</v>
      </c>
      <c r="B653" s="56">
        <v>120</v>
      </c>
    </row>
    <row r="654" spans="1:2" x14ac:dyDescent="0.25">
      <c r="A654" s="56">
        <v>-30.2</v>
      </c>
      <c r="B654" s="56">
        <v>120</v>
      </c>
    </row>
    <row r="655" spans="1:2" x14ac:dyDescent="0.25">
      <c r="A655" s="56">
        <v>-30.2</v>
      </c>
      <c r="B655" s="56">
        <v>118.4</v>
      </c>
    </row>
    <row r="656" spans="1:2" x14ac:dyDescent="0.25">
      <c r="A656" s="56">
        <v>-31.8</v>
      </c>
      <c r="B656" s="56">
        <v>118.4</v>
      </c>
    </row>
    <row r="657" spans="1:2" x14ac:dyDescent="0.25">
      <c r="A657" s="56">
        <v>-31.8</v>
      </c>
      <c r="B657" s="56">
        <v>118.2</v>
      </c>
    </row>
    <row r="658" spans="1:2" x14ac:dyDescent="0.25">
      <c r="A658" s="56">
        <v>-33.4</v>
      </c>
      <c r="B658" s="56">
        <v>118.2</v>
      </c>
    </row>
    <row r="659" spans="1:2" x14ac:dyDescent="0.25">
      <c r="A659" s="56">
        <v>-33.4</v>
      </c>
      <c r="B659" s="56">
        <v>114.1</v>
      </c>
    </row>
    <row r="660" spans="1:2" x14ac:dyDescent="0.25">
      <c r="A660" s="56">
        <v>-34.95</v>
      </c>
      <c r="B660" s="56">
        <v>114.1</v>
      </c>
    </row>
    <row r="661" spans="1:2" x14ac:dyDescent="0.25">
      <c r="A661" s="56">
        <v>-34.95</v>
      </c>
      <c r="B661" s="56">
        <v>119.8</v>
      </c>
    </row>
    <row r="662" spans="1:2" x14ac:dyDescent="0.25">
      <c r="A662" s="56">
        <v>-36.45</v>
      </c>
      <c r="B662" s="56">
        <v>119.8</v>
      </c>
    </row>
    <row r="663" spans="1:2" x14ac:dyDescent="0.25">
      <c r="A663" s="56">
        <v>-36.45</v>
      </c>
      <c r="B663" s="56">
        <v>113.6</v>
      </c>
    </row>
    <row r="664" spans="1:2" x14ac:dyDescent="0.25">
      <c r="A664" s="56">
        <v>-37.95</v>
      </c>
      <c r="B664" s="56">
        <v>113.6</v>
      </c>
    </row>
    <row r="665" spans="1:2" x14ac:dyDescent="0.25">
      <c r="A665" s="56">
        <v>-37.95</v>
      </c>
      <c r="B665" s="56">
        <v>118</v>
      </c>
    </row>
    <row r="666" spans="1:2" x14ac:dyDescent="0.25">
      <c r="A666" s="56">
        <v>-39.45</v>
      </c>
      <c r="B666" s="56">
        <v>118</v>
      </c>
    </row>
    <row r="667" spans="1:2" x14ac:dyDescent="0.25">
      <c r="A667" s="56">
        <v>-39.45</v>
      </c>
      <c r="B667" s="56">
        <v>116.4</v>
      </c>
    </row>
    <row r="668" spans="1:2" x14ac:dyDescent="0.25">
      <c r="A668" s="56">
        <v>-40.95</v>
      </c>
      <c r="B668" s="56">
        <v>116.4</v>
      </c>
    </row>
    <row r="669" spans="1:2" x14ac:dyDescent="0.25">
      <c r="A669" s="56">
        <v>-40.95</v>
      </c>
      <c r="B669" s="56">
        <v>121.6</v>
      </c>
    </row>
    <row r="670" spans="1:2" x14ac:dyDescent="0.25">
      <c r="A670" s="56">
        <v>-42.35</v>
      </c>
      <c r="B670" s="56">
        <v>121.6</v>
      </c>
    </row>
    <row r="671" spans="1:2" x14ac:dyDescent="0.25">
      <c r="A671" s="56">
        <v>-42.35</v>
      </c>
      <c r="B671" s="56">
        <v>119.5</v>
      </c>
    </row>
    <row r="672" spans="1:2" x14ac:dyDescent="0.25">
      <c r="A672" s="56">
        <v>-43.95</v>
      </c>
      <c r="B672" s="56">
        <v>119.5</v>
      </c>
    </row>
    <row r="673" spans="1:2" x14ac:dyDescent="0.25">
      <c r="A673" s="56">
        <v>-43.95</v>
      </c>
      <c r="B673" s="56">
        <v>118</v>
      </c>
    </row>
    <row r="674" spans="1:2" x14ac:dyDescent="0.25">
      <c r="A674" s="56">
        <v>-45.45</v>
      </c>
      <c r="B674" s="56">
        <v>118</v>
      </c>
    </row>
    <row r="675" spans="1:2" x14ac:dyDescent="0.25">
      <c r="A675" s="56">
        <v>-45.45</v>
      </c>
      <c r="B675" s="56">
        <v>118.9</v>
      </c>
    </row>
    <row r="676" spans="1:2" x14ac:dyDescent="0.25">
      <c r="A676" s="56">
        <v>-46.95</v>
      </c>
      <c r="B676" s="56">
        <v>118.9</v>
      </c>
    </row>
    <row r="677" spans="1:2" x14ac:dyDescent="0.25">
      <c r="A677" s="56">
        <v>-46.95</v>
      </c>
      <c r="B677" s="56">
        <v>122.2</v>
      </c>
    </row>
    <row r="678" spans="1:2" x14ac:dyDescent="0.25">
      <c r="A678" s="56">
        <v>-48.45</v>
      </c>
      <c r="B678" s="56">
        <v>122.2</v>
      </c>
    </row>
    <row r="679" spans="1:2" x14ac:dyDescent="0.25">
      <c r="A679" s="56">
        <v>-48.45</v>
      </c>
      <c r="B679" s="56">
        <v>121.4</v>
      </c>
    </row>
    <row r="680" spans="1:2" x14ac:dyDescent="0.25">
      <c r="A680" s="56">
        <v>-49.95</v>
      </c>
      <c r="B680" s="56">
        <v>121.4</v>
      </c>
    </row>
    <row r="681" spans="1:2" x14ac:dyDescent="0.25">
      <c r="A681" s="56">
        <v>-49.95</v>
      </c>
      <c r="B681" s="56">
        <v>119</v>
      </c>
    </row>
    <row r="682" spans="1:2" x14ac:dyDescent="0.25">
      <c r="A682" s="56">
        <v>-51.45</v>
      </c>
      <c r="B682" s="56">
        <v>119</v>
      </c>
    </row>
    <row r="683" spans="1:2" x14ac:dyDescent="0.25">
      <c r="A683" s="56">
        <v>-51.45</v>
      </c>
      <c r="B683" s="56">
        <v>121.4</v>
      </c>
    </row>
    <row r="684" spans="1:2" x14ac:dyDescent="0.25">
      <c r="A684" s="56">
        <v>-52.95</v>
      </c>
      <c r="B684" s="56">
        <v>121.4</v>
      </c>
    </row>
    <row r="685" spans="1:2" x14ac:dyDescent="0.25">
      <c r="A685" s="56">
        <v>-52.95</v>
      </c>
      <c r="B685" s="56">
        <v>121.1</v>
      </c>
    </row>
    <row r="686" spans="1:2" x14ac:dyDescent="0.25">
      <c r="A686" s="56">
        <v>-54.45</v>
      </c>
      <c r="B686" s="56">
        <v>121.1</v>
      </c>
    </row>
    <row r="687" spans="1:2" x14ac:dyDescent="0.25">
      <c r="A687" s="56">
        <v>-54.45</v>
      </c>
      <c r="B687" s="56">
        <v>119.2</v>
      </c>
    </row>
    <row r="688" spans="1:2" x14ac:dyDescent="0.25">
      <c r="A688" s="56">
        <v>-55.95</v>
      </c>
      <c r="B688" s="56">
        <v>119.2</v>
      </c>
    </row>
    <row r="689" spans="1:2" x14ac:dyDescent="0.25">
      <c r="A689" s="56">
        <v>-55.95</v>
      </c>
      <c r="B689" s="56">
        <v>120.6</v>
      </c>
    </row>
    <row r="690" spans="1:2" x14ac:dyDescent="0.25">
      <c r="A690" s="56">
        <v>-57.45</v>
      </c>
      <c r="B690" s="56">
        <v>120.6</v>
      </c>
    </row>
    <row r="691" spans="1:2" x14ac:dyDescent="0.25">
      <c r="A691" s="56">
        <v>-57.45</v>
      </c>
      <c r="B691" s="56">
        <v>122</v>
      </c>
    </row>
    <row r="692" spans="1:2" x14ac:dyDescent="0.25">
      <c r="A692" s="56">
        <v>-58.95</v>
      </c>
      <c r="B692" s="56">
        <v>122</v>
      </c>
    </row>
    <row r="693" spans="1:2" x14ac:dyDescent="0.25">
      <c r="A693" s="56">
        <v>-58.95</v>
      </c>
      <c r="B693" s="56">
        <v>116.7</v>
      </c>
    </row>
    <row r="694" spans="1:2" x14ac:dyDescent="0.25">
      <c r="A694" s="56">
        <v>-60.45</v>
      </c>
      <c r="B694" s="56">
        <v>116.7</v>
      </c>
    </row>
    <row r="695" spans="1:2" x14ac:dyDescent="0.25">
      <c r="A695" s="56">
        <v>-60.45</v>
      </c>
      <c r="B695" s="56">
        <v>118.7</v>
      </c>
    </row>
    <row r="696" spans="1:2" x14ac:dyDescent="0.25">
      <c r="A696" s="56">
        <v>-61.95</v>
      </c>
      <c r="B696" s="56">
        <v>118.7</v>
      </c>
    </row>
    <row r="697" spans="1:2" x14ac:dyDescent="0.25">
      <c r="A697" s="56">
        <v>-61.95</v>
      </c>
      <c r="B697" s="56">
        <v>115.7</v>
      </c>
    </row>
    <row r="698" spans="1:2" x14ac:dyDescent="0.25">
      <c r="A698" s="56">
        <v>-63.45</v>
      </c>
      <c r="B698" s="56">
        <v>115.7</v>
      </c>
    </row>
    <row r="699" spans="1:2" x14ac:dyDescent="0.25">
      <c r="A699" s="56">
        <v>-63.45</v>
      </c>
      <c r="B699" s="56">
        <v>117.9</v>
      </c>
    </row>
    <row r="700" spans="1:2" x14ac:dyDescent="0.25">
      <c r="A700" s="56">
        <v>-64.95</v>
      </c>
      <c r="B700" s="56">
        <v>117.9</v>
      </c>
    </row>
    <row r="701" spans="1:2" x14ac:dyDescent="0.25">
      <c r="A701" s="56">
        <v>-64.95</v>
      </c>
      <c r="B701" s="56">
        <v>117.3</v>
      </c>
    </row>
    <row r="702" spans="1:2" x14ac:dyDescent="0.25">
      <c r="A702" s="56">
        <v>-66.45</v>
      </c>
      <c r="B702" s="56">
        <v>117.3</v>
      </c>
    </row>
    <row r="703" spans="1:2" x14ac:dyDescent="0.25">
      <c r="A703" s="56">
        <v>-66.45</v>
      </c>
      <c r="B703" s="56">
        <v>118.8</v>
      </c>
    </row>
    <row r="704" spans="1:2" x14ac:dyDescent="0.25">
      <c r="A704" s="56">
        <v>-67.95</v>
      </c>
      <c r="B704" s="56">
        <v>118.8</v>
      </c>
    </row>
    <row r="705" spans="1:2" x14ac:dyDescent="0.25">
      <c r="A705" s="56">
        <v>-67.95</v>
      </c>
      <c r="B705" s="56">
        <v>119.4</v>
      </c>
    </row>
    <row r="706" spans="1:2" x14ac:dyDescent="0.25">
      <c r="A706" s="56">
        <v>-69.45</v>
      </c>
      <c r="B706" s="56">
        <v>119.4</v>
      </c>
    </row>
    <row r="707" spans="1:2" x14ac:dyDescent="0.25">
      <c r="A707" s="56">
        <v>-69.45</v>
      </c>
      <c r="B707" s="56">
        <v>120.8</v>
      </c>
    </row>
    <row r="708" spans="1:2" x14ac:dyDescent="0.25">
      <c r="A708" s="56">
        <v>-70.95</v>
      </c>
      <c r="B708" s="56">
        <v>120.8</v>
      </c>
    </row>
    <row r="709" spans="1:2" x14ac:dyDescent="0.25">
      <c r="A709" s="56">
        <v>-70.95</v>
      </c>
      <c r="B709" s="56">
        <v>120.1</v>
      </c>
    </row>
    <row r="710" spans="1:2" x14ac:dyDescent="0.25">
      <c r="A710" s="56">
        <v>-72.45</v>
      </c>
      <c r="B710" s="56">
        <v>120.1</v>
      </c>
    </row>
    <row r="711" spans="1:2" x14ac:dyDescent="0.25">
      <c r="A711" s="56">
        <v>-72.45</v>
      </c>
      <c r="B711" s="56">
        <v>120</v>
      </c>
    </row>
    <row r="712" spans="1:2" x14ac:dyDescent="0.25">
      <c r="A712" s="56">
        <v>-73.95</v>
      </c>
      <c r="B712" s="56">
        <v>120</v>
      </c>
    </row>
    <row r="713" spans="1:2" x14ac:dyDescent="0.25">
      <c r="A713" s="56">
        <v>-73.95</v>
      </c>
      <c r="B713" s="56">
        <v>117.8</v>
      </c>
    </row>
    <row r="714" spans="1:2" x14ac:dyDescent="0.25">
      <c r="A714" s="56">
        <v>-75.45</v>
      </c>
      <c r="B714" s="56">
        <v>117.8</v>
      </c>
    </row>
    <row r="715" spans="1:2" x14ac:dyDescent="0.25">
      <c r="A715" s="56">
        <v>-75.45</v>
      </c>
      <c r="B715" s="56">
        <v>120.5</v>
      </c>
    </row>
    <row r="716" spans="1:2" x14ac:dyDescent="0.25">
      <c r="A716" s="56">
        <v>-76.95</v>
      </c>
      <c r="B716" s="56">
        <v>120.5</v>
      </c>
    </row>
    <row r="717" spans="1:2" x14ac:dyDescent="0.25">
      <c r="A717" s="56">
        <v>-76.95</v>
      </c>
      <c r="B717" s="56">
        <v>119.6</v>
      </c>
    </row>
    <row r="718" spans="1:2" x14ac:dyDescent="0.25">
      <c r="A718" s="56">
        <v>-78.45</v>
      </c>
      <c r="B718" s="56">
        <v>119.6</v>
      </c>
    </row>
    <row r="719" spans="1:2" x14ac:dyDescent="0.25">
      <c r="A719" s="56">
        <v>-78.45</v>
      </c>
      <c r="B719" s="56">
        <v>120</v>
      </c>
    </row>
    <row r="720" spans="1:2" x14ac:dyDescent="0.25">
      <c r="A720" s="56">
        <v>-79.95</v>
      </c>
      <c r="B720" s="56">
        <v>120</v>
      </c>
    </row>
    <row r="721" spans="1:2" x14ac:dyDescent="0.25">
      <c r="A721" s="56">
        <v>-79.95</v>
      </c>
      <c r="B721" s="56">
        <v>119</v>
      </c>
    </row>
    <row r="722" spans="1:2" x14ac:dyDescent="0.25">
      <c r="A722" s="56">
        <v>-81.45</v>
      </c>
      <c r="B722" s="56">
        <v>119</v>
      </c>
    </row>
    <row r="723" spans="1:2" x14ac:dyDescent="0.25">
      <c r="A723" s="56">
        <v>-81.45</v>
      </c>
      <c r="B723" s="56">
        <v>118.4</v>
      </c>
    </row>
    <row r="724" spans="1:2" x14ac:dyDescent="0.25">
      <c r="A724" s="56">
        <v>-82.95</v>
      </c>
      <c r="B724" s="56">
        <v>118.4</v>
      </c>
    </row>
    <row r="725" spans="1:2" x14ac:dyDescent="0.25">
      <c r="A725" s="56">
        <v>-82.95</v>
      </c>
      <c r="B725" s="56">
        <v>117.7</v>
      </c>
    </row>
    <row r="726" spans="1:2" x14ac:dyDescent="0.25">
      <c r="A726" s="56">
        <v>-84.45</v>
      </c>
      <c r="B726" s="56">
        <v>117.7</v>
      </c>
    </row>
    <row r="727" spans="1:2" x14ac:dyDescent="0.25">
      <c r="A727" s="56">
        <v>-84.45</v>
      </c>
      <c r="B727" s="56">
        <v>117.9</v>
      </c>
    </row>
    <row r="728" spans="1:2" x14ac:dyDescent="0.25">
      <c r="A728" s="56">
        <v>-85.95</v>
      </c>
      <c r="B728" s="56">
        <v>117.9</v>
      </c>
    </row>
    <row r="729" spans="1:2" x14ac:dyDescent="0.25">
      <c r="A729" s="56">
        <v>-85.95</v>
      </c>
      <c r="B729" s="56">
        <v>119.5</v>
      </c>
    </row>
    <row r="730" spans="1:2" x14ac:dyDescent="0.25">
      <c r="A730" s="56">
        <v>-87.45</v>
      </c>
      <c r="B730" s="56">
        <v>119.5</v>
      </c>
    </row>
    <row r="731" spans="1:2" x14ac:dyDescent="0.25">
      <c r="A731" s="56">
        <v>-87.45</v>
      </c>
      <c r="B731" s="56">
        <v>116.9</v>
      </c>
    </row>
    <row r="732" spans="1:2" x14ac:dyDescent="0.25">
      <c r="A732" s="56">
        <v>-88.95</v>
      </c>
      <c r="B732" s="56">
        <v>116.9</v>
      </c>
    </row>
    <row r="733" spans="1:2" x14ac:dyDescent="0.25">
      <c r="A733" s="56">
        <v>-88.95</v>
      </c>
      <c r="B733" s="56">
        <v>118.8</v>
      </c>
    </row>
    <row r="734" spans="1:2" x14ac:dyDescent="0.25">
      <c r="A734" s="56">
        <v>-90.45</v>
      </c>
      <c r="B734" s="56">
        <v>118.8</v>
      </c>
    </row>
    <row r="735" spans="1:2" x14ac:dyDescent="0.25">
      <c r="A735" s="56">
        <v>-90.45</v>
      </c>
      <c r="B735" s="56">
        <v>119.2</v>
      </c>
    </row>
    <row r="736" spans="1:2" x14ac:dyDescent="0.25">
      <c r="A736" s="56">
        <v>-91.95</v>
      </c>
      <c r="B736" s="56">
        <v>119.2</v>
      </c>
    </row>
    <row r="737" spans="1:2" x14ac:dyDescent="0.25">
      <c r="A737" s="56">
        <v>-91.95</v>
      </c>
      <c r="B737" s="56">
        <v>121.2</v>
      </c>
    </row>
    <row r="738" spans="1:2" x14ac:dyDescent="0.25">
      <c r="A738" s="56">
        <v>-93.45</v>
      </c>
      <c r="B738" s="56">
        <v>121.2</v>
      </c>
    </row>
    <row r="739" spans="1:2" x14ac:dyDescent="0.25">
      <c r="A739" s="56">
        <v>-93.45</v>
      </c>
      <c r="B739" s="56">
        <v>122</v>
      </c>
    </row>
    <row r="740" spans="1:2" x14ac:dyDescent="0.25">
      <c r="A740" s="56">
        <v>-94.95</v>
      </c>
      <c r="B740" s="56">
        <v>122</v>
      </c>
    </row>
    <row r="741" spans="1:2" x14ac:dyDescent="0.25">
      <c r="A741" s="56">
        <v>-94.95</v>
      </c>
      <c r="B741" s="56">
        <v>121.6</v>
      </c>
    </row>
    <row r="742" spans="1:2" x14ac:dyDescent="0.25">
      <c r="A742" s="56">
        <v>-96.45</v>
      </c>
      <c r="B742" s="56">
        <v>121.6</v>
      </c>
    </row>
    <row r="743" spans="1:2" x14ac:dyDescent="0.25">
      <c r="A743" s="56">
        <v>-96.45</v>
      </c>
      <c r="B743" s="56">
        <v>115.7</v>
      </c>
    </row>
    <row r="744" spans="1:2" x14ac:dyDescent="0.25">
      <c r="A744" s="56">
        <v>-97.95</v>
      </c>
      <c r="B744" s="56">
        <v>115.7</v>
      </c>
    </row>
    <row r="745" spans="1:2" x14ac:dyDescent="0.25">
      <c r="A745" s="56">
        <v>-97.95</v>
      </c>
      <c r="B745" s="56">
        <v>118</v>
      </c>
    </row>
    <row r="746" spans="1:2" x14ac:dyDescent="0.25">
      <c r="A746" s="56">
        <v>-99.45</v>
      </c>
      <c r="B746" s="56">
        <v>118</v>
      </c>
    </row>
    <row r="747" spans="1:2" x14ac:dyDescent="0.25">
      <c r="A747" s="56">
        <v>-99.45</v>
      </c>
      <c r="B747" s="56">
        <v>116.6</v>
      </c>
    </row>
    <row r="748" spans="1:2" x14ac:dyDescent="0.25">
      <c r="A748" s="56">
        <v>-100.95</v>
      </c>
      <c r="B748" s="56">
        <v>116.6</v>
      </c>
    </row>
    <row r="749" spans="1:2" x14ac:dyDescent="0.25">
      <c r="A749" s="56">
        <v>-100.95</v>
      </c>
      <c r="B749" s="56">
        <v>118.8</v>
      </c>
    </row>
    <row r="750" spans="1:2" x14ac:dyDescent="0.25">
      <c r="A750" s="56">
        <v>-102.45</v>
      </c>
      <c r="B750" s="56">
        <v>118.8</v>
      </c>
    </row>
    <row r="751" spans="1:2" x14ac:dyDescent="0.25">
      <c r="A751" s="56">
        <v>-102.45</v>
      </c>
      <c r="B751" s="56">
        <v>117.6</v>
      </c>
    </row>
    <row r="752" spans="1:2" x14ac:dyDescent="0.25">
      <c r="A752" s="56">
        <v>-103.95</v>
      </c>
      <c r="B752" s="56">
        <v>117.6</v>
      </c>
    </row>
    <row r="753" spans="1:2" x14ac:dyDescent="0.25">
      <c r="A753" s="56">
        <v>-103.95</v>
      </c>
      <c r="B753" s="56">
        <v>113.8</v>
      </c>
    </row>
    <row r="754" spans="1:2" x14ac:dyDescent="0.25">
      <c r="A754" s="56">
        <v>-105.55</v>
      </c>
      <c r="B754" s="56">
        <v>113.8</v>
      </c>
    </row>
    <row r="755" spans="1:2" x14ac:dyDescent="0.25">
      <c r="A755" s="56">
        <v>-105.55</v>
      </c>
      <c r="B755" s="56">
        <v>117.5</v>
      </c>
    </row>
    <row r="756" spans="1:2" x14ac:dyDescent="0.25">
      <c r="A756" s="56">
        <v>-106.4</v>
      </c>
      <c r="B756" s="56">
        <v>117.5</v>
      </c>
    </row>
    <row r="757" spans="1:2" x14ac:dyDescent="0.25">
      <c r="A757" s="56">
        <v>-106.4</v>
      </c>
      <c r="B757" s="56">
        <v>119.7</v>
      </c>
    </row>
    <row r="758" spans="1:2" x14ac:dyDescent="0.25">
      <c r="A758" s="56">
        <v>-108.45</v>
      </c>
      <c r="B758" s="56">
        <v>119.7</v>
      </c>
    </row>
    <row r="759" spans="1:2" x14ac:dyDescent="0.25">
      <c r="A759" s="56">
        <v>-108.45</v>
      </c>
      <c r="B759" s="56">
        <v>120.3</v>
      </c>
    </row>
    <row r="760" spans="1:2" x14ac:dyDescent="0.25">
      <c r="A760" s="56">
        <v>-111.45</v>
      </c>
      <c r="B760" s="56">
        <v>120.3</v>
      </c>
    </row>
    <row r="761" spans="1:2" x14ac:dyDescent="0.25">
      <c r="A761" s="56">
        <v>-111.45</v>
      </c>
      <c r="B761" s="56">
        <v>121.2</v>
      </c>
    </row>
    <row r="762" spans="1:2" x14ac:dyDescent="0.25">
      <c r="A762" s="56">
        <v>-114.45</v>
      </c>
      <c r="B762" s="56">
        <v>121.2</v>
      </c>
    </row>
    <row r="763" spans="1:2" x14ac:dyDescent="0.25">
      <c r="A763" s="56">
        <v>-114.45</v>
      </c>
      <c r="B763" s="56">
        <v>119.5</v>
      </c>
    </row>
    <row r="764" spans="1:2" x14ac:dyDescent="0.25">
      <c r="A764" s="56">
        <v>-117.45</v>
      </c>
      <c r="B764" s="56">
        <v>119.5</v>
      </c>
    </row>
    <row r="765" spans="1:2" x14ac:dyDescent="0.25">
      <c r="A765" s="56">
        <v>-117.45</v>
      </c>
      <c r="B765" s="56">
        <v>113.6</v>
      </c>
    </row>
    <row r="766" spans="1:2" x14ac:dyDescent="0.25">
      <c r="A766" s="56">
        <v>-120.45</v>
      </c>
      <c r="B766" s="56">
        <v>113.6</v>
      </c>
    </row>
    <row r="767" spans="1:2" x14ac:dyDescent="0.25">
      <c r="A767" s="56">
        <v>-120.45</v>
      </c>
      <c r="B767" s="56">
        <v>119.5</v>
      </c>
    </row>
    <row r="768" spans="1:2" x14ac:dyDescent="0.25">
      <c r="A768" s="56">
        <v>-123.45</v>
      </c>
      <c r="B768" s="56">
        <v>119.5</v>
      </c>
    </row>
    <row r="769" spans="1:2" x14ac:dyDescent="0.25">
      <c r="A769" s="56">
        <v>-123.45</v>
      </c>
      <c r="B769" s="56">
        <v>120</v>
      </c>
    </row>
    <row r="770" spans="1:2" x14ac:dyDescent="0.25">
      <c r="A770" s="56">
        <v>-126.45</v>
      </c>
      <c r="B770" s="56">
        <v>120</v>
      </c>
    </row>
    <row r="771" spans="1:2" x14ac:dyDescent="0.25">
      <c r="A771" s="56">
        <v>-126.45</v>
      </c>
      <c r="B771" s="56">
        <v>119</v>
      </c>
    </row>
    <row r="772" spans="1:2" x14ac:dyDescent="0.25">
      <c r="A772" s="56">
        <v>-129.45</v>
      </c>
      <c r="B772" s="56">
        <v>119</v>
      </c>
    </row>
    <row r="773" spans="1:2" x14ac:dyDescent="0.25">
      <c r="A773" s="56">
        <v>-129.45</v>
      </c>
      <c r="B773" s="56">
        <v>119.6</v>
      </c>
    </row>
    <row r="774" spans="1:2" x14ac:dyDescent="0.25">
      <c r="A774" s="56">
        <v>-132.45</v>
      </c>
      <c r="B774" s="56">
        <v>119.6</v>
      </c>
    </row>
    <row r="775" spans="1:2" x14ac:dyDescent="0.25">
      <c r="A775" s="56">
        <v>-132.45</v>
      </c>
      <c r="B775" s="56">
        <v>121.8</v>
      </c>
    </row>
    <row r="776" spans="1:2" x14ac:dyDescent="0.25">
      <c r="A776" s="56">
        <v>-135.45</v>
      </c>
      <c r="B776" s="56">
        <v>121.8</v>
      </c>
    </row>
    <row r="777" spans="1:2" x14ac:dyDescent="0.25">
      <c r="A777" s="56">
        <v>-135.45</v>
      </c>
      <c r="B777" s="56">
        <v>121.1</v>
      </c>
    </row>
    <row r="778" spans="1:2" x14ac:dyDescent="0.25">
      <c r="A778" s="56">
        <v>-138.45</v>
      </c>
      <c r="B778" s="56">
        <v>121.1</v>
      </c>
    </row>
    <row r="779" spans="1:2" x14ac:dyDescent="0.25">
      <c r="A779" s="56">
        <v>-138.45</v>
      </c>
      <c r="B779" s="56">
        <v>121</v>
      </c>
    </row>
    <row r="780" spans="1:2" x14ac:dyDescent="0.25">
      <c r="A780" s="56">
        <v>-141.45</v>
      </c>
      <c r="B780" s="56">
        <v>121</v>
      </c>
    </row>
    <row r="781" spans="1:2" x14ac:dyDescent="0.25">
      <c r="A781" s="56">
        <v>-141.45</v>
      </c>
      <c r="B781" s="56">
        <v>121.2</v>
      </c>
    </row>
    <row r="782" spans="1:2" x14ac:dyDescent="0.25">
      <c r="A782" s="56">
        <v>-144.45</v>
      </c>
      <c r="B782" s="56">
        <v>121.2</v>
      </c>
    </row>
    <row r="783" spans="1:2" x14ac:dyDescent="0.25">
      <c r="A783" s="56">
        <v>-144.45</v>
      </c>
      <c r="B783" s="56">
        <v>117.2</v>
      </c>
    </row>
    <row r="784" spans="1:2" x14ac:dyDescent="0.25">
      <c r="A784" s="56">
        <v>-147.45</v>
      </c>
      <c r="B784" s="56">
        <v>117.2</v>
      </c>
    </row>
    <row r="785" spans="1:2" x14ac:dyDescent="0.25">
      <c r="A785" s="56">
        <v>-147.45</v>
      </c>
      <c r="B785" s="56">
        <v>119.6</v>
      </c>
    </row>
    <row r="786" spans="1:2" x14ac:dyDescent="0.25">
      <c r="A786" s="56">
        <v>-150.45</v>
      </c>
      <c r="B786" s="56">
        <v>119.6</v>
      </c>
    </row>
    <row r="787" spans="1:2" x14ac:dyDescent="0.25">
      <c r="A787" s="56">
        <v>-150.45</v>
      </c>
      <c r="B787" s="56">
        <v>118.6</v>
      </c>
    </row>
    <row r="788" spans="1:2" x14ac:dyDescent="0.25">
      <c r="A788" s="56">
        <v>-153.45</v>
      </c>
      <c r="B788" s="56">
        <v>118.6</v>
      </c>
    </row>
    <row r="789" spans="1:2" x14ac:dyDescent="0.25">
      <c r="A789" s="56">
        <v>-153.45</v>
      </c>
      <c r="B789" s="56">
        <v>120.9</v>
      </c>
    </row>
    <row r="790" spans="1:2" x14ac:dyDescent="0.25">
      <c r="A790" s="56">
        <v>-155.15</v>
      </c>
      <c r="B790" s="56">
        <v>120.9</v>
      </c>
    </row>
    <row r="791" spans="1:2" x14ac:dyDescent="0.25">
      <c r="A791" s="56">
        <v>-155.15</v>
      </c>
      <c r="B791" s="56">
        <v>121.1</v>
      </c>
    </row>
    <row r="792" spans="1:2" x14ac:dyDescent="0.25">
      <c r="A792" s="56">
        <v>-157.85</v>
      </c>
      <c r="B792" s="56">
        <v>121.1</v>
      </c>
    </row>
    <row r="793" spans="1:2" x14ac:dyDescent="0.25">
      <c r="A793" s="56">
        <v>-157.85</v>
      </c>
      <c r="B793" s="56">
        <v>122.3</v>
      </c>
    </row>
    <row r="794" spans="1:2" x14ac:dyDescent="0.25">
      <c r="A794" s="56">
        <v>-160.95</v>
      </c>
      <c r="B794" s="56">
        <v>122.3</v>
      </c>
    </row>
    <row r="795" spans="1:2" x14ac:dyDescent="0.25">
      <c r="A795" s="56">
        <v>-160.95</v>
      </c>
      <c r="B795" s="56">
        <v>121.6</v>
      </c>
    </row>
    <row r="796" spans="1:2" x14ac:dyDescent="0.25">
      <c r="A796" s="56">
        <v>-163.95</v>
      </c>
      <c r="B796" s="56">
        <v>121.6</v>
      </c>
    </row>
    <row r="797" spans="1:2" x14ac:dyDescent="0.25">
      <c r="A797" s="56">
        <v>-163.95</v>
      </c>
      <c r="B797" s="56">
        <v>121.6</v>
      </c>
    </row>
    <row r="798" spans="1:2" x14ac:dyDescent="0.25">
      <c r="A798" s="56">
        <v>-166.95</v>
      </c>
      <c r="B798" s="56">
        <v>121.6</v>
      </c>
    </row>
    <row r="799" spans="1:2" x14ac:dyDescent="0.25">
      <c r="A799" s="56">
        <v>-166.95</v>
      </c>
      <c r="B799" s="56">
        <v>122</v>
      </c>
    </row>
    <row r="800" spans="1:2" x14ac:dyDescent="0.25">
      <c r="A800" s="56">
        <v>-169.95</v>
      </c>
      <c r="B800" s="56">
        <v>122</v>
      </c>
    </row>
    <row r="801" spans="1:2" x14ac:dyDescent="0.25">
      <c r="A801" s="56">
        <v>-169.95</v>
      </c>
      <c r="B801" s="56">
        <v>122</v>
      </c>
    </row>
    <row r="802" spans="1:2" x14ac:dyDescent="0.25">
      <c r="A802" s="56">
        <v>-172.95</v>
      </c>
      <c r="B802" s="56">
        <v>122</v>
      </c>
    </row>
    <row r="803" spans="1:2" x14ac:dyDescent="0.25">
      <c r="A803" s="56">
        <v>-172.95</v>
      </c>
      <c r="B803" s="56">
        <v>120.5</v>
      </c>
    </row>
    <row r="804" spans="1:2" x14ac:dyDescent="0.25">
      <c r="A804" s="56">
        <v>-175.95</v>
      </c>
      <c r="B804" s="56">
        <v>120.5</v>
      </c>
    </row>
    <row r="805" spans="1:2" x14ac:dyDescent="0.25">
      <c r="A805" s="56">
        <v>-175.95</v>
      </c>
      <c r="B805" s="56">
        <v>119.9</v>
      </c>
    </row>
    <row r="806" spans="1:2" x14ac:dyDescent="0.25">
      <c r="A806" s="56">
        <v>-178.95</v>
      </c>
      <c r="B806" s="56">
        <v>119.9</v>
      </c>
    </row>
    <row r="807" spans="1:2" x14ac:dyDescent="0.25">
      <c r="A807" s="56">
        <v>-178.95</v>
      </c>
      <c r="B807" s="56">
        <v>121.4</v>
      </c>
    </row>
    <row r="808" spans="1:2" x14ac:dyDescent="0.25">
      <c r="A808" s="56">
        <v>-181.95</v>
      </c>
      <c r="B808" s="56">
        <v>121.4</v>
      </c>
    </row>
    <row r="809" spans="1:2" x14ac:dyDescent="0.25">
      <c r="A809" s="56">
        <v>-181.95</v>
      </c>
      <c r="B809" s="56">
        <v>121.4</v>
      </c>
    </row>
    <row r="810" spans="1:2" x14ac:dyDescent="0.25">
      <c r="A810" s="56">
        <v>-184.95</v>
      </c>
      <c r="B810" s="56">
        <v>121.4</v>
      </c>
    </row>
    <row r="811" spans="1:2" x14ac:dyDescent="0.25">
      <c r="A811" s="56">
        <v>-184.95</v>
      </c>
      <c r="B811" s="56">
        <v>120.5</v>
      </c>
    </row>
    <row r="812" spans="1:2" x14ac:dyDescent="0.25">
      <c r="A812" s="56">
        <v>-187.95</v>
      </c>
      <c r="B812" s="56">
        <v>120.5</v>
      </c>
    </row>
    <row r="813" spans="1:2" x14ac:dyDescent="0.25">
      <c r="A813" s="56">
        <v>-187.95</v>
      </c>
      <c r="B813" s="56">
        <v>120.8</v>
      </c>
    </row>
    <row r="814" spans="1:2" x14ac:dyDescent="0.25">
      <c r="A814" s="56">
        <v>-190.95</v>
      </c>
      <c r="B814" s="56">
        <v>120.8</v>
      </c>
    </row>
    <row r="815" spans="1:2" x14ac:dyDescent="0.25">
      <c r="A815" s="56">
        <v>-190.95</v>
      </c>
      <c r="B815" s="56">
        <v>116.9</v>
      </c>
    </row>
    <row r="816" spans="1:2" x14ac:dyDescent="0.25">
      <c r="A816" s="56">
        <v>-193.95</v>
      </c>
      <c r="B816" s="56">
        <v>116.9</v>
      </c>
    </row>
    <row r="817" spans="1:2" x14ac:dyDescent="0.25">
      <c r="A817" s="56">
        <v>-193.95</v>
      </c>
      <c r="B817" s="56">
        <v>117.3</v>
      </c>
    </row>
    <row r="818" spans="1:2" x14ac:dyDescent="0.25">
      <c r="A818" s="56">
        <v>-196.95</v>
      </c>
      <c r="B818" s="56">
        <v>117.3</v>
      </c>
    </row>
    <row r="819" spans="1:2" x14ac:dyDescent="0.25">
      <c r="A819" s="56">
        <v>-196.95</v>
      </c>
      <c r="B819" s="56">
        <v>117.2</v>
      </c>
    </row>
    <row r="820" spans="1:2" x14ac:dyDescent="0.25">
      <c r="A820" s="56">
        <v>-199.95</v>
      </c>
      <c r="B820" s="56">
        <v>117.2</v>
      </c>
    </row>
    <row r="821" spans="1:2" x14ac:dyDescent="0.25">
      <c r="A821" s="56">
        <v>-199.95</v>
      </c>
      <c r="B821" s="56">
        <v>119.9</v>
      </c>
    </row>
    <row r="822" spans="1:2" x14ac:dyDescent="0.25">
      <c r="A822" s="56">
        <v>-202.95</v>
      </c>
      <c r="B822" s="56">
        <v>119.9</v>
      </c>
    </row>
    <row r="823" spans="1:2" x14ac:dyDescent="0.25">
      <c r="A823" s="56">
        <v>-202.95</v>
      </c>
      <c r="B823" s="56">
        <v>117.1</v>
      </c>
    </row>
    <row r="824" spans="1:2" x14ac:dyDescent="0.25">
      <c r="A824" s="56">
        <v>-205.95</v>
      </c>
      <c r="B824" s="56">
        <v>117.1</v>
      </c>
    </row>
    <row r="825" spans="1:2" x14ac:dyDescent="0.25">
      <c r="A825" s="56">
        <v>-205.95</v>
      </c>
      <c r="B825" s="56">
        <v>117.1</v>
      </c>
    </row>
    <row r="826" spans="1:2" x14ac:dyDescent="0.25">
      <c r="A826" s="56">
        <v>-208.95</v>
      </c>
      <c r="B826" s="56">
        <v>117.1</v>
      </c>
    </row>
    <row r="827" spans="1:2" x14ac:dyDescent="0.25">
      <c r="A827" s="56">
        <v>-208.95</v>
      </c>
      <c r="B827" s="56">
        <v>113.8</v>
      </c>
    </row>
    <row r="828" spans="1:2" x14ac:dyDescent="0.25">
      <c r="A828" s="56">
        <v>-211.95</v>
      </c>
      <c r="B828" s="56">
        <v>113.8</v>
      </c>
    </row>
    <row r="829" spans="1:2" x14ac:dyDescent="0.25">
      <c r="A829" s="56">
        <v>-211.95</v>
      </c>
      <c r="B829" s="56">
        <v>116.7</v>
      </c>
    </row>
    <row r="830" spans="1:2" x14ac:dyDescent="0.25">
      <c r="A830" s="56">
        <v>-213.35</v>
      </c>
      <c r="B830" s="56">
        <v>116.7</v>
      </c>
    </row>
    <row r="831" spans="1:2" x14ac:dyDescent="0.25">
      <c r="A831" s="56">
        <v>-213.35</v>
      </c>
      <c r="B831" s="56">
        <v>116.7</v>
      </c>
    </row>
    <row r="832" spans="1:2" x14ac:dyDescent="0.25">
      <c r="A832" s="56">
        <v>-216.45</v>
      </c>
      <c r="B832" s="56">
        <v>116.7</v>
      </c>
    </row>
    <row r="833" spans="1:2" x14ac:dyDescent="0.25">
      <c r="A833" s="56">
        <v>-216.45</v>
      </c>
      <c r="B833" s="56">
        <v>115.5</v>
      </c>
    </row>
    <row r="834" spans="1:2" x14ac:dyDescent="0.25">
      <c r="A834" s="56">
        <v>-219.45</v>
      </c>
      <c r="B834" s="56">
        <v>115.5</v>
      </c>
    </row>
    <row r="835" spans="1:2" x14ac:dyDescent="0.25">
      <c r="A835" s="56">
        <v>-219.45</v>
      </c>
      <c r="B835" s="56">
        <v>121.1</v>
      </c>
    </row>
    <row r="836" spans="1:2" x14ac:dyDescent="0.25">
      <c r="A836" s="56">
        <v>-221.65</v>
      </c>
      <c r="B836" s="56">
        <v>121.1</v>
      </c>
    </row>
    <row r="837" spans="1:2" x14ac:dyDescent="0.25">
      <c r="A837" s="56">
        <v>-221.65</v>
      </c>
      <c r="B837" s="56">
        <v>114.4</v>
      </c>
    </row>
    <row r="838" spans="1:2" x14ac:dyDescent="0.25">
      <c r="A838" s="56">
        <v>-223.95</v>
      </c>
      <c r="B838" s="56">
        <v>114.4</v>
      </c>
    </row>
    <row r="839" spans="1:2" x14ac:dyDescent="0.25">
      <c r="A839" s="56">
        <v>-223.95</v>
      </c>
      <c r="B839" s="56">
        <v>117.4</v>
      </c>
    </row>
    <row r="840" spans="1:2" x14ac:dyDescent="0.25">
      <c r="A840" s="56">
        <v>-226.95</v>
      </c>
      <c r="B840" s="56">
        <v>117.4</v>
      </c>
    </row>
    <row r="841" spans="1:2" x14ac:dyDescent="0.25">
      <c r="A841" s="56">
        <v>-226.95</v>
      </c>
      <c r="B841" s="56">
        <v>115.9</v>
      </c>
    </row>
    <row r="842" spans="1:2" x14ac:dyDescent="0.25">
      <c r="A842" s="56">
        <v>-229.55</v>
      </c>
      <c r="B842" s="56">
        <v>115.9</v>
      </c>
    </row>
    <row r="843" spans="1:2" x14ac:dyDescent="0.25">
      <c r="A843" s="56">
        <v>-229.55</v>
      </c>
      <c r="B843" s="56">
        <v>115.7</v>
      </c>
    </row>
    <row r="844" spans="1:2" x14ac:dyDescent="0.25">
      <c r="A844" s="56">
        <v>-232.55</v>
      </c>
      <c r="B844" s="56">
        <v>115.7</v>
      </c>
    </row>
    <row r="845" spans="1:2" x14ac:dyDescent="0.25">
      <c r="A845" s="56">
        <v>-232.55</v>
      </c>
      <c r="B845" s="56">
        <v>115.3</v>
      </c>
    </row>
    <row r="846" spans="1:2" x14ac:dyDescent="0.25">
      <c r="A846" s="56">
        <v>-234.1</v>
      </c>
      <c r="B846" s="56">
        <v>115.3</v>
      </c>
    </row>
    <row r="847" spans="1:2" x14ac:dyDescent="0.25">
      <c r="A847" s="56">
        <v>-234.1</v>
      </c>
      <c r="B847" s="56">
        <v>118.2</v>
      </c>
    </row>
    <row r="848" spans="1:2" x14ac:dyDescent="0.25">
      <c r="A848" s="56">
        <v>-236.15</v>
      </c>
      <c r="B848" s="56">
        <v>118.2</v>
      </c>
    </row>
    <row r="849" spans="1:2" x14ac:dyDescent="0.25">
      <c r="A849" s="56">
        <v>-236.15</v>
      </c>
      <c r="B849" s="56">
        <v>115.8</v>
      </c>
    </row>
    <row r="850" spans="1:2" x14ac:dyDescent="0.25">
      <c r="A850" s="56">
        <v>-238.45</v>
      </c>
      <c r="B850" s="56">
        <v>115.8</v>
      </c>
    </row>
    <row r="851" spans="1:2" x14ac:dyDescent="0.25">
      <c r="A851" s="56">
        <v>-238.45</v>
      </c>
      <c r="B851" s="56">
        <v>113.9</v>
      </c>
    </row>
    <row r="852" spans="1:2" x14ac:dyDescent="0.25">
      <c r="A852" s="56">
        <v>-240.65</v>
      </c>
      <c r="B852" s="56">
        <v>113.9</v>
      </c>
    </row>
    <row r="853" spans="1:2" x14ac:dyDescent="0.25">
      <c r="A853" s="56">
        <v>-240.65</v>
      </c>
      <c r="B853" s="56">
        <v>120.3</v>
      </c>
    </row>
    <row r="854" spans="1:2" x14ac:dyDescent="0.25">
      <c r="A854" s="56">
        <v>-243.45</v>
      </c>
      <c r="B854" s="56">
        <v>120.3</v>
      </c>
    </row>
    <row r="855" spans="1:2" x14ac:dyDescent="0.25">
      <c r="A855" s="56">
        <v>-243.45</v>
      </c>
      <c r="B855" s="56">
        <v>117.2</v>
      </c>
    </row>
    <row r="856" spans="1:2" x14ac:dyDescent="0.25">
      <c r="A856" s="56">
        <v>-244.95</v>
      </c>
      <c r="B856" s="56">
        <v>117.2</v>
      </c>
    </row>
    <row r="857" spans="1:2" x14ac:dyDescent="0.25">
      <c r="A857" s="56">
        <v>-244.95</v>
      </c>
      <c r="B857" s="56">
        <v>117.6</v>
      </c>
    </row>
    <row r="858" spans="1:2" x14ac:dyDescent="0.25">
      <c r="A858" s="56">
        <v>-247.95</v>
      </c>
      <c r="B858" s="56">
        <v>117.6</v>
      </c>
    </row>
    <row r="859" spans="1:2" x14ac:dyDescent="0.25">
      <c r="A859" s="56">
        <v>-247.95</v>
      </c>
      <c r="B859" s="56">
        <v>114.9</v>
      </c>
    </row>
    <row r="860" spans="1:2" x14ac:dyDescent="0.25">
      <c r="A860" s="56">
        <v>-250.95</v>
      </c>
      <c r="B860" s="56">
        <v>114.9</v>
      </c>
    </row>
    <row r="861" spans="1:2" x14ac:dyDescent="0.25">
      <c r="A861" s="56">
        <v>-250.95</v>
      </c>
      <c r="B861" s="56">
        <v>113.2</v>
      </c>
    </row>
    <row r="862" spans="1:2" x14ac:dyDescent="0.25">
      <c r="A862" s="56">
        <v>-253.85</v>
      </c>
      <c r="B862" s="56">
        <v>113.2</v>
      </c>
    </row>
    <row r="863" spans="1:2" x14ac:dyDescent="0.25">
      <c r="A863" s="56">
        <v>-253.85</v>
      </c>
      <c r="B863" s="56">
        <v>117</v>
      </c>
    </row>
    <row r="864" spans="1:2" x14ac:dyDescent="0.25">
      <c r="A864" s="56">
        <v>-256.75</v>
      </c>
      <c r="B864" s="56">
        <v>117</v>
      </c>
    </row>
    <row r="865" spans="1:2" x14ac:dyDescent="0.25">
      <c r="A865" s="56">
        <v>-256.75</v>
      </c>
      <c r="B865" s="56">
        <v>115.4</v>
      </c>
    </row>
    <row r="866" spans="1:2" x14ac:dyDescent="0.25">
      <c r="A866" s="56">
        <v>-259.75</v>
      </c>
      <c r="B866" s="56">
        <v>115.4</v>
      </c>
    </row>
    <row r="867" spans="1:2" x14ac:dyDescent="0.25">
      <c r="A867" s="56">
        <v>-259.75</v>
      </c>
      <c r="B867" s="56">
        <v>112.9</v>
      </c>
    </row>
    <row r="868" spans="1:2" x14ac:dyDescent="0.25">
      <c r="A868" s="56">
        <v>-262.65</v>
      </c>
      <c r="B868" s="56">
        <v>112.9</v>
      </c>
    </row>
    <row r="869" spans="1:2" x14ac:dyDescent="0.25">
      <c r="A869" s="56">
        <v>-262.65</v>
      </c>
      <c r="B869" s="56">
        <v>113</v>
      </c>
    </row>
    <row r="870" spans="1:2" x14ac:dyDescent="0.25">
      <c r="A870" s="56">
        <v>-265.45</v>
      </c>
      <c r="B870" s="56">
        <v>113</v>
      </c>
    </row>
    <row r="871" spans="1:2" x14ac:dyDescent="0.25">
      <c r="A871" s="56">
        <v>-265.45</v>
      </c>
      <c r="B871" s="56">
        <v>114.7</v>
      </c>
    </row>
    <row r="872" spans="1:2" x14ac:dyDescent="0.25">
      <c r="A872" s="56">
        <v>-267.45</v>
      </c>
      <c r="B872" s="56">
        <v>114.7</v>
      </c>
    </row>
    <row r="873" spans="1:2" x14ac:dyDescent="0.25">
      <c r="A873" s="56">
        <v>-267.45</v>
      </c>
      <c r="B873" s="56">
        <v>122</v>
      </c>
    </row>
    <row r="874" spans="1:2" x14ac:dyDescent="0.25">
      <c r="A874" s="56">
        <v>-268.95</v>
      </c>
      <c r="B874" s="56">
        <v>122</v>
      </c>
    </row>
    <row r="875" spans="1:2" x14ac:dyDescent="0.25">
      <c r="A875" s="56">
        <v>-268.95</v>
      </c>
      <c r="B875" s="56">
        <v>121.2</v>
      </c>
    </row>
    <row r="876" spans="1:2" x14ac:dyDescent="0.25">
      <c r="A876" s="56">
        <v>-271.95</v>
      </c>
      <c r="B876" s="56">
        <v>121.2</v>
      </c>
    </row>
    <row r="877" spans="1:2" x14ac:dyDescent="0.25">
      <c r="A877" s="56">
        <v>-271.95</v>
      </c>
      <c r="B877" s="56">
        <v>117.7</v>
      </c>
    </row>
    <row r="878" spans="1:2" x14ac:dyDescent="0.25">
      <c r="A878" s="56">
        <v>-274.95</v>
      </c>
      <c r="B878" s="56">
        <v>117.7</v>
      </c>
    </row>
    <row r="879" spans="1:2" x14ac:dyDescent="0.25">
      <c r="A879" s="56">
        <v>-274.95</v>
      </c>
      <c r="B879" s="56">
        <v>118.5</v>
      </c>
    </row>
    <row r="880" spans="1:2" x14ac:dyDescent="0.25">
      <c r="A880" s="56">
        <v>-277.95</v>
      </c>
      <c r="B880" s="56">
        <v>118.5</v>
      </c>
    </row>
    <row r="881" spans="1:2" x14ac:dyDescent="0.25">
      <c r="A881" s="56">
        <v>-277.95</v>
      </c>
      <c r="B881" s="56">
        <v>116.3</v>
      </c>
    </row>
    <row r="882" spans="1:2" x14ac:dyDescent="0.25">
      <c r="A882" s="56">
        <v>-280.95</v>
      </c>
      <c r="B882" s="56">
        <v>116.3</v>
      </c>
    </row>
    <row r="883" spans="1:2" x14ac:dyDescent="0.25">
      <c r="A883" s="56">
        <v>-280.95</v>
      </c>
      <c r="B883" s="56">
        <v>119.1</v>
      </c>
    </row>
    <row r="884" spans="1:2" x14ac:dyDescent="0.25">
      <c r="A884" s="56">
        <v>-283.55</v>
      </c>
      <c r="B884" s="56">
        <v>119.1</v>
      </c>
    </row>
    <row r="885" spans="1:2" x14ac:dyDescent="0.25">
      <c r="A885" s="56">
        <v>-283.55</v>
      </c>
      <c r="B885" s="56">
        <v>114.7</v>
      </c>
    </row>
    <row r="886" spans="1:2" x14ac:dyDescent="0.25">
      <c r="A886" s="56">
        <v>-286.55</v>
      </c>
      <c r="B886" s="56">
        <v>114.7</v>
      </c>
    </row>
    <row r="887" spans="1:2" x14ac:dyDescent="0.25">
      <c r="A887" s="56">
        <v>-286.55</v>
      </c>
      <c r="B887" s="56">
        <v>118.8</v>
      </c>
    </row>
    <row r="888" spans="1:2" x14ac:dyDescent="0.25">
      <c r="A888" s="56">
        <v>-289.55</v>
      </c>
      <c r="B888" s="56">
        <v>118.8</v>
      </c>
    </row>
    <row r="889" spans="1:2" x14ac:dyDescent="0.25">
      <c r="A889" s="56">
        <v>-289.55</v>
      </c>
      <c r="B889" s="56">
        <v>117.2</v>
      </c>
    </row>
    <row r="890" spans="1:2" x14ac:dyDescent="0.25">
      <c r="A890" s="56">
        <v>-291.45</v>
      </c>
      <c r="B890" s="56">
        <v>117.2</v>
      </c>
    </row>
    <row r="891" spans="1:2" x14ac:dyDescent="0.25">
      <c r="A891" s="56">
        <v>-291.45</v>
      </c>
      <c r="B891" s="56">
        <v>116.1</v>
      </c>
    </row>
    <row r="892" spans="1:2" x14ac:dyDescent="0.25">
      <c r="A892" s="56">
        <v>-294.45</v>
      </c>
      <c r="B892" s="56">
        <v>116.1</v>
      </c>
    </row>
    <row r="893" spans="1:2" x14ac:dyDescent="0.25">
      <c r="A893" s="56">
        <v>-294.45</v>
      </c>
      <c r="B893" s="56">
        <v>118.7</v>
      </c>
    </row>
    <row r="894" spans="1:2" x14ac:dyDescent="0.25">
      <c r="A894" s="56">
        <v>-296.45</v>
      </c>
      <c r="B894" s="56">
        <v>118.7</v>
      </c>
    </row>
    <row r="895" spans="1:2" x14ac:dyDescent="0.25">
      <c r="A895" s="56">
        <v>-296.45</v>
      </c>
      <c r="B895" s="56">
        <v>119.6</v>
      </c>
    </row>
    <row r="896" spans="1:2" x14ac:dyDescent="0.25">
      <c r="A896" s="56">
        <v>-298.95</v>
      </c>
      <c r="B896" s="56">
        <v>119.6</v>
      </c>
    </row>
    <row r="897" spans="1:2" x14ac:dyDescent="0.25">
      <c r="A897" s="56">
        <v>-298.95</v>
      </c>
      <c r="B897" s="56">
        <v>114.2</v>
      </c>
    </row>
    <row r="898" spans="1:2" x14ac:dyDescent="0.25">
      <c r="A898" s="56">
        <v>-301.95</v>
      </c>
      <c r="B898" s="56">
        <v>114.2</v>
      </c>
    </row>
    <row r="899" spans="1:2" x14ac:dyDescent="0.25">
      <c r="A899" s="56">
        <v>-301.95</v>
      </c>
      <c r="B899" s="56">
        <v>116.4</v>
      </c>
    </row>
    <row r="900" spans="1:2" x14ac:dyDescent="0.25">
      <c r="A900" s="56">
        <v>-304.95</v>
      </c>
      <c r="B900" s="56">
        <v>116.4</v>
      </c>
    </row>
    <row r="901" spans="1:2" x14ac:dyDescent="0.25">
      <c r="A901" s="56">
        <v>-304.95</v>
      </c>
      <c r="B901" s="56">
        <v>115.4</v>
      </c>
    </row>
    <row r="902" spans="1:2" x14ac:dyDescent="0.25">
      <c r="A902" s="56">
        <v>-307.95</v>
      </c>
      <c r="B902" s="56">
        <v>115.4</v>
      </c>
    </row>
    <row r="903" spans="1:2" x14ac:dyDescent="0.25">
      <c r="A903" s="56">
        <v>-307.95</v>
      </c>
      <c r="B903" s="56">
        <v>115.4</v>
      </c>
    </row>
    <row r="904" spans="1:2" x14ac:dyDescent="0.25">
      <c r="A904" s="56">
        <v>-310.95</v>
      </c>
      <c r="B904" s="56">
        <v>115.4</v>
      </c>
    </row>
    <row r="905" spans="1:2" x14ac:dyDescent="0.25">
      <c r="A905" s="56">
        <v>-310.95</v>
      </c>
      <c r="B905" s="56">
        <v>115.8</v>
      </c>
    </row>
    <row r="906" spans="1:2" x14ac:dyDescent="0.25">
      <c r="A906" s="56">
        <v>-313.05</v>
      </c>
      <c r="B906" s="56">
        <v>115.8</v>
      </c>
    </row>
    <row r="907" spans="1:2" x14ac:dyDescent="0.25">
      <c r="A907" s="56">
        <v>-313.05</v>
      </c>
      <c r="B907" s="56">
        <v>117.2</v>
      </c>
    </row>
    <row r="908" spans="1:2" x14ac:dyDescent="0.25">
      <c r="A908" s="56">
        <v>-315.45</v>
      </c>
      <c r="B908" s="56">
        <v>117.2</v>
      </c>
    </row>
    <row r="909" spans="1:2" x14ac:dyDescent="0.25">
      <c r="A909" s="56">
        <v>-315.45</v>
      </c>
      <c r="B909" s="56">
        <v>115</v>
      </c>
    </row>
    <row r="910" spans="1:2" x14ac:dyDescent="0.25">
      <c r="A910" s="56">
        <v>-318.45</v>
      </c>
      <c r="B910" s="56">
        <v>115</v>
      </c>
    </row>
    <row r="911" spans="1:2" x14ac:dyDescent="0.25">
      <c r="A911" s="56">
        <v>-318.45</v>
      </c>
      <c r="B911" s="56">
        <v>118.1</v>
      </c>
    </row>
    <row r="912" spans="1:2" x14ac:dyDescent="0.25">
      <c r="A912" s="56">
        <v>-321.45</v>
      </c>
      <c r="B912" s="56">
        <v>118.1</v>
      </c>
    </row>
    <row r="913" spans="1:2" x14ac:dyDescent="0.25">
      <c r="A913" s="56">
        <v>-321.45</v>
      </c>
      <c r="B913" s="56">
        <v>117.4</v>
      </c>
    </row>
    <row r="914" spans="1:2" x14ac:dyDescent="0.25">
      <c r="A914" s="56">
        <v>-324.45</v>
      </c>
      <c r="B914" s="56">
        <v>117.4</v>
      </c>
    </row>
    <row r="915" spans="1:2" x14ac:dyDescent="0.25">
      <c r="A915" s="56">
        <v>-324.45</v>
      </c>
      <c r="B915" s="56">
        <v>118.5</v>
      </c>
    </row>
    <row r="916" spans="1:2" x14ac:dyDescent="0.25">
      <c r="A916" s="56">
        <v>-327.15</v>
      </c>
      <c r="B916" s="56">
        <v>118.5</v>
      </c>
    </row>
    <row r="917" spans="1:2" x14ac:dyDescent="0.25">
      <c r="A917" s="56">
        <v>-327.15</v>
      </c>
      <c r="B917" s="56">
        <v>119.5</v>
      </c>
    </row>
    <row r="918" spans="1:2" x14ac:dyDescent="0.25">
      <c r="A918" s="56">
        <v>-330.15</v>
      </c>
      <c r="B918" s="56">
        <v>119.5</v>
      </c>
    </row>
    <row r="919" spans="1:2" x14ac:dyDescent="0.25">
      <c r="A919" s="56">
        <v>-330.15</v>
      </c>
      <c r="B919" s="56">
        <v>119.1</v>
      </c>
    </row>
    <row r="920" spans="1:2" x14ac:dyDescent="0.25">
      <c r="A920" s="56">
        <v>-333.15</v>
      </c>
      <c r="B920" s="56">
        <v>119.1</v>
      </c>
    </row>
    <row r="921" spans="1:2" x14ac:dyDescent="0.25">
      <c r="A921" s="56">
        <v>-333.15</v>
      </c>
      <c r="B921" s="56">
        <v>117.3</v>
      </c>
    </row>
    <row r="922" spans="1:2" x14ac:dyDescent="0.25">
      <c r="A922" s="56">
        <v>-336.15</v>
      </c>
      <c r="B922" s="56">
        <v>117.3</v>
      </c>
    </row>
    <row r="923" spans="1:2" x14ac:dyDescent="0.25">
      <c r="A923" s="56">
        <v>-336.15</v>
      </c>
      <c r="B923" s="56">
        <v>117.2</v>
      </c>
    </row>
    <row r="924" spans="1:2" x14ac:dyDescent="0.25">
      <c r="A924" s="56">
        <v>-339.15</v>
      </c>
      <c r="B924" s="56">
        <v>117.2</v>
      </c>
    </row>
    <row r="925" spans="1:2" x14ac:dyDescent="0.25">
      <c r="A925" s="56">
        <v>-339.15</v>
      </c>
      <c r="B925" s="56">
        <v>120.6</v>
      </c>
    </row>
    <row r="926" spans="1:2" x14ac:dyDescent="0.25">
      <c r="A926" s="56">
        <v>-342.15</v>
      </c>
      <c r="B926" s="56">
        <v>120.6</v>
      </c>
    </row>
    <row r="927" spans="1:2" x14ac:dyDescent="0.25">
      <c r="A927" s="56">
        <v>-342.15</v>
      </c>
      <c r="B927" s="56">
        <v>117.3</v>
      </c>
    </row>
    <row r="928" spans="1:2" x14ac:dyDescent="0.25">
      <c r="A928" s="56">
        <v>-345.15</v>
      </c>
      <c r="B928" s="56">
        <v>117.3</v>
      </c>
    </row>
    <row r="929" spans="1:2" x14ac:dyDescent="0.25">
      <c r="A929" s="56">
        <v>-345.15</v>
      </c>
      <c r="B929" s="56">
        <v>120.9</v>
      </c>
    </row>
    <row r="930" spans="1:2" x14ac:dyDescent="0.25">
      <c r="A930" s="56">
        <v>-348.15</v>
      </c>
      <c r="B930" s="56">
        <v>120.9</v>
      </c>
    </row>
    <row r="931" spans="1:2" x14ac:dyDescent="0.25">
      <c r="A931" s="56">
        <v>-348.15</v>
      </c>
      <c r="B931" s="56">
        <v>121.1</v>
      </c>
    </row>
    <row r="932" spans="1:2" x14ac:dyDescent="0.25">
      <c r="A932" s="56">
        <v>-351.15</v>
      </c>
      <c r="B932" s="56">
        <v>121.1</v>
      </c>
    </row>
    <row r="933" spans="1:2" x14ac:dyDescent="0.25">
      <c r="A933" s="56">
        <v>-351.15</v>
      </c>
      <c r="B933" s="56">
        <v>121.6</v>
      </c>
    </row>
    <row r="934" spans="1:2" x14ac:dyDescent="0.25">
      <c r="A934" s="56">
        <v>-354.15</v>
      </c>
      <c r="B934" s="56">
        <v>121.6</v>
      </c>
    </row>
    <row r="935" spans="1:2" x14ac:dyDescent="0.25">
      <c r="A935" s="56">
        <v>-354.15</v>
      </c>
      <c r="B935" s="56">
        <v>118.6</v>
      </c>
    </row>
    <row r="936" spans="1:2" x14ac:dyDescent="0.25">
      <c r="A936" s="56">
        <v>-357.15</v>
      </c>
      <c r="B936" s="56">
        <v>118.6</v>
      </c>
    </row>
    <row r="937" spans="1:2" x14ac:dyDescent="0.25">
      <c r="A937" s="56">
        <v>-357.15</v>
      </c>
      <c r="B937" s="56">
        <v>120.6</v>
      </c>
    </row>
    <row r="938" spans="1:2" x14ac:dyDescent="0.25">
      <c r="A938" s="56">
        <v>-360.15</v>
      </c>
      <c r="B938" s="56">
        <v>120.6</v>
      </c>
    </row>
    <row r="939" spans="1:2" x14ac:dyDescent="0.25">
      <c r="A939" s="56">
        <v>-360.15</v>
      </c>
      <c r="B939" s="56">
        <v>116.7</v>
      </c>
    </row>
    <row r="940" spans="1:2" x14ac:dyDescent="0.25">
      <c r="A940" s="56">
        <v>-363.15</v>
      </c>
      <c r="B940" s="56">
        <v>116.7</v>
      </c>
    </row>
    <row r="941" spans="1:2" x14ac:dyDescent="0.25">
      <c r="A941" s="56">
        <v>-363.15</v>
      </c>
      <c r="B941" s="56">
        <v>115.9</v>
      </c>
    </row>
    <row r="942" spans="1:2" x14ac:dyDescent="0.25">
      <c r="A942" s="56">
        <v>-364.45</v>
      </c>
      <c r="B942" s="56">
        <v>115.9</v>
      </c>
    </row>
    <row r="943" spans="1:2" x14ac:dyDescent="0.25">
      <c r="A943" s="56">
        <v>-364.45</v>
      </c>
      <c r="B943" s="56">
        <v>117.7</v>
      </c>
    </row>
    <row r="944" spans="1:2" x14ac:dyDescent="0.25">
      <c r="A944" s="56">
        <v>-366.45</v>
      </c>
      <c r="B944" s="56">
        <v>117.7</v>
      </c>
    </row>
    <row r="945" spans="1:2" x14ac:dyDescent="0.25">
      <c r="A945" s="56">
        <v>-366.45</v>
      </c>
      <c r="B945" s="56">
        <v>121.1</v>
      </c>
    </row>
    <row r="946" spans="1:2" x14ac:dyDescent="0.25">
      <c r="A946" s="56">
        <v>-368.2</v>
      </c>
      <c r="B946" s="56">
        <v>121.1</v>
      </c>
    </row>
    <row r="947" spans="1:2" x14ac:dyDescent="0.25">
      <c r="A947" s="56">
        <v>-368.2</v>
      </c>
      <c r="B947" s="56">
        <v>120.3</v>
      </c>
    </row>
    <row r="948" spans="1:2" x14ac:dyDescent="0.25">
      <c r="A948" s="56">
        <v>-369.6</v>
      </c>
      <c r="B948" s="56">
        <v>120.3</v>
      </c>
    </row>
    <row r="949" spans="1:2" x14ac:dyDescent="0.25">
      <c r="A949" s="56">
        <v>-369.6</v>
      </c>
      <c r="B949" s="56">
        <v>121.3</v>
      </c>
    </row>
    <row r="950" spans="1:2" x14ac:dyDescent="0.25">
      <c r="A950" s="56">
        <v>-371.2</v>
      </c>
      <c r="B950" s="56">
        <v>121.3</v>
      </c>
    </row>
    <row r="951" spans="1:2" x14ac:dyDescent="0.25">
      <c r="A951" s="56">
        <v>-371.2</v>
      </c>
      <c r="B951" s="56">
        <v>120.8</v>
      </c>
    </row>
    <row r="952" spans="1:2" x14ac:dyDescent="0.25">
      <c r="A952" s="56">
        <v>-373.95</v>
      </c>
      <c r="B952" s="56">
        <v>120.8</v>
      </c>
    </row>
    <row r="953" spans="1:2" x14ac:dyDescent="0.25">
      <c r="A953" s="56">
        <v>-373.95</v>
      </c>
      <c r="B953" s="56">
        <v>119.5</v>
      </c>
    </row>
    <row r="954" spans="1:2" x14ac:dyDescent="0.25">
      <c r="A954" s="56">
        <v>-376.95</v>
      </c>
      <c r="B954" s="56">
        <v>119.5</v>
      </c>
    </row>
    <row r="955" spans="1:2" x14ac:dyDescent="0.25">
      <c r="A955" s="56">
        <v>-376.95</v>
      </c>
      <c r="B955" s="56">
        <v>119.5</v>
      </c>
    </row>
    <row r="956" spans="1:2" x14ac:dyDescent="0.25">
      <c r="A956" s="56">
        <v>-379.95</v>
      </c>
      <c r="B956" s="56">
        <v>119.5</v>
      </c>
    </row>
    <row r="957" spans="1:2" x14ac:dyDescent="0.25">
      <c r="A957" s="56">
        <v>-379.95</v>
      </c>
      <c r="B957" s="56">
        <v>120.6</v>
      </c>
    </row>
    <row r="958" spans="1:2" x14ac:dyDescent="0.25">
      <c r="A958" s="56">
        <v>-382.95</v>
      </c>
      <c r="B958" s="56">
        <v>120.6</v>
      </c>
    </row>
    <row r="959" spans="1:2" x14ac:dyDescent="0.25">
      <c r="A959" s="56">
        <v>-382.95</v>
      </c>
      <c r="B959" s="56">
        <v>119.4</v>
      </c>
    </row>
    <row r="960" spans="1:2" x14ac:dyDescent="0.25">
      <c r="A960" s="56">
        <v>-385.95</v>
      </c>
      <c r="B960" s="56">
        <v>119.4</v>
      </c>
    </row>
    <row r="961" spans="1:2" x14ac:dyDescent="0.25">
      <c r="A961" s="56">
        <v>-385.95</v>
      </c>
      <c r="B961" s="56">
        <v>119.7</v>
      </c>
    </row>
    <row r="962" spans="1:2" x14ac:dyDescent="0.25">
      <c r="A962" s="56">
        <v>-388.95</v>
      </c>
      <c r="B962" s="56">
        <v>119.7</v>
      </c>
    </row>
    <row r="963" spans="1:2" x14ac:dyDescent="0.25">
      <c r="A963" s="56">
        <v>-388.95</v>
      </c>
      <c r="B963" s="56">
        <v>118.7</v>
      </c>
    </row>
    <row r="964" spans="1:2" x14ac:dyDescent="0.25">
      <c r="A964" s="56">
        <v>-391.95</v>
      </c>
      <c r="B964" s="56">
        <v>118.7</v>
      </c>
    </row>
    <row r="965" spans="1:2" x14ac:dyDescent="0.25">
      <c r="A965" s="56">
        <v>-391.95</v>
      </c>
      <c r="B965" s="56">
        <v>122</v>
      </c>
    </row>
    <row r="966" spans="1:2" x14ac:dyDescent="0.25">
      <c r="A966" s="56">
        <v>-394.95</v>
      </c>
      <c r="B966" s="56">
        <v>122</v>
      </c>
    </row>
    <row r="967" spans="1:2" x14ac:dyDescent="0.25">
      <c r="A967" s="56">
        <v>-394.95</v>
      </c>
      <c r="B967" s="56">
        <v>119.8</v>
      </c>
    </row>
    <row r="968" spans="1:2" x14ac:dyDescent="0.25">
      <c r="A968" s="56">
        <v>-397.95</v>
      </c>
      <c r="B968" s="56">
        <v>119.8</v>
      </c>
    </row>
    <row r="969" spans="1:2" x14ac:dyDescent="0.25">
      <c r="A969" s="56">
        <v>-397.95</v>
      </c>
      <c r="B969" s="56">
        <v>121.3</v>
      </c>
    </row>
    <row r="970" spans="1:2" x14ac:dyDescent="0.25">
      <c r="A970" s="56">
        <v>-400.95</v>
      </c>
      <c r="B970" s="56">
        <v>121.3</v>
      </c>
    </row>
    <row r="971" spans="1:2" x14ac:dyDescent="0.25">
      <c r="A971" s="56">
        <v>-400.95</v>
      </c>
      <c r="B971" s="56">
        <v>117</v>
      </c>
    </row>
    <row r="972" spans="1:2" x14ac:dyDescent="0.25">
      <c r="A972" s="56">
        <v>-403.95</v>
      </c>
      <c r="B972" s="56">
        <v>117</v>
      </c>
    </row>
    <row r="973" spans="1:2" x14ac:dyDescent="0.25">
      <c r="A973" s="56">
        <v>-403.95</v>
      </c>
      <c r="B973" s="56">
        <v>116</v>
      </c>
    </row>
    <row r="974" spans="1:2" x14ac:dyDescent="0.25">
      <c r="A974" s="56">
        <v>-406.45</v>
      </c>
      <c r="B974" s="56">
        <v>116</v>
      </c>
    </row>
    <row r="975" spans="1:2" x14ac:dyDescent="0.25">
      <c r="A975" s="56">
        <v>-406.45</v>
      </c>
      <c r="B975" s="56">
        <v>118.1</v>
      </c>
    </row>
    <row r="976" spans="1:2" x14ac:dyDescent="0.25">
      <c r="A976" s="56">
        <v>-408.3</v>
      </c>
      <c r="B976" s="56">
        <v>118.1</v>
      </c>
    </row>
    <row r="977" spans="1:2" x14ac:dyDescent="0.25">
      <c r="A977" s="56">
        <v>-408.3</v>
      </c>
      <c r="B977" s="56">
        <v>119.7</v>
      </c>
    </row>
    <row r="978" spans="1:2" x14ac:dyDescent="0.25">
      <c r="A978" s="56">
        <v>-411.3</v>
      </c>
      <c r="B978" s="56">
        <v>119.7</v>
      </c>
    </row>
    <row r="979" spans="1:2" x14ac:dyDescent="0.25">
      <c r="A979" s="56">
        <v>-411.3</v>
      </c>
      <c r="B979" s="56">
        <v>120.9</v>
      </c>
    </row>
    <row r="980" spans="1:2" x14ac:dyDescent="0.25">
      <c r="A980" s="56">
        <v>-414.3</v>
      </c>
      <c r="B980" s="56">
        <v>120.9</v>
      </c>
    </row>
    <row r="981" spans="1:2" x14ac:dyDescent="0.25">
      <c r="A981" s="56">
        <v>-414.3</v>
      </c>
      <c r="B981" s="56">
        <v>118.3</v>
      </c>
    </row>
    <row r="982" spans="1:2" x14ac:dyDescent="0.25">
      <c r="A982" s="56">
        <v>-417.3</v>
      </c>
      <c r="B982" s="56">
        <v>118.3</v>
      </c>
    </row>
    <row r="983" spans="1:2" x14ac:dyDescent="0.25">
      <c r="A983" s="56">
        <v>-417.3</v>
      </c>
      <c r="B983" s="56">
        <v>121.9</v>
      </c>
    </row>
    <row r="984" spans="1:2" x14ac:dyDescent="0.25">
      <c r="A984" s="56">
        <v>-420.3</v>
      </c>
      <c r="B984" s="56">
        <v>121.9</v>
      </c>
    </row>
    <row r="985" spans="1:2" x14ac:dyDescent="0.25">
      <c r="A985" s="56">
        <v>-420.3</v>
      </c>
      <c r="B985" s="56">
        <v>120.7</v>
      </c>
    </row>
    <row r="986" spans="1:2" x14ac:dyDescent="0.25">
      <c r="A986" s="56">
        <v>-423.3</v>
      </c>
      <c r="B986" s="56">
        <v>120.7</v>
      </c>
    </row>
    <row r="987" spans="1:2" x14ac:dyDescent="0.25">
      <c r="A987" s="56">
        <v>-423.3</v>
      </c>
      <c r="B987" s="56">
        <v>118.6</v>
      </c>
    </row>
    <row r="988" spans="1:2" x14ac:dyDescent="0.25">
      <c r="A988" s="56">
        <v>-426.3</v>
      </c>
      <c r="B988" s="56">
        <v>118.6</v>
      </c>
    </row>
    <row r="989" spans="1:2" x14ac:dyDescent="0.25">
      <c r="A989" s="56">
        <v>-426.3</v>
      </c>
      <c r="B989" s="56">
        <v>119</v>
      </c>
    </row>
    <row r="990" spans="1:2" x14ac:dyDescent="0.25">
      <c r="A990" s="56">
        <v>-429.3</v>
      </c>
      <c r="B990" s="56">
        <v>119</v>
      </c>
    </row>
    <row r="991" spans="1:2" x14ac:dyDescent="0.25">
      <c r="A991" s="56">
        <v>-429.3</v>
      </c>
      <c r="B991" s="56">
        <v>118</v>
      </c>
    </row>
    <row r="992" spans="1:2" x14ac:dyDescent="0.25">
      <c r="A992" s="56">
        <v>-432.3</v>
      </c>
      <c r="B992" s="56">
        <v>118</v>
      </c>
    </row>
    <row r="993" spans="1:2" x14ac:dyDescent="0.25">
      <c r="A993" s="56">
        <v>-432.3</v>
      </c>
      <c r="B993" s="56">
        <v>116.9</v>
      </c>
    </row>
    <row r="994" spans="1:2" x14ac:dyDescent="0.25">
      <c r="A994" s="56">
        <v>-434.3</v>
      </c>
      <c r="B994" s="56">
        <v>116.9</v>
      </c>
    </row>
    <row r="995" spans="1:2" x14ac:dyDescent="0.25">
      <c r="A995" s="56">
        <v>-434.3</v>
      </c>
      <c r="B995" s="56">
        <v>115.2</v>
      </c>
    </row>
    <row r="996" spans="1:2" x14ac:dyDescent="0.25">
      <c r="A996" s="56">
        <v>-436.8</v>
      </c>
      <c r="B996" s="56">
        <v>115.2</v>
      </c>
    </row>
    <row r="997" spans="1:2" x14ac:dyDescent="0.25">
      <c r="A997" s="56">
        <v>-436.8</v>
      </c>
      <c r="B997" s="56">
        <v>114.9</v>
      </c>
    </row>
    <row r="998" spans="1:2" x14ac:dyDescent="0.25">
      <c r="A998" s="56">
        <v>-438.3</v>
      </c>
      <c r="B998" s="56">
        <v>114.9</v>
      </c>
    </row>
    <row r="999" spans="1:2" x14ac:dyDescent="0.25">
      <c r="A999" s="56">
        <v>-438.3</v>
      </c>
      <c r="B999" s="56">
        <v>115.3</v>
      </c>
    </row>
    <row r="1000" spans="1:2" x14ac:dyDescent="0.25">
      <c r="A1000" s="56">
        <v>-440.7</v>
      </c>
      <c r="B1000" s="56">
        <v>115.3</v>
      </c>
    </row>
    <row r="1001" spans="1:2" x14ac:dyDescent="0.25">
      <c r="A1001" s="56">
        <v>-440.7</v>
      </c>
      <c r="B1001" s="56">
        <v>116</v>
      </c>
    </row>
    <row r="1002" spans="1:2" x14ac:dyDescent="0.25">
      <c r="A1002" s="56">
        <v>-442.8</v>
      </c>
      <c r="B1002" s="56">
        <v>116</v>
      </c>
    </row>
    <row r="1003" spans="1:2" x14ac:dyDescent="0.25">
      <c r="A1003" s="56">
        <v>-442.8</v>
      </c>
      <c r="B1003" s="56">
        <v>116.2</v>
      </c>
    </row>
    <row r="1004" spans="1:2" x14ac:dyDescent="0.25">
      <c r="A1004" s="56">
        <v>-444.3</v>
      </c>
      <c r="B1004" s="56">
        <v>116.2</v>
      </c>
    </row>
    <row r="1005" spans="1:2" x14ac:dyDescent="0.25">
      <c r="A1005" s="56">
        <v>-444.3</v>
      </c>
      <c r="B1005" s="56">
        <v>116.6</v>
      </c>
    </row>
    <row r="1006" spans="1:2" x14ac:dyDescent="0.25">
      <c r="A1006" s="56">
        <v>-447.3</v>
      </c>
      <c r="B1006" s="56">
        <v>116.6</v>
      </c>
    </row>
    <row r="1007" spans="1:2" x14ac:dyDescent="0.25">
      <c r="A1007" s="56">
        <v>-447.3</v>
      </c>
      <c r="B1007" s="56">
        <v>117.4</v>
      </c>
    </row>
    <row r="1008" spans="1:2" x14ac:dyDescent="0.25">
      <c r="A1008" s="56">
        <v>-450.3</v>
      </c>
      <c r="B1008" s="56">
        <v>117.4</v>
      </c>
    </row>
    <row r="1009" spans="1:2" x14ac:dyDescent="0.25">
      <c r="A1009" s="56">
        <v>-450.3</v>
      </c>
      <c r="B1009" s="56">
        <v>115.8</v>
      </c>
    </row>
    <row r="1010" spans="1:2" x14ac:dyDescent="0.25">
      <c r="A1010" s="56">
        <v>-453.3</v>
      </c>
      <c r="B1010" s="56">
        <v>115.8</v>
      </c>
    </row>
    <row r="1011" spans="1:2" x14ac:dyDescent="0.25">
      <c r="A1011" s="56">
        <v>-453.3</v>
      </c>
      <c r="B1011" s="56">
        <v>114.4</v>
      </c>
    </row>
    <row r="1012" spans="1:2" x14ac:dyDescent="0.25">
      <c r="A1012" s="56">
        <v>-456</v>
      </c>
      <c r="B1012" s="56">
        <v>114.4</v>
      </c>
    </row>
    <row r="1013" spans="1:2" x14ac:dyDescent="0.25">
      <c r="A1013" s="56">
        <v>-456</v>
      </c>
      <c r="B1013" s="56">
        <v>119.3</v>
      </c>
    </row>
    <row r="1014" spans="1:2" x14ac:dyDescent="0.25">
      <c r="A1014" s="56">
        <v>-457.8</v>
      </c>
      <c r="B1014" s="56">
        <v>119.3</v>
      </c>
    </row>
    <row r="1015" spans="1:2" x14ac:dyDescent="0.25">
      <c r="A1015" s="56">
        <v>-457.8</v>
      </c>
      <c r="B1015" s="56">
        <v>120.9</v>
      </c>
    </row>
    <row r="1016" spans="1:2" x14ac:dyDescent="0.25">
      <c r="A1016" s="56">
        <v>-459.3</v>
      </c>
      <c r="B1016" s="56">
        <v>120.9</v>
      </c>
    </row>
    <row r="1017" spans="1:2" x14ac:dyDescent="0.25">
      <c r="A1017" s="56">
        <v>-459.3</v>
      </c>
      <c r="B1017" s="56">
        <v>122</v>
      </c>
    </row>
    <row r="1018" spans="1:2" x14ac:dyDescent="0.25">
      <c r="A1018" s="56">
        <v>-462.3</v>
      </c>
      <c r="B1018" s="56">
        <v>122</v>
      </c>
    </row>
    <row r="1019" spans="1:2" x14ac:dyDescent="0.25">
      <c r="A1019" s="56">
        <v>-462.3</v>
      </c>
      <c r="B1019" s="56">
        <v>119.3</v>
      </c>
    </row>
    <row r="1020" spans="1:2" x14ac:dyDescent="0.25">
      <c r="A1020" s="56">
        <v>-465.3</v>
      </c>
      <c r="B1020" s="56">
        <v>119.3</v>
      </c>
    </row>
    <row r="1021" spans="1:2" x14ac:dyDescent="0.25">
      <c r="A1021" s="56">
        <v>-465.3</v>
      </c>
      <c r="B1021" s="56">
        <v>121.5</v>
      </c>
    </row>
    <row r="1022" spans="1:2" x14ac:dyDescent="0.25">
      <c r="A1022" s="56">
        <v>-468.3</v>
      </c>
      <c r="B1022" s="56">
        <v>121.5</v>
      </c>
    </row>
    <row r="1023" spans="1:2" x14ac:dyDescent="0.25">
      <c r="A1023" s="56">
        <v>-468.3</v>
      </c>
      <c r="B1023" s="56">
        <v>113.3</v>
      </c>
    </row>
    <row r="1024" spans="1:2" x14ac:dyDescent="0.25">
      <c r="A1024" s="56">
        <v>-471.3</v>
      </c>
      <c r="B1024" s="56">
        <v>113.3</v>
      </c>
    </row>
    <row r="1025" spans="1:2" x14ac:dyDescent="0.25">
      <c r="A1025" s="56">
        <v>-471.3</v>
      </c>
      <c r="B1025" s="56">
        <v>117.4</v>
      </c>
    </row>
    <row r="1026" spans="1:2" x14ac:dyDescent="0.25">
      <c r="A1026" s="56">
        <v>-473.2</v>
      </c>
      <c r="B1026" s="56">
        <v>117.4</v>
      </c>
    </row>
    <row r="1027" spans="1:2" x14ac:dyDescent="0.25">
      <c r="A1027" s="56">
        <v>-473.2</v>
      </c>
      <c r="B1027" s="56">
        <v>119.6</v>
      </c>
    </row>
    <row r="1028" spans="1:2" x14ac:dyDescent="0.25">
      <c r="A1028" s="56">
        <v>-475.5</v>
      </c>
      <c r="B1028" s="56">
        <v>119.6</v>
      </c>
    </row>
    <row r="1029" spans="1:2" x14ac:dyDescent="0.25">
      <c r="A1029" s="56">
        <v>-475.5</v>
      </c>
      <c r="B1029" s="56">
        <v>120.3</v>
      </c>
    </row>
    <row r="1030" spans="1:2" x14ac:dyDescent="0.25">
      <c r="A1030" s="56">
        <v>-478.5</v>
      </c>
      <c r="B1030" s="56">
        <v>120.3</v>
      </c>
    </row>
    <row r="1031" spans="1:2" x14ac:dyDescent="0.25">
      <c r="A1031" s="56">
        <v>-478.5</v>
      </c>
      <c r="B1031" s="56">
        <v>118.9</v>
      </c>
    </row>
    <row r="1032" spans="1:2" x14ac:dyDescent="0.25">
      <c r="A1032" s="56">
        <v>-481.5</v>
      </c>
      <c r="B1032" s="56">
        <v>118.9</v>
      </c>
    </row>
    <row r="1033" spans="1:2" x14ac:dyDescent="0.25">
      <c r="A1033" s="56">
        <v>-481.5</v>
      </c>
      <c r="B1033" s="56">
        <v>119.6</v>
      </c>
    </row>
    <row r="1034" spans="1:2" x14ac:dyDescent="0.25">
      <c r="A1034" s="56">
        <v>-483.7</v>
      </c>
      <c r="B1034" s="56">
        <v>119.6</v>
      </c>
    </row>
    <row r="1035" spans="1:2" x14ac:dyDescent="0.25">
      <c r="A1035" s="56">
        <v>-483.7</v>
      </c>
      <c r="B1035" s="56">
        <v>115.7</v>
      </c>
    </row>
    <row r="1036" spans="1:2" x14ac:dyDescent="0.25">
      <c r="A1036" s="56">
        <v>-486.7</v>
      </c>
      <c r="B1036" s="56">
        <v>115.7</v>
      </c>
    </row>
    <row r="1037" spans="1:2" x14ac:dyDescent="0.25">
      <c r="A1037" s="56">
        <v>-486.7</v>
      </c>
      <c r="B1037" s="56">
        <v>117.4</v>
      </c>
    </row>
    <row r="1038" spans="1:2" x14ac:dyDescent="0.25">
      <c r="A1038" s="56">
        <v>-489.3</v>
      </c>
      <c r="B1038" s="56">
        <v>117.4</v>
      </c>
    </row>
    <row r="1039" spans="1:2" x14ac:dyDescent="0.25">
      <c r="A1039" s="56">
        <v>-489.3</v>
      </c>
      <c r="B1039" s="56">
        <v>119.2</v>
      </c>
    </row>
    <row r="1040" spans="1:2" x14ac:dyDescent="0.25">
      <c r="A1040" s="56">
        <v>-492.3</v>
      </c>
      <c r="B1040" s="56">
        <v>119.2</v>
      </c>
    </row>
    <row r="1041" spans="1:2" x14ac:dyDescent="0.25">
      <c r="A1041" s="56">
        <v>-492.3</v>
      </c>
      <c r="B1041" s="56">
        <v>120.6</v>
      </c>
    </row>
    <row r="1042" spans="1:2" x14ac:dyDescent="0.25">
      <c r="A1042" s="56">
        <v>-495.3</v>
      </c>
      <c r="B1042" s="56">
        <v>120.6</v>
      </c>
    </row>
    <row r="1043" spans="1:2" x14ac:dyDescent="0.25">
      <c r="A1043" s="56">
        <v>-495.3</v>
      </c>
      <c r="B1043" s="56">
        <v>119</v>
      </c>
    </row>
    <row r="1044" spans="1:2" x14ac:dyDescent="0.25">
      <c r="A1044" s="56">
        <v>-498.3</v>
      </c>
      <c r="B1044" s="56">
        <v>119</v>
      </c>
    </row>
    <row r="1045" spans="1:2" x14ac:dyDescent="0.25">
      <c r="A1045" s="56">
        <v>-498.3</v>
      </c>
      <c r="B1045" s="56">
        <v>119.9</v>
      </c>
    </row>
    <row r="1046" spans="1:2" x14ac:dyDescent="0.25">
      <c r="A1046" s="56">
        <v>-501.3</v>
      </c>
      <c r="B1046" s="56">
        <v>119.9</v>
      </c>
    </row>
    <row r="1047" spans="1:2" x14ac:dyDescent="0.25">
      <c r="A1047" s="56">
        <v>-501.3</v>
      </c>
      <c r="B1047" s="56">
        <v>120.6</v>
      </c>
    </row>
    <row r="1048" spans="1:2" x14ac:dyDescent="0.25">
      <c r="A1048" s="56">
        <v>-504.3</v>
      </c>
      <c r="B1048" s="56">
        <v>120.6</v>
      </c>
    </row>
    <row r="1049" spans="1:2" x14ac:dyDescent="0.25">
      <c r="A1049" s="56">
        <v>-504.3</v>
      </c>
      <c r="B1049" s="56">
        <v>120.6</v>
      </c>
    </row>
    <row r="1050" spans="1:2" x14ac:dyDescent="0.25">
      <c r="A1050" s="56">
        <v>-507.3</v>
      </c>
      <c r="B1050" s="56">
        <v>120.6</v>
      </c>
    </row>
    <row r="1051" spans="1:2" x14ac:dyDescent="0.25">
      <c r="A1051" s="56">
        <v>-507.3</v>
      </c>
      <c r="B1051" s="56">
        <v>120.4</v>
      </c>
    </row>
    <row r="1052" spans="1:2" x14ac:dyDescent="0.25">
      <c r="A1052" s="56">
        <v>-510.3</v>
      </c>
      <c r="B1052" s="56">
        <v>120.4</v>
      </c>
    </row>
    <row r="1053" spans="1:2" x14ac:dyDescent="0.25">
      <c r="A1053" s="56">
        <v>-510.3</v>
      </c>
      <c r="B1053" s="56">
        <v>120.9</v>
      </c>
    </row>
    <row r="1054" spans="1:2" x14ac:dyDescent="0.25">
      <c r="A1054" s="56">
        <v>-513.3</v>
      </c>
      <c r="B1054" s="56">
        <v>120.9</v>
      </c>
    </row>
    <row r="1055" spans="1:2" x14ac:dyDescent="0.25">
      <c r="A1055" s="56">
        <v>-513.3</v>
      </c>
      <c r="B1055" s="56">
        <v>119.5</v>
      </c>
    </row>
    <row r="1056" spans="1:2" x14ac:dyDescent="0.25">
      <c r="A1056" s="56">
        <v>-516.3</v>
      </c>
      <c r="B1056" s="56">
        <v>119.5</v>
      </c>
    </row>
    <row r="1057" spans="1:2" x14ac:dyDescent="0.25">
      <c r="A1057" s="56">
        <v>-516.3</v>
      </c>
      <c r="B1057" s="56">
        <v>118.6</v>
      </c>
    </row>
    <row r="1058" spans="1:2" x14ac:dyDescent="0.25">
      <c r="A1058" s="56">
        <v>-517.8</v>
      </c>
      <c r="B1058" s="56">
        <v>118.6</v>
      </c>
    </row>
    <row r="1059" spans="1:2" x14ac:dyDescent="0.25">
      <c r="A1059" s="56">
        <v>-517.8</v>
      </c>
      <c r="B1059" s="56">
        <v>119</v>
      </c>
    </row>
    <row r="1060" spans="1:2" x14ac:dyDescent="0.25">
      <c r="A1060" s="56">
        <v>-520.8</v>
      </c>
      <c r="B1060" s="56">
        <v>119</v>
      </c>
    </row>
    <row r="1061" spans="1:2" x14ac:dyDescent="0.25">
      <c r="A1061" s="56">
        <v>-520.8</v>
      </c>
      <c r="B1061" s="56">
        <v>120.7</v>
      </c>
    </row>
    <row r="1062" spans="1:2" x14ac:dyDescent="0.25">
      <c r="A1062" s="56">
        <v>-523.8</v>
      </c>
      <c r="B1062" s="56">
        <v>120.7</v>
      </c>
    </row>
    <row r="1063" spans="1:2" x14ac:dyDescent="0.25">
      <c r="A1063" s="56">
        <v>-523.8</v>
      </c>
      <c r="B1063" s="56">
        <v>119.6</v>
      </c>
    </row>
    <row r="1064" spans="1:2" x14ac:dyDescent="0.25">
      <c r="A1064" s="56">
        <v>-526.8</v>
      </c>
      <c r="B1064" s="56">
        <v>119.6</v>
      </c>
    </row>
    <row r="1065" spans="1:2" x14ac:dyDescent="0.25">
      <c r="A1065" s="56">
        <v>-526.8</v>
      </c>
      <c r="B1065" s="56">
        <v>119.2</v>
      </c>
    </row>
    <row r="1066" spans="1:2" x14ac:dyDescent="0.25">
      <c r="A1066" s="56">
        <v>-529.8</v>
      </c>
      <c r="B1066" s="56">
        <v>119.2</v>
      </c>
    </row>
    <row r="1067" spans="1:2" x14ac:dyDescent="0.25">
      <c r="A1067" s="56">
        <v>-529.8</v>
      </c>
      <c r="B1067" s="56">
        <v>116.4</v>
      </c>
    </row>
    <row r="1068" spans="1:2" x14ac:dyDescent="0.25">
      <c r="A1068" s="56">
        <v>-532.8</v>
      </c>
      <c r="B1068" s="56">
        <v>116.4</v>
      </c>
    </row>
    <row r="1069" spans="1:2" x14ac:dyDescent="0.25">
      <c r="A1069" s="56">
        <v>-532.8</v>
      </c>
      <c r="B1069" s="56">
        <v>116</v>
      </c>
    </row>
    <row r="1070" spans="1:2" x14ac:dyDescent="0.25">
      <c r="A1070" s="56">
        <v>-535.8</v>
      </c>
      <c r="B1070" s="56">
        <v>116</v>
      </c>
    </row>
    <row r="1071" spans="1:2" x14ac:dyDescent="0.25">
      <c r="A1071" s="56">
        <v>-535.8</v>
      </c>
      <c r="B1071" s="56">
        <v>120</v>
      </c>
    </row>
    <row r="1072" spans="1:2" x14ac:dyDescent="0.25">
      <c r="A1072" s="56">
        <v>-538.8</v>
      </c>
      <c r="B1072" s="56">
        <v>120</v>
      </c>
    </row>
    <row r="1073" spans="1:2" x14ac:dyDescent="0.25">
      <c r="A1073" s="56">
        <v>-538.8</v>
      </c>
      <c r="B1073" s="56">
        <v>118.2</v>
      </c>
    </row>
    <row r="1074" spans="1:2" x14ac:dyDescent="0.25">
      <c r="A1074" s="56">
        <v>-541.8</v>
      </c>
      <c r="B1074" s="56">
        <v>118.2</v>
      </c>
    </row>
    <row r="1075" spans="1:2" x14ac:dyDescent="0.25">
      <c r="A1075" s="56">
        <v>-541.8</v>
      </c>
      <c r="B1075" s="56">
        <v>115</v>
      </c>
    </row>
    <row r="1076" spans="1:2" x14ac:dyDescent="0.25">
      <c r="A1076" s="56">
        <v>-544.8</v>
      </c>
      <c r="B1076" s="56">
        <v>115</v>
      </c>
    </row>
    <row r="1077" spans="1:2" x14ac:dyDescent="0.25">
      <c r="A1077" s="56">
        <v>-544.8</v>
      </c>
      <c r="B1077" s="56">
        <v>118.9</v>
      </c>
    </row>
    <row r="1078" spans="1:2" x14ac:dyDescent="0.25">
      <c r="A1078" s="56">
        <v>-547.8</v>
      </c>
      <c r="B1078" s="56">
        <v>118.9</v>
      </c>
    </row>
    <row r="1079" spans="1:2" x14ac:dyDescent="0.25">
      <c r="A1079" s="56">
        <v>-547.8</v>
      </c>
      <c r="B1079" s="56">
        <v>115.6</v>
      </c>
    </row>
    <row r="1080" spans="1:2" x14ac:dyDescent="0.25">
      <c r="A1080" s="56">
        <v>-550.8</v>
      </c>
      <c r="B1080" s="56">
        <v>115.6</v>
      </c>
    </row>
    <row r="1081" spans="1:2" x14ac:dyDescent="0.25">
      <c r="A1081" s="56">
        <v>-550.8</v>
      </c>
      <c r="B1081" s="56">
        <v>120.6</v>
      </c>
    </row>
    <row r="1082" spans="1:2" x14ac:dyDescent="0.25">
      <c r="A1082" s="56">
        <v>-553.8</v>
      </c>
      <c r="B1082" s="56">
        <v>120.6</v>
      </c>
    </row>
    <row r="1083" spans="1:2" x14ac:dyDescent="0.25">
      <c r="A1083" s="56">
        <v>-553.8</v>
      </c>
      <c r="B1083" s="56">
        <v>119.6</v>
      </c>
    </row>
    <row r="1084" spans="1:2" x14ac:dyDescent="0.25">
      <c r="A1084" s="56">
        <v>-556.8</v>
      </c>
      <c r="B1084" s="56">
        <v>119.6</v>
      </c>
    </row>
    <row r="1085" spans="1:2" x14ac:dyDescent="0.25">
      <c r="A1085" s="56">
        <v>-556.8</v>
      </c>
      <c r="B1085" s="56">
        <v>121.1</v>
      </c>
    </row>
    <row r="1086" spans="1:2" x14ac:dyDescent="0.25">
      <c r="A1086" s="56">
        <v>-559.8</v>
      </c>
      <c r="B1086" s="56">
        <v>121.1</v>
      </c>
    </row>
    <row r="1087" spans="1:2" x14ac:dyDescent="0.25">
      <c r="A1087" s="56">
        <v>-559.8</v>
      </c>
      <c r="B1087" s="56">
        <v>120.6</v>
      </c>
    </row>
    <row r="1088" spans="1:2" x14ac:dyDescent="0.25">
      <c r="A1088" s="56">
        <v>-562.8</v>
      </c>
      <c r="B1088" s="56">
        <v>120.6</v>
      </c>
    </row>
    <row r="1089" spans="1:2" x14ac:dyDescent="0.25">
      <c r="A1089" s="56">
        <v>-562.8</v>
      </c>
      <c r="B1089" s="56">
        <v>115.8</v>
      </c>
    </row>
    <row r="1090" spans="1:2" x14ac:dyDescent="0.25">
      <c r="A1090" s="56">
        <v>-565.8</v>
      </c>
      <c r="B1090" s="56">
        <v>115.8</v>
      </c>
    </row>
    <row r="1091" spans="1:2" x14ac:dyDescent="0.25">
      <c r="A1091" s="56">
        <v>-565.8</v>
      </c>
      <c r="B1091" s="56">
        <v>121.2</v>
      </c>
    </row>
    <row r="1092" spans="1:2" x14ac:dyDescent="0.25">
      <c r="A1092" s="56">
        <v>-568.8</v>
      </c>
      <c r="B1092" s="56">
        <v>121.2</v>
      </c>
    </row>
    <row r="1093" spans="1:2" x14ac:dyDescent="0.25">
      <c r="A1093" s="56">
        <v>-568.8</v>
      </c>
      <c r="B1093" s="56">
        <v>119.3</v>
      </c>
    </row>
    <row r="1094" spans="1:2" x14ac:dyDescent="0.25">
      <c r="A1094" s="56">
        <v>-571.8</v>
      </c>
      <c r="B1094" s="56">
        <v>119.3</v>
      </c>
    </row>
    <row r="1095" spans="1:2" x14ac:dyDescent="0.25">
      <c r="A1095" s="56">
        <v>-571.8</v>
      </c>
      <c r="B1095" s="56">
        <v>120.7</v>
      </c>
    </row>
    <row r="1096" spans="1:2" x14ac:dyDescent="0.25">
      <c r="A1096" s="56">
        <v>-574.8</v>
      </c>
      <c r="B1096" s="56">
        <v>120.7</v>
      </c>
    </row>
    <row r="1097" spans="1:2" x14ac:dyDescent="0.25">
      <c r="A1097" s="56">
        <v>-574.8</v>
      </c>
      <c r="B1097" s="56">
        <v>120.8</v>
      </c>
    </row>
    <row r="1098" spans="1:2" x14ac:dyDescent="0.25">
      <c r="A1098" s="56">
        <v>-577.8</v>
      </c>
      <c r="B1098" s="56">
        <v>120.8</v>
      </c>
    </row>
    <row r="1099" spans="1:2" x14ac:dyDescent="0.25">
      <c r="A1099" s="56">
        <v>-577.8</v>
      </c>
      <c r="B1099" s="56">
        <v>120.8</v>
      </c>
    </row>
    <row r="1100" spans="1:2" x14ac:dyDescent="0.25">
      <c r="A1100" s="56">
        <v>-580.8</v>
      </c>
      <c r="B1100" s="56">
        <v>120.8</v>
      </c>
    </row>
    <row r="1101" spans="1:2" x14ac:dyDescent="0.25">
      <c r="A1101" s="56">
        <v>-580.8</v>
      </c>
      <c r="B1101" s="56">
        <v>118</v>
      </c>
    </row>
    <row r="1102" spans="1:2" x14ac:dyDescent="0.25">
      <c r="A1102" s="56">
        <v>-583.8</v>
      </c>
      <c r="B1102" s="56">
        <v>118</v>
      </c>
    </row>
    <row r="1103" spans="1:2" x14ac:dyDescent="0.25">
      <c r="A1103" s="56">
        <v>-583.8</v>
      </c>
      <c r="B1103" s="56">
        <v>115.4</v>
      </c>
    </row>
    <row r="1104" spans="1:2" x14ac:dyDescent="0.25">
      <c r="A1104" s="56">
        <v>-585.7</v>
      </c>
      <c r="B1104" s="56">
        <v>115.4</v>
      </c>
    </row>
    <row r="1105" spans="1:2" x14ac:dyDescent="0.25">
      <c r="A1105" s="56">
        <v>-585.7</v>
      </c>
      <c r="B1105" s="56">
        <v>117</v>
      </c>
    </row>
    <row r="1106" spans="1:2" x14ac:dyDescent="0.25">
      <c r="A1106" s="56">
        <v>-586.7</v>
      </c>
      <c r="B1106" s="56">
        <v>117</v>
      </c>
    </row>
    <row r="1107" spans="1:2" x14ac:dyDescent="0.25">
      <c r="A1107" s="56">
        <v>-586.7</v>
      </c>
      <c r="B1107" s="56">
        <v>117.1</v>
      </c>
    </row>
    <row r="1108" spans="1:2" x14ac:dyDescent="0.25">
      <c r="A1108" s="56">
        <v>-589.8</v>
      </c>
      <c r="B1108" s="56">
        <v>117.1</v>
      </c>
    </row>
    <row r="1109" spans="1:2" x14ac:dyDescent="0.25">
      <c r="A1109" s="56">
        <v>-589.8</v>
      </c>
      <c r="B1109" s="56">
        <v>119.6</v>
      </c>
    </row>
    <row r="1110" spans="1:2" x14ac:dyDescent="0.25">
      <c r="A1110" s="56">
        <v>-592.8</v>
      </c>
      <c r="B1110" s="56">
        <v>119.6</v>
      </c>
    </row>
    <row r="1111" spans="1:2" x14ac:dyDescent="0.25">
      <c r="A1111" s="56">
        <v>-592.8</v>
      </c>
      <c r="B1111" s="56">
        <v>115.2</v>
      </c>
    </row>
    <row r="1112" spans="1:2" x14ac:dyDescent="0.25">
      <c r="A1112" s="56">
        <v>-595.8</v>
      </c>
      <c r="B1112" s="56">
        <v>115.2</v>
      </c>
    </row>
    <row r="1113" spans="1:2" x14ac:dyDescent="0.25">
      <c r="A1113" s="56">
        <v>-595.8</v>
      </c>
      <c r="B1113" s="56">
        <v>120.3</v>
      </c>
    </row>
    <row r="1114" spans="1:2" x14ac:dyDescent="0.25">
      <c r="A1114" s="56">
        <v>-598.8</v>
      </c>
      <c r="B1114" s="56">
        <v>120.3</v>
      </c>
    </row>
    <row r="1115" spans="1:2" x14ac:dyDescent="0.25">
      <c r="A1115" s="56">
        <v>-598.8</v>
      </c>
      <c r="B1115" s="56">
        <v>114.4</v>
      </c>
    </row>
    <row r="1116" spans="1:2" x14ac:dyDescent="0.25">
      <c r="A1116" s="56">
        <v>-601.8</v>
      </c>
      <c r="B1116" s="56">
        <v>114.4</v>
      </c>
    </row>
    <row r="1117" spans="1:2" x14ac:dyDescent="0.25">
      <c r="A1117" s="56">
        <v>-601.8</v>
      </c>
      <c r="B1117" s="56">
        <v>119.3</v>
      </c>
    </row>
    <row r="1118" spans="1:2" x14ac:dyDescent="0.25">
      <c r="A1118" s="56">
        <v>-603.3</v>
      </c>
      <c r="B1118" s="56">
        <v>119.3</v>
      </c>
    </row>
    <row r="1119" spans="1:2" x14ac:dyDescent="0.25">
      <c r="A1119" s="56">
        <v>-603.3</v>
      </c>
      <c r="B1119" s="56">
        <v>118.3</v>
      </c>
    </row>
    <row r="1120" spans="1:2" x14ac:dyDescent="0.25">
      <c r="A1120" s="56">
        <v>-606.3</v>
      </c>
      <c r="B1120" s="56">
        <v>118.3</v>
      </c>
    </row>
    <row r="1121" spans="1:2" x14ac:dyDescent="0.25">
      <c r="A1121" s="56">
        <v>-606.3</v>
      </c>
      <c r="B1121" s="56">
        <v>118.5</v>
      </c>
    </row>
    <row r="1122" spans="1:2" x14ac:dyDescent="0.25">
      <c r="A1122" s="56">
        <v>-609.3</v>
      </c>
      <c r="B1122" s="56">
        <v>118.5</v>
      </c>
    </row>
    <row r="1123" spans="1:2" x14ac:dyDescent="0.25">
      <c r="A1123" s="56">
        <v>-609.3</v>
      </c>
      <c r="B1123" s="56">
        <v>118.9</v>
      </c>
    </row>
    <row r="1124" spans="1:2" x14ac:dyDescent="0.25">
      <c r="A1124" s="56">
        <v>-612.3</v>
      </c>
      <c r="B1124" s="56">
        <v>118.9</v>
      </c>
    </row>
    <row r="1125" spans="1:2" x14ac:dyDescent="0.25">
      <c r="A1125" s="56">
        <v>-612.3</v>
      </c>
      <c r="B1125" s="56">
        <v>115.7</v>
      </c>
    </row>
    <row r="1126" spans="1:2" x14ac:dyDescent="0.25">
      <c r="A1126" s="56">
        <v>-615.3</v>
      </c>
      <c r="B1126" s="56">
        <v>115.7</v>
      </c>
    </row>
    <row r="1127" spans="1:2" x14ac:dyDescent="0.25">
      <c r="A1127" s="56">
        <v>-615.3</v>
      </c>
      <c r="B1127" s="56">
        <v>117.1</v>
      </c>
    </row>
    <row r="1128" spans="1:2" x14ac:dyDescent="0.25">
      <c r="A1128" s="56">
        <v>-617.7</v>
      </c>
      <c r="B1128" s="56">
        <v>117.1</v>
      </c>
    </row>
    <row r="1129" spans="1:2" x14ac:dyDescent="0.25">
      <c r="A1129" s="56">
        <v>-617.7</v>
      </c>
      <c r="B1129" s="56">
        <v>117.2</v>
      </c>
    </row>
    <row r="1130" spans="1:2" x14ac:dyDescent="0.25">
      <c r="A1130" s="56">
        <v>-619.1</v>
      </c>
      <c r="B1130" s="56">
        <v>117.2</v>
      </c>
    </row>
    <row r="1131" spans="1:2" x14ac:dyDescent="0.25">
      <c r="A1131" s="56">
        <v>-619.1</v>
      </c>
      <c r="B1131" s="56">
        <v>119.9</v>
      </c>
    </row>
    <row r="1132" spans="1:2" x14ac:dyDescent="0.25">
      <c r="A1132" s="56">
        <v>-620.1</v>
      </c>
      <c r="B1132" s="56">
        <v>119.9</v>
      </c>
    </row>
    <row r="1133" spans="1:2" x14ac:dyDescent="0.25">
      <c r="A1133" s="56">
        <v>-620.1</v>
      </c>
      <c r="B1133" s="56">
        <v>119.9</v>
      </c>
    </row>
    <row r="1134" spans="1:2" x14ac:dyDescent="0.25">
      <c r="A1134" s="56">
        <v>-621.6</v>
      </c>
      <c r="B1134" s="56">
        <v>119.9</v>
      </c>
    </row>
    <row r="1135" spans="1:2" x14ac:dyDescent="0.25">
      <c r="A1135" s="56">
        <v>-621.6</v>
      </c>
      <c r="B1135" s="56">
        <v>122.2</v>
      </c>
    </row>
    <row r="1136" spans="1:2" x14ac:dyDescent="0.25">
      <c r="A1136" s="56">
        <v>-623.75</v>
      </c>
      <c r="B1136" s="56">
        <v>122.2</v>
      </c>
    </row>
    <row r="1137" spans="1:2" x14ac:dyDescent="0.25">
      <c r="A1137" s="56">
        <v>-623.75</v>
      </c>
      <c r="B1137" s="56">
        <v>119.5</v>
      </c>
    </row>
    <row r="1138" spans="1:2" x14ac:dyDescent="0.25">
      <c r="A1138" s="56">
        <v>-625.8</v>
      </c>
      <c r="B1138" s="56">
        <v>119.5</v>
      </c>
    </row>
    <row r="1139" spans="1:2" x14ac:dyDescent="0.25">
      <c r="A1139" s="56">
        <v>-625.8</v>
      </c>
      <c r="B1139" s="56">
        <v>112.5</v>
      </c>
    </row>
    <row r="1140" spans="1:2" x14ac:dyDescent="0.25">
      <c r="A1140" s="56">
        <v>-628.8</v>
      </c>
      <c r="B1140" s="56">
        <v>112.5</v>
      </c>
    </row>
    <row r="1141" spans="1:2" x14ac:dyDescent="0.25">
      <c r="A1141" s="56">
        <v>-628.8</v>
      </c>
      <c r="B1141" s="56">
        <v>119.2</v>
      </c>
    </row>
    <row r="1142" spans="1:2" x14ac:dyDescent="0.25">
      <c r="A1142" s="56">
        <v>-629.35</v>
      </c>
      <c r="B1142" s="56">
        <v>119.2</v>
      </c>
    </row>
    <row r="1143" spans="1:2" x14ac:dyDescent="0.25">
      <c r="A1143" s="56">
        <v>-629.35</v>
      </c>
      <c r="B1143" s="56">
        <v>121.1</v>
      </c>
    </row>
    <row r="1144" spans="1:2" x14ac:dyDescent="0.25">
      <c r="A1144" s="56">
        <v>-631.8</v>
      </c>
      <c r="B1144" s="56">
        <v>121.1</v>
      </c>
    </row>
    <row r="1145" spans="1:2" x14ac:dyDescent="0.25">
      <c r="A1145" s="56">
        <v>-631.8</v>
      </c>
      <c r="B1145" s="56">
        <v>120.7</v>
      </c>
    </row>
    <row r="1146" spans="1:2" x14ac:dyDescent="0.25">
      <c r="A1146" s="56">
        <v>-634.8</v>
      </c>
      <c r="B1146" s="56">
        <v>120.7</v>
      </c>
    </row>
    <row r="1147" spans="1:2" x14ac:dyDescent="0.25">
      <c r="A1147" s="56">
        <v>-634.8</v>
      </c>
      <c r="B1147" s="56">
        <v>121</v>
      </c>
    </row>
    <row r="1148" spans="1:2" x14ac:dyDescent="0.25">
      <c r="A1148" s="56">
        <v>-636.3</v>
      </c>
      <c r="B1148" s="56">
        <v>121</v>
      </c>
    </row>
    <row r="1149" spans="1:2" x14ac:dyDescent="0.25">
      <c r="A1149" s="56">
        <v>-636.3</v>
      </c>
      <c r="B1149" s="56">
        <v>121.2</v>
      </c>
    </row>
    <row r="1150" spans="1:2" x14ac:dyDescent="0.25">
      <c r="A1150" s="56">
        <v>-639.3</v>
      </c>
      <c r="B1150" s="56">
        <v>121.2</v>
      </c>
    </row>
    <row r="1151" spans="1:2" x14ac:dyDescent="0.25">
      <c r="A1151" s="56">
        <v>-639.3</v>
      </c>
      <c r="B1151" s="56">
        <v>121.4</v>
      </c>
    </row>
    <row r="1152" spans="1:2" x14ac:dyDescent="0.25">
      <c r="A1152" s="56">
        <v>-642.3</v>
      </c>
      <c r="B1152" s="56">
        <v>121.4</v>
      </c>
    </row>
    <row r="1153" spans="1:2" x14ac:dyDescent="0.25">
      <c r="A1153" s="56">
        <v>-642.3</v>
      </c>
      <c r="B1153" s="56">
        <v>120</v>
      </c>
    </row>
    <row r="1154" spans="1:2" x14ac:dyDescent="0.25">
      <c r="A1154" s="56">
        <v>-645.3</v>
      </c>
      <c r="B1154" s="56">
        <v>120</v>
      </c>
    </row>
    <row r="1155" spans="1:2" x14ac:dyDescent="0.25">
      <c r="A1155" s="56">
        <v>-645.3</v>
      </c>
      <c r="B1155" s="56">
        <v>120</v>
      </c>
    </row>
    <row r="1156" spans="1:2" x14ac:dyDescent="0.25">
      <c r="A1156" s="56">
        <v>-648.3</v>
      </c>
      <c r="B1156" s="56">
        <v>120</v>
      </c>
    </row>
    <row r="1157" spans="1:2" x14ac:dyDescent="0.25">
      <c r="A1157" s="56">
        <v>-648.3</v>
      </c>
      <c r="B1157" s="56">
        <v>119.7</v>
      </c>
    </row>
    <row r="1158" spans="1:2" x14ac:dyDescent="0.25">
      <c r="A1158" s="56">
        <v>-651.3</v>
      </c>
      <c r="B1158" s="56">
        <v>119.7</v>
      </c>
    </row>
    <row r="1159" spans="1:2" x14ac:dyDescent="0.25">
      <c r="A1159" s="56">
        <v>-651.3</v>
      </c>
      <c r="B1159" s="56">
        <v>113.5</v>
      </c>
    </row>
    <row r="1160" spans="1:2" x14ac:dyDescent="0.25">
      <c r="A1160" s="56">
        <v>-654.3</v>
      </c>
      <c r="B1160" s="56">
        <v>113.5</v>
      </c>
    </row>
    <row r="1161" spans="1:2" x14ac:dyDescent="0.25">
      <c r="A1161" s="56">
        <v>-654.3</v>
      </c>
      <c r="B1161" s="56">
        <v>112.5</v>
      </c>
    </row>
    <row r="1162" spans="1:2" x14ac:dyDescent="0.25">
      <c r="A1162" s="56">
        <v>-657</v>
      </c>
      <c r="B1162" s="56">
        <v>112.5</v>
      </c>
    </row>
    <row r="1163" spans="1:2" x14ac:dyDescent="0.25">
      <c r="A1163" s="56">
        <v>-657</v>
      </c>
      <c r="B1163" s="56">
        <v>120.3</v>
      </c>
    </row>
    <row r="1164" spans="1:2" x14ac:dyDescent="0.25">
      <c r="A1164" s="56">
        <v>-657.7</v>
      </c>
      <c r="B1164" s="56">
        <v>120.3</v>
      </c>
    </row>
    <row r="1165" spans="1:2" x14ac:dyDescent="0.25">
      <c r="A1165" s="56">
        <v>-657.7</v>
      </c>
      <c r="B1165" s="56">
        <v>118.3</v>
      </c>
    </row>
    <row r="1166" spans="1:2" x14ac:dyDescent="0.25">
      <c r="A1166" s="56">
        <v>-660.3</v>
      </c>
      <c r="B1166" s="56">
        <v>118.3</v>
      </c>
    </row>
    <row r="1167" spans="1:2" x14ac:dyDescent="0.25">
      <c r="A1167" s="56">
        <v>-660.3</v>
      </c>
      <c r="B1167" s="56">
        <v>117</v>
      </c>
    </row>
    <row r="1168" spans="1:2" x14ac:dyDescent="0.25">
      <c r="A1168" s="56">
        <v>-662.5</v>
      </c>
      <c r="B1168" s="56">
        <v>117</v>
      </c>
    </row>
    <row r="1169" spans="1:2" x14ac:dyDescent="0.25">
      <c r="A1169" s="56">
        <v>-662.5</v>
      </c>
      <c r="B1169" s="56">
        <v>119</v>
      </c>
    </row>
    <row r="1170" spans="1:2" x14ac:dyDescent="0.25">
      <c r="A1170" s="56">
        <v>-665.5</v>
      </c>
      <c r="B1170" s="56">
        <v>119</v>
      </c>
    </row>
    <row r="1171" spans="1:2" x14ac:dyDescent="0.25">
      <c r="A1171" s="56">
        <v>-665.5</v>
      </c>
      <c r="B1171" s="56">
        <v>112.9</v>
      </c>
    </row>
    <row r="1172" spans="1:2" x14ac:dyDescent="0.25">
      <c r="A1172" s="56">
        <v>-668.5</v>
      </c>
      <c r="B1172" s="56">
        <v>112.9</v>
      </c>
    </row>
    <row r="1173" spans="1:2" x14ac:dyDescent="0.25">
      <c r="A1173" s="56">
        <v>-668.5</v>
      </c>
      <c r="B1173" s="56">
        <v>113.3</v>
      </c>
    </row>
    <row r="1174" spans="1:2" x14ac:dyDescent="0.25">
      <c r="A1174" s="56">
        <v>-670.8</v>
      </c>
      <c r="B1174" s="56">
        <v>113.3</v>
      </c>
    </row>
    <row r="1175" spans="1:2" x14ac:dyDescent="0.25">
      <c r="A1175" s="56">
        <v>-670.8</v>
      </c>
      <c r="B1175" s="56">
        <v>113.7</v>
      </c>
    </row>
    <row r="1176" spans="1:2" x14ac:dyDescent="0.25">
      <c r="A1176" s="56">
        <v>-672.3</v>
      </c>
      <c r="B1176" s="56">
        <v>113.7</v>
      </c>
    </row>
    <row r="1177" spans="1:2" x14ac:dyDescent="0.25">
      <c r="A1177" s="56">
        <v>-672.3</v>
      </c>
      <c r="B1177" s="56">
        <v>112.5</v>
      </c>
    </row>
    <row r="1178" spans="1:2" x14ac:dyDescent="0.25">
      <c r="A1178" s="56">
        <v>-673.6</v>
      </c>
      <c r="B1178" s="56">
        <v>112.5</v>
      </c>
    </row>
    <row r="1179" spans="1:2" x14ac:dyDescent="0.25">
      <c r="A1179" s="56">
        <v>-673.6</v>
      </c>
      <c r="B1179" s="56">
        <v>112.5</v>
      </c>
    </row>
    <row r="1180" spans="1:2" x14ac:dyDescent="0.25">
      <c r="A1180" s="56">
        <v>-675.3</v>
      </c>
      <c r="B1180" s="56">
        <v>112.5</v>
      </c>
    </row>
    <row r="1181" spans="1:2" x14ac:dyDescent="0.25">
      <c r="A1181" s="56">
        <v>-675.3</v>
      </c>
      <c r="B1181" s="56">
        <v>112.5</v>
      </c>
    </row>
    <row r="1182" spans="1:2" x14ac:dyDescent="0.25">
      <c r="A1182" s="56">
        <v>-676.8</v>
      </c>
      <c r="B1182" s="56">
        <v>112.5</v>
      </c>
    </row>
    <row r="1183" spans="1:2" x14ac:dyDescent="0.25">
      <c r="A1183" s="56">
        <v>-676.8</v>
      </c>
      <c r="B1183" s="56">
        <v>112.5</v>
      </c>
    </row>
    <row r="1184" spans="1:2" x14ac:dyDescent="0.25">
      <c r="A1184" s="56">
        <v>-678.3</v>
      </c>
      <c r="B1184" s="56">
        <v>112.5</v>
      </c>
    </row>
    <row r="1185" spans="1:2" x14ac:dyDescent="0.25">
      <c r="A1185" s="56">
        <v>-678.3</v>
      </c>
      <c r="B1185" s="56">
        <v>112.5</v>
      </c>
    </row>
    <row r="1186" spans="1:2" x14ac:dyDescent="0.25">
      <c r="A1186" s="56">
        <v>-679.8</v>
      </c>
      <c r="B1186" s="56">
        <v>112.5</v>
      </c>
    </row>
    <row r="1187" spans="1:2" x14ac:dyDescent="0.25">
      <c r="A1187" s="56">
        <v>-679.8</v>
      </c>
      <c r="B1187" s="56">
        <v>117.8</v>
      </c>
    </row>
    <row r="1188" spans="1:2" x14ac:dyDescent="0.25">
      <c r="A1188" s="56">
        <v>-681.25</v>
      </c>
      <c r="B1188" s="56">
        <v>117.8</v>
      </c>
    </row>
    <row r="1189" spans="1:2" x14ac:dyDescent="0.25">
      <c r="A1189" s="56">
        <v>-681.25</v>
      </c>
      <c r="B1189" s="56">
        <v>113.3</v>
      </c>
    </row>
    <row r="1190" spans="1:2" x14ac:dyDescent="0.25">
      <c r="A1190" s="56">
        <v>-682.75</v>
      </c>
      <c r="B1190" s="56">
        <v>113.3</v>
      </c>
    </row>
    <row r="1191" spans="1:2" x14ac:dyDescent="0.25">
      <c r="A1191" s="56">
        <v>-682.75</v>
      </c>
      <c r="B1191" s="56">
        <v>115</v>
      </c>
    </row>
    <row r="1192" spans="1:2" x14ac:dyDescent="0.25">
      <c r="A1192" s="56">
        <v>-684.25</v>
      </c>
      <c r="B1192" s="56">
        <v>115</v>
      </c>
    </row>
    <row r="1193" spans="1:2" x14ac:dyDescent="0.25">
      <c r="A1193" s="56">
        <v>-684.25</v>
      </c>
      <c r="B1193" s="56">
        <v>112.5</v>
      </c>
    </row>
    <row r="1194" spans="1:2" x14ac:dyDescent="0.25">
      <c r="A1194" s="56">
        <v>-685.75</v>
      </c>
      <c r="B1194" s="56">
        <v>112.5</v>
      </c>
    </row>
    <row r="1195" spans="1:2" x14ac:dyDescent="0.25">
      <c r="A1195" s="56">
        <v>-685.75</v>
      </c>
      <c r="B1195" s="56">
        <v>113.4</v>
      </c>
    </row>
    <row r="1196" spans="1:2" x14ac:dyDescent="0.25">
      <c r="A1196" s="56">
        <v>-687.25</v>
      </c>
      <c r="B1196" s="56">
        <v>113.4</v>
      </c>
    </row>
    <row r="1197" spans="1:2" x14ac:dyDescent="0.25">
      <c r="A1197" s="56">
        <v>-687.25</v>
      </c>
      <c r="B1197" s="56">
        <v>114.8</v>
      </c>
    </row>
    <row r="1198" spans="1:2" x14ac:dyDescent="0.25">
      <c r="A1198" s="56">
        <v>-688.75</v>
      </c>
      <c r="B1198" s="56">
        <v>114.8</v>
      </c>
    </row>
    <row r="1199" spans="1:2" x14ac:dyDescent="0.25">
      <c r="A1199" s="56">
        <v>-688.75</v>
      </c>
      <c r="B1199" s="56">
        <v>113.3</v>
      </c>
    </row>
    <row r="1200" spans="1:2" x14ac:dyDescent="0.25">
      <c r="A1200" s="56">
        <v>-690.25</v>
      </c>
      <c r="B1200" s="56">
        <v>113.3</v>
      </c>
    </row>
    <row r="1201" spans="1:2" x14ac:dyDescent="0.25">
      <c r="A1201" s="56">
        <v>-690.25</v>
      </c>
      <c r="B1201" s="56">
        <v>119</v>
      </c>
    </row>
    <row r="1202" spans="1:2" x14ac:dyDescent="0.25">
      <c r="A1202" s="56">
        <v>-691.75</v>
      </c>
      <c r="B1202" s="56">
        <v>119</v>
      </c>
    </row>
    <row r="1203" spans="1:2" x14ac:dyDescent="0.25">
      <c r="A1203" s="56">
        <v>-691.75</v>
      </c>
      <c r="B1203" s="56">
        <v>115.6</v>
      </c>
    </row>
    <row r="1204" spans="1:2" x14ac:dyDescent="0.25">
      <c r="A1204" s="56">
        <v>-693.25</v>
      </c>
      <c r="B1204" s="56">
        <v>115.6</v>
      </c>
    </row>
    <row r="1205" spans="1:2" x14ac:dyDescent="0.25">
      <c r="A1205" s="56">
        <v>-693.25</v>
      </c>
      <c r="B1205" s="56">
        <v>118.2</v>
      </c>
    </row>
    <row r="1206" spans="1:2" x14ac:dyDescent="0.25">
      <c r="A1206" s="56">
        <v>-694.75</v>
      </c>
      <c r="B1206" s="56">
        <v>118.2</v>
      </c>
    </row>
    <row r="1207" spans="1:2" x14ac:dyDescent="0.25">
      <c r="A1207" s="56">
        <v>-694.75</v>
      </c>
      <c r="B1207" s="56">
        <v>112.5</v>
      </c>
    </row>
    <row r="1208" spans="1:2" x14ac:dyDescent="0.25">
      <c r="A1208" s="56">
        <v>-696.25</v>
      </c>
      <c r="B1208" s="56">
        <v>112.5</v>
      </c>
    </row>
    <row r="1209" spans="1:2" x14ac:dyDescent="0.25">
      <c r="A1209" s="56">
        <v>-696.25</v>
      </c>
      <c r="B1209" s="56">
        <v>112.5</v>
      </c>
    </row>
    <row r="1211" spans="1:2" x14ac:dyDescent="0.25">
      <c r="A1211" s="56">
        <v>0</v>
      </c>
      <c r="B1211" s="56">
        <v>125.051475</v>
      </c>
    </row>
    <row r="1212" spans="1:2" x14ac:dyDescent="0.25">
      <c r="A1212" s="56">
        <v>-0.9</v>
      </c>
      <c r="B1212" s="56">
        <v>125.051475</v>
      </c>
    </row>
    <row r="1213" spans="1:2" x14ac:dyDescent="0.25">
      <c r="A1213" s="56">
        <v>-0.9</v>
      </c>
      <c r="B1213" s="56">
        <v>125.050725</v>
      </c>
    </row>
    <row r="1214" spans="1:2" x14ac:dyDescent="0.25">
      <c r="A1214" s="56">
        <v>-1.65</v>
      </c>
      <c r="B1214" s="56">
        <v>125.050725</v>
      </c>
    </row>
    <row r="1215" spans="1:2" x14ac:dyDescent="0.25">
      <c r="A1215" s="56">
        <v>-1.65</v>
      </c>
      <c r="B1215" s="56">
        <v>125.051475</v>
      </c>
    </row>
    <row r="1216" spans="1:2" x14ac:dyDescent="0.25">
      <c r="A1216" s="56">
        <v>-3.15</v>
      </c>
      <c r="B1216" s="56">
        <v>125.051475</v>
      </c>
    </row>
    <row r="1217" spans="1:2" x14ac:dyDescent="0.25">
      <c r="A1217" s="56">
        <v>-3.15</v>
      </c>
      <c r="B1217" s="56">
        <v>125.080625</v>
      </c>
    </row>
    <row r="1218" spans="1:2" x14ac:dyDescent="0.25">
      <c r="A1218" s="56">
        <v>-4.55</v>
      </c>
      <c r="B1218" s="56">
        <v>125.080625</v>
      </c>
    </row>
    <row r="1219" spans="1:2" x14ac:dyDescent="0.25">
      <c r="A1219" s="56">
        <v>-4.55</v>
      </c>
      <c r="B1219" s="56">
        <v>125.050525</v>
      </c>
    </row>
    <row r="1220" spans="1:2" x14ac:dyDescent="0.25">
      <c r="A1220" s="56">
        <v>-5.95</v>
      </c>
      <c r="B1220" s="56">
        <v>125.050525</v>
      </c>
    </row>
    <row r="1221" spans="1:2" x14ac:dyDescent="0.25">
      <c r="A1221" s="56">
        <v>-5.95</v>
      </c>
      <c r="B1221" s="56">
        <v>125.051325</v>
      </c>
    </row>
    <row r="1222" spans="1:2" x14ac:dyDescent="0.25">
      <c r="A1222" s="56">
        <v>-7.55</v>
      </c>
      <c r="B1222" s="56">
        <v>125.051325</v>
      </c>
    </row>
    <row r="1223" spans="1:2" x14ac:dyDescent="0.25">
      <c r="A1223" s="56">
        <v>-7.55</v>
      </c>
      <c r="B1223" s="56">
        <v>125.0506</v>
      </c>
    </row>
    <row r="1224" spans="1:2" x14ac:dyDescent="0.25">
      <c r="A1224" s="56">
        <v>-9.05</v>
      </c>
      <c r="B1224" s="56">
        <v>125.0506</v>
      </c>
    </row>
    <row r="1225" spans="1:2" x14ac:dyDescent="0.25">
      <c r="A1225" s="56">
        <v>-9.05</v>
      </c>
      <c r="B1225" s="56">
        <v>125.0506</v>
      </c>
    </row>
    <row r="1226" spans="1:2" x14ac:dyDescent="0.25">
      <c r="A1226" s="56">
        <v>-10.55</v>
      </c>
      <c r="B1226" s="56">
        <v>125.0506</v>
      </c>
    </row>
    <row r="1227" spans="1:2" x14ac:dyDescent="0.25">
      <c r="A1227" s="56">
        <v>-10.55</v>
      </c>
      <c r="B1227" s="56">
        <v>125.05465</v>
      </c>
    </row>
    <row r="1228" spans="1:2" x14ac:dyDescent="0.25">
      <c r="A1228" s="56">
        <v>-12.05</v>
      </c>
      <c r="B1228" s="56">
        <v>125.05465</v>
      </c>
    </row>
    <row r="1229" spans="1:2" x14ac:dyDescent="0.25">
      <c r="A1229" s="56">
        <v>-12.05</v>
      </c>
      <c r="B1229" s="56">
        <v>125.0506</v>
      </c>
    </row>
    <row r="1230" spans="1:2" x14ac:dyDescent="0.25">
      <c r="A1230" s="56">
        <v>-13.55</v>
      </c>
      <c r="B1230" s="56">
        <v>125.0506</v>
      </c>
    </row>
    <row r="1231" spans="1:2" x14ac:dyDescent="0.25">
      <c r="A1231" s="56">
        <v>-13.55</v>
      </c>
      <c r="B1231" s="56">
        <v>125.0506</v>
      </c>
    </row>
    <row r="1232" spans="1:2" x14ac:dyDescent="0.25">
      <c r="A1232" s="56">
        <v>-15.05</v>
      </c>
      <c r="B1232" s="56">
        <v>125.0506</v>
      </c>
    </row>
    <row r="1233" spans="1:2" x14ac:dyDescent="0.25">
      <c r="A1233" s="56">
        <v>-15.05</v>
      </c>
      <c r="B1233" s="56">
        <v>125.0506</v>
      </c>
    </row>
    <row r="1234" spans="1:2" x14ac:dyDescent="0.25">
      <c r="A1234" s="56">
        <v>-16.55</v>
      </c>
      <c r="B1234" s="56">
        <v>125.0506</v>
      </c>
    </row>
    <row r="1235" spans="1:2" x14ac:dyDescent="0.25">
      <c r="A1235" s="56">
        <v>-16.55</v>
      </c>
      <c r="B1235" s="56">
        <v>125.0506</v>
      </c>
    </row>
    <row r="1236" spans="1:2" x14ac:dyDescent="0.25">
      <c r="A1236" s="56">
        <v>-18.05</v>
      </c>
      <c r="B1236" s="56">
        <v>125.0506</v>
      </c>
    </row>
    <row r="1237" spans="1:2" x14ac:dyDescent="0.25">
      <c r="A1237" s="56">
        <v>-18.05</v>
      </c>
      <c r="B1237" s="56">
        <v>125.0506</v>
      </c>
    </row>
    <row r="1238" spans="1:2" x14ac:dyDescent="0.25">
      <c r="A1238" s="56">
        <v>-19.55</v>
      </c>
      <c r="B1238" s="56">
        <v>125.0506</v>
      </c>
    </row>
    <row r="1239" spans="1:2" x14ac:dyDescent="0.25">
      <c r="A1239" s="56">
        <v>-19.55</v>
      </c>
      <c r="B1239" s="56">
        <v>125.05465</v>
      </c>
    </row>
    <row r="1240" spans="1:2" x14ac:dyDescent="0.25">
      <c r="A1240" s="56">
        <v>-21.05</v>
      </c>
      <c r="B1240" s="56">
        <v>125.05465</v>
      </c>
    </row>
    <row r="1241" spans="1:2" x14ac:dyDescent="0.25">
      <c r="A1241" s="56">
        <v>-21.05</v>
      </c>
      <c r="B1241" s="56">
        <v>125.051875</v>
      </c>
    </row>
    <row r="1242" spans="1:2" x14ac:dyDescent="0.25">
      <c r="A1242" s="56">
        <v>-22.55</v>
      </c>
      <c r="B1242" s="56">
        <v>125.051875</v>
      </c>
    </row>
    <row r="1243" spans="1:2" x14ac:dyDescent="0.25">
      <c r="A1243" s="56">
        <v>-22.55</v>
      </c>
      <c r="B1243" s="56">
        <v>125.0532</v>
      </c>
    </row>
    <row r="1244" spans="1:2" x14ac:dyDescent="0.25">
      <c r="A1244" s="56">
        <v>-24.05</v>
      </c>
      <c r="B1244" s="56">
        <v>125.0532</v>
      </c>
    </row>
    <row r="1245" spans="1:2" x14ac:dyDescent="0.25">
      <c r="A1245" s="56">
        <v>-24.05</v>
      </c>
      <c r="B1245" s="56">
        <v>125.0532</v>
      </c>
    </row>
    <row r="1246" spans="1:2" x14ac:dyDescent="0.25">
      <c r="A1246" s="56">
        <v>-24.9</v>
      </c>
      <c r="B1246" s="56">
        <v>125.0532</v>
      </c>
    </row>
    <row r="1247" spans="1:2" x14ac:dyDescent="0.25">
      <c r="A1247" s="56">
        <v>-24.9</v>
      </c>
      <c r="B1247" s="56">
        <v>125.0552</v>
      </c>
    </row>
    <row r="1248" spans="1:2" x14ac:dyDescent="0.25">
      <c r="A1248" s="56">
        <v>-26.05</v>
      </c>
      <c r="B1248" s="56">
        <v>125.0552</v>
      </c>
    </row>
    <row r="1249" spans="1:2" x14ac:dyDescent="0.25">
      <c r="A1249" s="56">
        <v>-26.05</v>
      </c>
      <c r="B1249" s="56">
        <v>125.0532</v>
      </c>
    </row>
    <row r="1250" spans="1:2" x14ac:dyDescent="0.25">
      <c r="A1250" s="56">
        <v>-27.2</v>
      </c>
      <c r="B1250" s="56">
        <v>125.0532</v>
      </c>
    </row>
    <row r="1251" spans="1:2" x14ac:dyDescent="0.25">
      <c r="A1251" s="56">
        <v>-27.2</v>
      </c>
      <c r="B1251" s="56">
        <v>125.0552</v>
      </c>
    </row>
    <row r="1252" spans="1:2" x14ac:dyDescent="0.25">
      <c r="A1252" s="56">
        <v>-28.7</v>
      </c>
      <c r="B1252" s="56">
        <v>125.0552</v>
      </c>
    </row>
    <row r="1253" spans="1:2" x14ac:dyDescent="0.25">
      <c r="A1253" s="56">
        <v>-28.7</v>
      </c>
      <c r="B1253" s="56">
        <v>125.0532</v>
      </c>
    </row>
    <row r="1254" spans="1:2" x14ac:dyDescent="0.25">
      <c r="A1254" s="56">
        <v>-30.2</v>
      </c>
      <c r="B1254" s="56">
        <v>125.0532</v>
      </c>
    </row>
    <row r="1255" spans="1:2" x14ac:dyDescent="0.25">
      <c r="A1255" s="56">
        <v>-30.2</v>
      </c>
      <c r="B1255" s="56">
        <v>125.052425</v>
      </c>
    </row>
    <row r="1256" spans="1:2" x14ac:dyDescent="0.25">
      <c r="A1256" s="56">
        <v>-31.8</v>
      </c>
      <c r="B1256" s="56">
        <v>125.052425</v>
      </c>
    </row>
    <row r="1257" spans="1:2" x14ac:dyDescent="0.25">
      <c r="A1257" s="56">
        <v>-31.8</v>
      </c>
      <c r="B1257" s="56">
        <v>125.0552</v>
      </c>
    </row>
    <row r="1258" spans="1:2" x14ac:dyDescent="0.25">
      <c r="A1258" s="56">
        <v>-33.4</v>
      </c>
      <c r="B1258" s="56">
        <v>125.0552</v>
      </c>
    </row>
    <row r="1259" spans="1:2" x14ac:dyDescent="0.25">
      <c r="A1259" s="56">
        <v>-33.4</v>
      </c>
      <c r="B1259" s="56">
        <v>125.0532</v>
      </c>
    </row>
    <row r="1260" spans="1:2" x14ac:dyDescent="0.25">
      <c r="A1260" s="56">
        <v>-34.95</v>
      </c>
      <c r="B1260" s="56">
        <v>125.0532</v>
      </c>
    </row>
    <row r="1261" spans="1:2" x14ac:dyDescent="0.25">
      <c r="A1261" s="56">
        <v>-34.95</v>
      </c>
      <c r="B1261" s="56">
        <v>125.0532</v>
      </c>
    </row>
    <row r="1262" spans="1:2" x14ac:dyDescent="0.25">
      <c r="A1262" s="56">
        <v>-36.45</v>
      </c>
      <c r="B1262" s="56">
        <v>125.0532</v>
      </c>
    </row>
    <row r="1263" spans="1:2" x14ac:dyDescent="0.25">
      <c r="A1263" s="56">
        <v>-36.45</v>
      </c>
      <c r="B1263" s="56">
        <v>125.0532</v>
      </c>
    </row>
    <row r="1264" spans="1:2" x14ac:dyDescent="0.25">
      <c r="A1264" s="56">
        <v>-37.95</v>
      </c>
      <c r="B1264" s="56">
        <v>125.0532</v>
      </c>
    </row>
    <row r="1265" spans="1:2" x14ac:dyDescent="0.25">
      <c r="A1265" s="56">
        <v>-37.95</v>
      </c>
      <c r="B1265" s="56">
        <v>125.051425</v>
      </c>
    </row>
    <row r="1266" spans="1:2" x14ac:dyDescent="0.25">
      <c r="A1266" s="56">
        <v>-39.45</v>
      </c>
      <c r="B1266" s="56">
        <v>125.051425</v>
      </c>
    </row>
    <row r="1267" spans="1:2" x14ac:dyDescent="0.25">
      <c r="A1267" s="56">
        <v>-39.45</v>
      </c>
      <c r="B1267" s="56">
        <v>125.0552</v>
      </c>
    </row>
    <row r="1268" spans="1:2" x14ac:dyDescent="0.25">
      <c r="A1268" s="56">
        <v>-40.95</v>
      </c>
      <c r="B1268" s="56">
        <v>125.0552</v>
      </c>
    </row>
    <row r="1269" spans="1:2" x14ac:dyDescent="0.25">
      <c r="A1269" s="56">
        <v>-40.95</v>
      </c>
      <c r="B1269" s="56">
        <v>125.0552</v>
      </c>
    </row>
    <row r="1270" spans="1:2" x14ac:dyDescent="0.25">
      <c r="A1270" s="56">
        <v>-42.35</v>
      </c>
      <c r="B1270" s="56">
        <v>125.0552</v>
      </c>
    </row>
    <row r="1271" spans="1:2" x14ac:dyDescent="0.25">
      <c r="A1271" s="56">
        <v>-42.35</v>
      </c>
      <c r="B1271" s="56">
        <v>125.13435</v>
      </c>
    </row>
    <row r="1272" spans="1:2" x14ac:dyDescent="0.25">
      <c r="A1272" s="56">
        <v>-43.95</v>
      </c>
      <c r="B1272" s="56">
        <v>125.13435</v>
      </c>
    </row>
    <row r="1273" spans="1:2" x14ac:dyDescent="0.25">
      <c r="A1273" s="56">
        <v>-43.95</v>
      </c>
      <c r="B1273" s="56">
        <v>125.1343575</v>
      </c>
    </row>
    <row r="1274" spans="1:2" x14ac:dyDescent="0.25">
      <c r="A1274" s="56">
        <v>-45.45</v>
      </c>
      <c r="B1274" s="56">
        <v>125.1343575</v>
      </c>
    </row>
    <row r="1275" spans="1:2" x14ac:dyDescent="0.25">
      <c r="A1275" s="56">
        <v>-45.45</v>
      </c>
      <c r="B1275" s="56">
        <v>125.12695</v>
      </c>
    </row>
    <row r="1276" spans="1:2" x14ac:dyDescent="0.25">
      <c r="A1276" s="56">
        <v>-46.95</v>
      </c>
      <c r="B1276" s="56">
        <v>125.12695</v>
      </c>
    </row>
    <row r="1277" spans="1:2" x14ac:dyDescent="0.25">
      <c r="A1277" s="56">
        <v>-46.95</v>
      </c>
      <c r="B1277" s="56">
        <v>124.7943</v>
      </c>
    </row>
    <row r="1278" spans="1:2" x14ac:dyDescent="0.25">
      <c r="A1278" s="56">
        <v>-48.45</v>
      </c>
      <c r="B1278" s="56">
        <v>124.7943</v>
      </c>
    </row>
    <row r="1279" spans="1:2" x14ac:dyDescent="0.25">
      <c r="A1279" s="56">
        <v>-48.45</v>
      </c>
      <c r="B1279" s="56">
        <v>125.173875</v>
      </c>
    </row>
    <row r="1280" spans="1:2" x14ac:dyDescent="0.25">
      <c r="A1280" s="56">
        <v>-49.95</v>
      </c>
      <c r="B1280" s="56">
        <v>125.173875</v>
      </c>
    </row>
    <row r="1281" spans="1:2" x14ac:dyDescent="0.25">
      <c r="A1281" s="56">
        <v>-49.95</v>
      </c>
      <c r="B1281" s="56">
        <v>125.13385</v>
      </c>
    </row>
    <row r="1282" spans="1:2" x14ac:dyDescent="0.25">
      <c r="A1282" s="56">
        <v>-51.45</v>
      </c>
      <c r="B1282" s="56">
        <v>125.13385</v>
      </c>
    </row>
    <row r="1283" spans="1:2" x14ac:dyDescent="0.25">
      <c r="A1283" s="56">
        <v>-51.45</v>
      </c>
      <c r="B1283" s="56">
        <v>125.06875</v>
      </c>
    </row>
    <row r="1284" spans="1:2" x14ac:dyDescent="0.25">
      <c r="A1284" s="56">
        <v>-52.95</v>
      </c>
      <c r="B1284" s="56">
        <v>125.06875</v>
      </c>
    </row>
    <row r="1285" spans="1:2" x14ac:dyDescent="0.25">
      <c r="A1285" s="56">
        <v>-52.95</v>
      </c>
      <c r="B1285" s="56">
        <v>125.1027</v>
      </c>
    </row>
    <row r="1286" spans="1:2" x14ac:dyDescent="0.25">
      <c r="A1286" s="56">
        <v>-54.45</v>
      </c>
      <c r="B1286" s="56">
        <v>125.1027</v>
      </c>
    </row>
    <row r="1287" spans="1:2" x14ac:dyDescent="0.25">
      <c r="A1287" s="56">
        <v>-54.45</v>
      </c>
      <c r="B1287" s="56">
        <v>125.137075</v>
      </c>
    </row>
    <row r="1288" spans="1:2" x14ac:dyDescent="0.25">
      <c r="A1288" s="56">
        <v>-55.95</v>
      </c>
      <c r="B1288" s="56">
        <v>125.137075</v>
      </c>
    </row>
    <row r="1289" spans="1:2" x14ac:dyDescent="0.25">
      <c r="A1289" s="56">
        <v>-55.95</v>
      </c>
      <c r="B1289" s="56">
        <v>125.154675</v>
      </c>
    </row>
    <row r="1290" spans="1:2" x14ac:dyDescent="0.25">
      <c r="A1290" s="56">
        <v>-57.45</v>
      </c>
      <c r="B1290" s="56">
        <v>125.154675</v>
      </c>
    </row>
    <row r="1291" spans="1:2" x14ac:dyDescent="0.25">
      <c r="A1291" s="56">
        <v>-57.45</v>
      </c>
      <c r="B1291" s="56">
        <v>125.154675</v>
      </c>
    </row>
    <row r="1292" spans="1:2" x14ac:dyDescent="0.25">
      <c r="A1292" s="56">
        <v>-58.95</v>
      </c>
      <c r="B1292" s="56">
        <v>125.154675</v>
      </c>
    </row>
    <row r="1293" spans="1:2" x14ac:dyDescent="0.25">
      <c r="A1293" s="56">
        <v>-58.95</v>
      </c>
      <c r="B1293" s="56">
        <v>125.112625</v>
      </c>
    </row>
    <row r="1294" spans="1:2" x14ac:dyDescent="0.25">
      <c r="A1294" s="56">
        <v>-60.45</v>
      </c>
      <c r="B1294" s="56">
        <v>125.112625</v>
      </c>
    </row>
    <row r="1295" spans="1:2" x14ac:dyDescent="0.25">
      <c r="A1295" s="56">
        <v>-60.45</v>
      </c>
      <c r="B1295" s="56">
        <v>125.112625</v>
      </c>
    </row>
    <row r="1296" spans="1:2" x14ac:dyDescent="0.25">
      <c r="A1296" s="56">
        <v>-61.95</v>
      </c>
      <c r="B1296" s="56">
        <v>125.112625</v>
      </c>
    </row>
    <row r="1297" spans="1:2" x14ac:dyDescent="0.25">
      <c r="A1297" s="56">
        <v>-61.95</v>
      </c>
      <c r="B1297" s="56">
        <v>125.2234</v>
      </c>
    </row>
    <row r="1298" spans="1:2" x14ac:dyDescent="0.25">
      <c r="A1298" s="56">
        <v>-63.45</v>
      </c>
      <c r="B1298" s="56">
        <v>125.2234</v>
      </c>
    </row>
    <row r="1299" spans="1:2" x14ac:dyDescent="0.25">
      <c r="A1299" s="56">
        <v>-63.45</v>
      </c>
      <c r="B1299" s="56">
        <v>125.1002</v>
      </c>
    </row>
    <row r="1300" spans="1:2" x14ac:dyDescent="0.25">
      <c r="A1300" s="56">
        <v>-64.95</v>
      </c>
      <c r="B1300" s="56">
        <v>125.1002</v>
      </c>
    </row>
    <row r="1301" spans="1:2" x14ac:dyDescent="0.25">
      <c r="A1301" s="56">
        <v>-64.95</v>
      </c>
      <c r="B1301" s="56">
        <v>125.08275</v>
      </c>
    </row>
    <row r="1302" spans="1:2" x14ac:dyDescent="0.25">
      <c r="A1302" s="56">
        <v>-66.45</v>
      </c>
      <c r="B1302" s="56">
        <v>125.08275</v>
      </c>
    </row>
    <row r="1303" spans="1:2" x14ac:dyDescent="0.25">
      <c r="A1303" s="56">
        <v>-66.45</v>
      </c>
      <c r="B1303" s="56">
        <v>125.089525</v>
      </c>
    </row>
    <row r="1304" spans="1:2" x14ac:dyDescent="0.25">
      <c r="A1304" s="56">
        <v>-67.95</v>
      </c>
      <c r="B1304" s="56">
        <v>125.089525</v>
      </c>
    </row>
    <row r="1305" spans="1:2" x14ac:dyDescent="0.25">
      <c r="A1305" s="56">
        <v>-67.95</v>
      </c>
      <c r="B1305" s="56">
        <v>125.1033</v>
      </c>
    </row>
    <row r="1306" spans="1:2" x14ac:dyDescent="0.25">
      <c r="A1306" s="56">
        <v>-69.45</v>
      </c>
      <c r="B1306" s="56">
        <v>125.1033</v>
      </c>
    </row>
    <row r="1307" spans="1:2" x14ac:dyDescent="0.25">
      <c r="A1307" s="56">
        <v>-69.45</v>
      </c>
      <c r="B1307" s="56">
        <v>125.089525</v>
      </c>
    </row>
    <row r="1308" spans="1:2" x14ac:dyDescent="0.25">
      <c r="A1308" s="56">
        <v>-70.95</v>
      </c>
      <c r="B1308" s="56">
        <v>125.089525</v>
      </c>
    </row>
    <row r="1309" spans="1:2" x14ac:dyDescent="0.25">
      <c r="A1309" s="56">
        <v>-70.95</v>
      </c>
      <c r="B1309" s="56">
        <v>125.089525</v>
      </c>
    </row>
    <row r="1310" spans="1:2" x14ac:dyDescent="0.25">
      <c r="A1310" s="56">
        <v>-72.45</v>
      </c>
      <c r="B1310" s="56">
        <v>125.089525</v>
      </c>
    </row>
    <row r="1311" spans="1:2" x14ac:dyDescent="0.25">
      <c r="A1311" s="56">
        <v>-72.45</v>
      </c>
      <c r="B1311" s="56">
        <v>125.084375</v>
      </c>
    </row>
    <row r="1312" spans="1:2" x14ac:dyDescent="0.25">
      <c r="A1312" s="56">
        <v>-73.95</v>
      </c>
      <c r="B1312" s="56">
        <v>125.084375</v>
      </c>
    </row>
    <row r="1313" spans="1:2" x14ac:dyDescent="0.25">
      <c r="A1313" s="56">
        <v>-73.95</v>
      </c>
      <c r="B1313" s="56">
        <v>125.089525</v>
      </c>
    </row>
    <row r="1314" spans="1:2" x14ac:dyDescent="0.25">
      <c r="A1314" s="56">
        <v>-75.45</v>
      </c>
      <c r="B1314" s="56">
        <v>125.089525</v>
      </c>
    </row>
    <row r="1315" spans="1:2" x14ac:dyDescent="0.25">
      <c r="A1315" s="56">
        <v>-75.45</v>
      </c>
      <c r="B1315" s="56">
        <v>125.089525</v>
      </c>
    </row>
    <row r="1316" spans="1:2" x14ac:dyDescent="0.25">
      <c r="A1316" s="56">
        <v>-76.95</v>
      </c>
      <c r="B1316" s="56">
        <v>125.089525</v>
      </c>
    </row>
    <row r="1317" spans="1:2" x14ac:dyDescent="0.25">
      <c r="A1317" s="56">
        <v>-76.95</v>
      </c>
      <c r="B1317" s="56">
        <v>125.089525</v>
      </c>
    </row>
    <row r="1318" spans="1:2" x14ac:dyDescent="0.25">
      <c r="A1318" s="56">
        <v>-78.45</v>
      </c>
      <c r="B1318" s="56">
        <v>125.089525</v>
      </c>
    </row>
    <row r="1319" spans="1:2" x14ac:dyDescent="0.25">
      <c r="A1319" s="56">
        <v>-78.45</v>
      </c>
      <c r="B1319" s="56">
        <v>125.089525</v>
      </c>
    </row>
    <row r="1320" spans="1:2" x14ac:dyDescent="0.25">
      <c r="A1320" s="56">
        <v>-79.95</v>
      </c>
      <c r="B1320" s="56">
        <v>125.089525</v>
      </c>
    </row>
    <row r="1321" spans="1:2" x14ac:dyDescent="0.25">
      <c r="A1321" s="56">
        <v>-79.95</v>
      </c>
      <c r="B1321" s="56">
        <v>125.1033</v>
      </c>
    </row>
    <row r="1322" spans="1:2" x14ac:dyDescent="0.25">
      <c r="A1322" s="56">
        <v>-81.45</v>
      </c>
      <c r="B1322" s="56">
        <v>125.1033</v>
      </c>
    </row>
    <row r="1323" spans="1:2" x14ac:dyDescent="0.25">
      <c r="A1323" s="56">
        <v>-81.45</v>
      </c>
      <c r="B1323" s="56">
        <v>125.089525</v>
      </c>
    </row>
    <row r="1324" spans="1:2" x14ac:dyDescent="0.25">
      <c r="A1324" s="56">
        <v>-82.95</v>
      </c>
      <c r="B1324" s="56">
        <v>125.089525</v>
      </c>
    </row>
    <row r="1325" spans="1:2" x14ac:dyDescent="0.25">
      <c r="A1325" s="56">
        <v>-82.95</v>
      </c>
      <c r="B1325" s="56">
        <v>125.089525</v>
      </c>
    </row>
    <row r="1326" spans="1:2" x14ac:dyDescent="0.25">
      <c r="A1326" s="56">
        <v>-84.45</v>
      </c>
      <c r="B1326" s="56">
        <v>125.089525</v>
      </c>
    </row>
    <row r="1327" spans="1:2" x14ac:dyDescent="0.25">
      <c r="A1327" s="56">
        <v>-84.45</v>
      </c>
      <c r="B1327" s="56">
        <v>125.1033</v>
      </c>
    </row>
    <row r="1328" spans="1:2" x14ac:dyDescent="0.25">
      <c r="A1328" s="56">
        <v>-85.95</v>
      </c>
      <c r="B1328" s="56">
        <v>125.1033</v>
      </c>
    </row>
    <row r="1329" spans="1:2" x14ac:dyDescent="0.25">
      <c r="A1329" s="56">
        <v>-85.95</v>
      </c>
      <c r="B1329" s="56">
        <v>125.1033</v>
      </c>
    </row>
    <row r="1330" spans="1:2" x14ac:dyDescent="0.25">
      <c r="A1330" s="56">
        <v>-87.45</v>
      </c>
      <c r="B1330" s="56">
        <v>125.1033</v>
      </c>
    </row>
    <row r="1331" spans="1:2" x14ac:dyDescent="0.25">
      <c r="A1331" s="56">
        <v>-87.45</v>
      </c>
      <c r="B1331" s="56">
        <v>125.1033</v>
      </c>
    </row>
    <row r="1332" spans="1:2" x14ac:dyDescent="0.25">
      <c r="A1332" s="56">
        <v>-88.95</v>
      </c>
      <c r="B1332" s="56">
        <v>125.1033</v>
      </c>
    </row>
    <row r="1333" spans="1:2" x14ac:dyDescent="0.25">
      <c r="A1333" s="56">
        <v>-88.95</v>
      </c>
      <c r="B1333" s="56">
        <v>125.103275</v>
      </c>
    </row>
    <row r="1334" spans="1:2" x14ac:dyDescent="0.25">
      <c r="A1334" s="56">
        <v>-90.45</v>
      </c>
      <c r="B1334" s="56">
        <v>125.103275</v>
      </c>
    </row>
    <row r="1335" spans="1:2" x14ac:dyDescent="0.25">
      <c r="A1335" s="56">
        <v>-90.45</v>
      </c>
      <c r="B1335" s="56">
        <v>125.0511</v>
      </c>
    </row>
    <row r="1336" spans="1:2" x14ac:dyDescent="0.25">
      <c r="A1336" s="56">
        <v>-91.95</v>
      </c>
      <c r="B1336" s="56">
        <v>125.0511</v>
      </c>
    </row>
    <row r="1337" spans="1:2" x14ac:dyDescent="0.25">
      <c r="A1337" s="56">
        <v>-91.95</v>
      </c>
      <c r="B1337" s="56">
        <v>125.0511</v>
      </c>
    </row>
    <row r="1338" spans="1:2" x14ac:dyDescent="0.25">
      <c r="A1338" s="56">
        <v>-93.45</v>
      </c>
      <c r="B1338" s="56">
        <v>125.0511</v>
      </c>
    </row>
    <row r="1339" spans="1:2" x14ac:dyDescent="0.25">
      <c r="A1339" s="56">
        <v>-93.45</v>
      </c>
      <c r="B1339" s="56">
        <v>125.05095</v>
      </c>
    </row>
    <row r="1340" spans="1:2" x14ac:dyDescent="0.25">
      <c r="A1340" s="56">
        <v>-94.95</v>
      </c>
      <c r="B1340" s="56">
        <v>125.05095</v>
      </c>
    </row>
    <row r="1341" spans="1:2" x14ac:dyDescent="0.25">
      <c r="A1341" s="56">
        <v>-94.95</v>
      </c>
      <c r="B1341" s="56">
        <v>125.0514</v>
      </c>
    </row>
    <row r="1342" spans="1:2" x14ac:dyDescent="0.25">
      <c r="A1342" s="56">
        <v>-96.45</v>
      </c>
      <c r="B1342" s="56">
        <v>125.0514</v>
      </c>
    </row>
    <row r="1343" spans="1:2" x14ac:dyDescent="0.25">
      <c r="A1343" s="56">
        <v>-96.45</v>
      </c>
      <c r="B1343" s="56">
        <v>125.0511</v>
      </c>
    </row>
    <row r="1344" spans="1:2" x14ac:dyDescent="0.25">
      <c r="A1344" s="56">
        <v>-97.95</v>
      </c>
      <c r="B1344" s="56">
        <v>125.0511</v>
      </c>
    </row>
    <row r="1345" spans="1:2" x14ac:dyDescent="0.25">
      <c r="A1345" s="56">
        <v>-97.95</v>
      </c>
      <c r="B1345" s="56">
        <v>125.0524</v>
      </c>
    </row>
    <row r="1346" spans="1:2" x14ac:dyDescent="0.25">
      <c r="A1346" s="56">
        <v>-99.45</v>
      </c>
      <c r="B1346" s="56">
        <v>125.0524</v>
      </c>
    </row>
    <row r="1347" spans="1:2" x14ac:dyDescent="0.25">
      <c r="A1347" s="56">
        <v>-99.45</v>
      </c>
      <c r="B1347" s="56">
        <v>125.0524</v>
      </c>
    </row>
    <row r="1348" spans="1:2" x14ac:dyDescent="0.25">
      <c r="A1348" s="56">
        <v>-100.95</v>
      </c>
      <c r="B1348" s="56">
        <v>125.0524</v>
      </c>
    </row>
    <row r="1349" spans="1:2" x14ac:dyDescent="0.25">
      <c r="A1349" s="56">
        <v>-100.95</v>
      </c>
      <c r="B1349" s="56">
        <v>125.0524</v>
      </c>
    </row>
    <row r="1350" spans="1:2" x14ac:dyDescent="0.25">
      <c r="A1350" s="56">
        <v>-102.45</v>
      </c>
      <c r="B1350" s="56">
        <v>125.0524</v>
      </c>
    </row>
    <row r="1351" spans="1:2" x14ac:dyDescent="0.25">
      <c r="A1351" s="56">
        <v>-102.45</v>
      </c>
      <c r="B1351" s="56">
        <v>125.0524</v>
      </c>
    </row>
    <row r="1352" spans="1:2" x14ac:dyDescent="0.25">
      <c r="A1352" s="56">
        <v>-103.95</v>
      </c>
      <c r="B1352" s="56">
        <v>125.0524</v>
      </c>
    </row>
    <row r="1353" spans="1:2" x14ac:dyDescent="0.25">
      <c r="A1353" s="56">
        <v>-103.95</v>
      </c>
      <c r="B1353" s="56">
        <v>125.05095</v>
      </c>
    </row>
    <row r="1354" spans="1:2" x14ac:dyDescent="0.25">
      <c r="A1354" s="56">
        <v>-105.55</v>
      </c>
      <c r="B1354" s="56">
        <v>125.05095</v>
      </c>
    </row>
    <row r="1355" spans="1:2" x14ac:dyDescent="0.25">
      <c r="A1355" s="56">
        <v>-105.55</v>
      </c>
      <c r="B1355" s="56">
        <v>122.68285</v>
      </c>
    </row>
    <row r="1356" spans="1:2" x14ac:dyDescent="0.25">
      <c r="A1356" s="56">
        <v>-106.4</v>
      </c>
      <c r="B1356" s="56">
        <v>122.68285</v>
      </c>
    </row>
    <row r="1357" spans="1:2" x14ac:dyDescent="0.25">
      <c r="A1357" s="56">
        <v>-106.4</v>
      </c>
      <c r="B1357" s="56">
        <v>122.664975</v>
      </c>
    </row>
    <row r="1358" spans="1:2" x14ac:dyDescent="0.25">
      <c r="A1358" s="56">
        <v>-108.45</v>
      </c>
      <c r="B1358" s="56">
        <v>122.664975</v>
      </c>
    </row>
    <row r="1359" spans="1:2" x14ac:dyDescent="0.25">
      <c r="A1359" s="56">
        <v>-108.45</v>
      </c>
      <c r="B1359" s="56">
        <v>122.654975</v>
      </c>
    </row>
    <row r="1360" spans="1:2" x14ac:dyDescent="0.25">
      <c r="A1360" s="56">
        <v>-111.45</v>
      </c>
      <c r="B1360" s="56">
        <v>122.654975</v>
      </c>
    </row>
    <row r="1361" spans="1:2" x14ac:dyDescent="0.25">
      <c r="A1361" s="56">
        <v>-111.45</v>
      </c>
      <c r="B1361" s="56">
        <v>122.653175</v>
      </c>
    </row>
    <row r="1362" spans="1:2" x14ac:dyDescent="0.25">
      <c r="A1362" s="56">
        <v>-114.45</v>
      </c>
      <c r="B1362" s="56">
        <v>122.653175</v>
      </c>
    </row>
    <row r="1363" spans="1:2" x14ac:dyDescent="0.25">
      <c r="A1363" s="56">
        <v>-114.45</v>
      </c>
      <c r="B1363" s="56">
        <v>122.653175</v>
      </c>
    </row>
    <row r="1364" spans="1:2" x14ac:dyDescent="0.25">
      <c r="A1364" s="56">
        <v>-117.45</v>
      </c>
      <c r="B1364" s="56">
        <v>122.653175</v>
      </c>
    </row>
    <row r="1365" spans="1:2" x14ac:dyDescent="0.25">
      <c r="A1365" s="56">
        <v>-117.45</v>
      </c>
      <c r="B1365" s="56">
        <v>122.6518</v>
      </c>
    </row>
    <row r="1366" spans="1:2" x14ac:dyDescent="0.25">
      <c r="A1366" s="56">
        <v>-120.45</v>
      </c>
      <c r="B1366" s="56">
        <v>122.6518</v>
      </c>
    </row>
    <row r="1367" spans="1:2" x14ac:dyDescent="0.25">
      <c r="A1367" s="56">
        <v>-120.45</v>
      </c>
      <c r="B1367" s="56">
        <v>122.653175</v>
      </c>
    </row>
    <row r="1368" spans="1:2" x14ac:dyDescent="0.25">
      <c r="A1368" s="56">
        <v>-123.45</v>
      </c>
      <c r="B1368" s="56">
        <v>122.653175</v>
      </c>
    </row>
    <row r="1369" spans="1:2" x14ac:dyDescent="0.25">
      <c r="A1369" s="56">
        <v>-123.45</v>
      </c>
      <c r="B1369" s="56">
        <v>122.6518</v>
      </c>
    </row>
    <row r="1370" spans="1:2" x14ac:dyDescent="0.25">
      <c r="A1370" s="56">
        <v>-126.45</v>
      </c>
      <c r="B1370" s="56">
        <v>122.6518</v>
      </c>
    </row>
    <row r="1371" spans="1:2" x14ac:dyDescent="0.25">
      <c r="A1371" s="56">
        <v>-126.45</v>
      </c>
      <c r="B1371" s="56">
        <v>122.6511</v>
      </c>
    </row>
    <row r="1372" spans="1:2" x14ac:dyDescent="0.25">
      <c r="A1372" s="56">
        <v>-129.45</v>
      </c>
      <c r="B1372" s="56">
        <v>122.6511</v>
      </c>
    </row>
    <row r="1373" spans="1:2" x14ac:dyDescent="0.25">
      <c r="A1373" s="56">
        <v>-129.45</v>
      </c>
      <c r="B1373" s="56">
        <v>122.6518</v>
      </c>
    </row>
    <row r="1374" spans="1:2" x14ac:dyDescent="0.25">
      <c r="A1374" s="56">
        <v>-132.45</v>
      </c>
      <c r="B1374" s="56">
        <v>122.6518</v>
      </c>
    </row>
    <row r="1375" spans="1:2" x14ac:dyDescent="0.25">
      <c r="A1375" s="56">
        <v>-132.45</v>
      </c>
      <c r="B1375" s="56">
        <v>122.6518</v>
      </c>
    </row>
    <row r="1376" spans="1:2" x14ac:dyDescent="0.25">
      <c r="A1376" s="56">
        <v>-135.45</v>
      </c>
      <c r="B1376" s="56">
        <v>122.6518</v>
      </c>
    </row>
    <row r="1377" spans="1:2" x14ac:dyDescent="0.25">
      <c r="A1377" s="56">
        <v>-135.45</v>
      </c>
      <c r="B1377" s="56">
        <v>122.6533</v>
      </c>
    </row>
    <row r="1378" spans="1:2" x14ac:dyDescent="0.25">
      <c r="A1378" s="56">
        <v>-138.45</v>
      </c>
      <c r="B1378" s="56">
        <v>122.6533</v>
      </c>
    </row>
    <row r="1379" spans="1:2" x14ac:dyDescent="0.25">
      <c r="A1379" s="56">
        <v>-138.45</v>
      </c>
      <c r="B1379" s="56">
        <v>122.6518</v>
      </c>
    </row>
    <row r="1380" spans="1:2" x14ac:dyDescent="0.25">
      <c r="A1380" s="56">
        <v>-141.45</v>
      </c>
      <c r="B1380" s="56">
        <v>122.6518</v>
      </c>
    </row>
    <row r="1381" spans="1:2" x14ac:dyDescent="0.25">
      <c r="A1381" s="56">
        <v>-141.45</v>
      </c>
      <c r="B1381" s="56">
        <v>122.6533</v>
      </c>
    </row>
    <row r="1382" spans="1:2" x14ac:dyDescent="0.25">
      <c r="A1382" s="56">
        <v>-144.45</v>
      </c>
      <c r="B1382" s="56">
        <v>122.6533</v>
      </c>
    </row>
    <row r="1383" spans="1:2" x14ac:dyDescent="0.25">
      <c r="A1383" s="56">
        <v>-144.45</v>
      </c>
      <c r="B1383" s="56">
        <v>125.10325</v>
      </c>
    </row>
    <row r="1384" spans="1:2" x14ac:dyDescent="0.25">
      <c r="A1384" s="56">
        <v>-147.45</v>
      </c>
      <c r="B1384" s="56">
        <v>125.10325</v>
      </c>
    </row>
    <row r="1385" spans="1:2" x14ac:dyDescent="0.25">
      <c r="A1385" s="56">
        <v>-147.45</v>
      </c>
      <c r="B1385" s="56">
        <v>125.1163</v>
      </c>
    </row>
    <row r="1386" spans="1:2" x14ac:dyDescent="0.25">
      <c r="A1386" s="56">
        <v>-150.45</v>
      </c>
      <c r="B1386" s="56">
        <v>125.1163</v>
      </c>
    </row>
    <row r="1387" spans="1:2" x14ac:dyDescent="0.25">
      <c r="A1387" s="56">
        <v>-150.45</v>
      </c>
      <c r="B1387" s="56">
        <v>125.1163</v>
      </c>
    </row>
    <row r="1388" spans="1:2" x14ac:dyDescent="0.25">
      <c r="A1388" s="56">
        <v>-153.45</v>
      </c>
      <c r="B1388" s="56">
        <v>125.1163</v>
      </c>
    </row>
    <row r="1389" spans="1:2" x14ac:dyDescent="0.25">
      <c r="A1389" s="56">
        <v>-153.45</v>
      </c>
      <c r="B1389" s="56">
        <v>125.130175</v>
      </c>
    </row>
    <row r="1390" spans="1:2" x14ac:dyDescent="0.25">
      <c r="A1390" s="56">
        <v>-155.15</v>
      </c>
      <c r="B1390" s="56">
        <v>125.130175</v>
      </c>
    </row>
    <row r="1391" spans="1:2" x14ac:dyDescent="0.25">
      <c r="A1391" s="56">
        <v>-155.15</v>
      </c>
      <c r="B1391" s="56">
        <v>125.102125</v>
      </c>
    </row>
    <row r="1392" spans="1:2" x14ac:dyDescent="0.25">
      <c r="A1392" s="56">
        <v>-157.85</v>
      </c>
      <c r="B1392" s="56">
        <v>125.102125</v>
      </c>
    </row>
    <row r="1393" spans="1:2" x14ac:dyDescent="0.25">
      <c r="A1393" s="56">
        <v>-157.85</v>
      </c>
      <c r="B1393" s="56">
        <v>125.225825</v>
      </c>
    </row>
    <row r="1394" spans="1:2" x14ac:dyDescent="0.25">
      <c r="A1394" s="56">
        <v>-160.95</v>
      </c>
      <c r="B1394" s="56">
        <v>125.225825</v>
      </c>
    </row>
    <row r="1395" spans="1:2" x14ac:dyDescent="0.25">
      <c r="A1395" s="56">
        <v>-160.95</v>
      </c>
      <c r="B1395" s="56">
        <v>125.19975</v>
      </c>
    </row>
    <row r="1396" spans="1:2" x14ac:dyDescent="0.25">
      <c r="A1396" s="56">
        <v>-163.95</v>
      </c>
      <c r="B1396" s="56">
        <v>125.19975</v>
      </c>
    </row>
    <row r="1397" spans="1:2" x14ac:dyDescent="0.25">
      <c r="A1397" s="56">
        <v>-163.95</v>
      </c>
      <c r="B1397" s="56">
        <v>125.130175</v>
      </c>
    </row>
    <row r="1398" spans="1:2" x14ac:dyDescent="0.25">
      <c r="A1398" s="56">
        <v>-166.95</v>
      </c>
      <c r="B1398" s="56">
        <v>125.130175</v>
      </c>
    </row>
    <row r="1399" spans="1:2" x14ac:dyDescent="0.25">
      <c r="A1399" s="56">
        <v>-166.95</v>
      </c>
      <c r="B1399" s="56">
        <v>125.130175</v>
      </c>
    </row>
    <row r="1400" spans="1:2" x14ac:dyDescent="0.25">
      <c r="A1400" s="56">
        <v>-169.95</v>
      </c>
      <c r="B1400" s="56">
        <v>125.130175</v>
      </c>
    </row>
    <row r="1401" spans="1:2" x14ac:dyDescent="0.25">
      <c r="A1401" s="56">
        <v>-169.95</v>
      </c>
      <c r="B1401" s="56">
        <v>125.10325</v>
      </c>
    </row>
    <row r="1402" spans="1:2" x14ac:dyDescent="0.25">
      <c r="A1402" s="56">
        <v>-172.95</v>
      </c>
      <c r="B1402" s="56">
        <v>125.10325</v>
      </c>
    </row>
    <row r="1403" spans="1:2" x14ac:dyDescent="0.25">
      <c r="A1403" s="56">
        <v>-172.95</v>
      </c>
      <c r="B1403" s="56">
        <v>125.225825</v>
      </c>
    </row>
    <row r="1404" spans="1:2" x14ac:dyDescent="0.25">
      <c r="A1404" s="56">
        <v>-175.95</v>
      </c>
      <c r="B1404" s="56">
        <v>125.225825</v>
      </c>
    </row>
    <row r="1405" spans="1:2" x14ac:dyDescent="0.25">
      <c r="A1405" s="56">
        <v>-175.95</v>
      </c>
      <c r="B1405" s="56">
        <v>125.149475</v>
      </c>
    </row>
    <row r="1406" spans="1:2" x14ac:dyDescent="0.25">
      <c r="A1406" s="56">
        <v>-178.95</v>
      </c>
      <c r="B1406" s="56">
        <v>125.149475</v>
      </c>
    </row>
    <row r="1407" spans="1:2" x14ac:dyDescent="0.25">
      <c r="A1407" s="56">
        <v>-178.95</v>
      </c>
      <c r="B1407" s="56">
        <v>125.149475</v>
      </c>
    </row>
    <row r="1408" spans="1:2" x14ac:dyDescent="0.25">
      <c r="A1408" s="56">
        <v>-181.95</v>
      </c>
      <c r="B1408" s="56">
        <v>125.149475</v>
      </c>
    </row>
    <row r="1409" spans="1:2" x14ac:dyDescent="0.25">
      <c r="A1409" s="56">
        <v>-181.95</v>
      </c>
      <c r="B1409" s="56">
        <v>125.134025</v>
      </c>
    </row>
    <row r="1410" spans="1:2" x14ac:dyDescent="0.25">
      <c r="A1410" s="56">
        <v>-184.95</v>
      </c>
      <c r="B1410" s="56">
        <v>125.134025</v>
      </c>
    </row>
    <row r="1411" spans="1:2" x14ac:dyDescent="0.25">
      <c r="A1411" s="56">
        <v>-184.95</v>
      </c>
      <c r="B1411" s="56">
        <v>125.149475</v>
      </c>
    </row>
    <row r="1412" spans="1:2" x14ac:dyDescent="0.25">
      <c r="A1412" s="56">
        <v>-187.95</v>
      </c>
      <c r="B1412" s="56">
        <v>125.149475</v>
      </c>
    </row>
    <row r="1413" spans="1:2" x14ac:dyDescent="0.25">
      <c r="A1413" s="56">
        <v>-187.95</v>
      </c>
      <c r="B1413" s="56">
        <v>125.149475</v>
      </c>
    </row>
    <row r="1414" spans="1:2" x14ac:dyDescent="0.25">
      <c r="A1414" s="56">
        <v>-190.95</v>
      </c>
      <c r="B1414" s="56">
        <v>125.149475</v>
      </c>
    </row>
    <row r="1415" spans="1:2" x14ac:dyDescent="0.25">
      <c r="A1415" s="56">
        <v>-190.95</v>
      </c>
      <c r="B1415" s="56">
        <v>125.12805</v>
      </c>
    </row>
    <row r="1416" spans="1:2" x14ac:dyDescent="0.25">
      <c r="A1416" s="56">
        <v>-193.95</v>
      </c>
      <c r="B1416" s="56">
        <v>125.12805</v>
      </c>
    </row>
    <row r="1417" spans="1:2" x14ac:dyDescent="0.25">
      <c r="A1417" s="56">
        <v>-193.95</v>
      </c>
      <c r="B1417" s="56">
        <v>125.02675</v>
      </c>
    </row>
    <row r="1418" spans="1:2" x14ac:dyDescent="0.25">
      <c r="A1418" s="56">
        <v>-196.95</v>
      </c>
      <c r="B1418" s="56">
        <v>125.02675</v>
      </c>
    </row>
    <row r="1419" spans="1:2" x14ac:dyDescent="0.25">
      <c r="A1419" s="56">
        <v>-196.95</v>
      </c>
      <c r="B1419" s="56">
        <v>125.12805</v>
      </c>
    </row>
    <row r="1420" spans="1:2" x14ac:dyDescent="0.25">
      <c r="A1420" s="56">
        <v>-199.95</v>
      </c>
      <c r="B1420" s="56">
        <v>125.12805</v>
      </c>
    </row>
    <row r="1421" spans="1:2" x14ac:dyDescent="0.25">
      <c r="A1421" s="56">
        <v>-199.95</v>
      </c>
      <c r="B1421" s="56">
        <v>125.12805</v>
      </c>
    </row>
    <row r="1422" spans="1:2" x14ac:dyDescent="0.25">
      <c r="A1422" s="56">
        <v>-202.95</v>
      </c>
      <c r="B1422" s="56">
        <v>125.12805</v>
      </c>
    </row>
    <row r="1423" spans="1:2" x14ac:dyDescent="0.25">
      <c r="A1423" s="56">
        <v>-202.95</v>
      </c>
      <c r="B1423" s="56">
        <v>125.12805</v>
      </c>
    </row>
    <row r="1424" spans="1:2" x14ac:dyDescent="0.25">
      <c r="A1424" s="56">
        <v>-205.95</v>
      </c>
      <c r="B1424" s="56">
        <v>125.12805</v>
      </c>
    </row>
    <row r="1425" spans="1:2" x14ac:dyDescent="0.25">
      <c r="A1425" s="56">
        <v>-205.95</v>
      </c>
      <c r="B1425" s="56">
        <v>125.9158</v>
      </c>
    </row>
    <row r="1426" spans="1:2" x14ac:dyDescent="0.25">
      <c r="A1426" s="56">
        <v>-208.95</v>
      </c>
      <c r="B1426" s="56">
        <v>125.9158</v>
      </c>
    </row>
    <row r="1427" spans="1:2" x14ac:dyDescent="0.25">
      <c r="A1427" s="56">
        <v>-208.95</v>
      </c>
      <c r="B1427" s="56">
        <v>125.6219</v>
      </c>
    </row>
    <row r="1428" spans="1:2" x14ac:dyDescent="0.25">
      <c r="A1428" s="56">
        <v>-211.95</v>
      </c>
      <c r="B1428" s="56">
        <v>125.6219</v>
      </c>
    </row>
    <row r="1429" spans="1:2" x14ac:dyDescent="0.25">
      <c r="A1429" s="56">
        <v>-211.95</v>
      </c>
      <c r="B1429" s="56">
        <v>125.6369</v>
      </c>
    </row>
    <row r="1430" spans="1:2" x14ac:dyDescent="0.25">
      <c r="A1430" s="56">
        <v>-213.35</v>
      </c>
      <c r="B1430" s="56">
        <v>125.6369</v>
      </c>
    </row>
    <row r="1431" spans="1:2" x14ac:dyDescent="0.25">
      <c r="A1431" s="56">
        <v>-213.35</v>
      </c>
      <c r="B1431" s="56">
        <v>125.219925</v>
      </c>
    </row>
    <row r="1432" spans="1:2" x14ac:dyDescent="0.25">
      <c r="A1432" s="56">
        <v>-216.45</v>
      </c>
      <c r="B1432" s="56">
        <v>125.219925</v>
      </c>
    </row>
    <row r="1433" spans="1:2" x14ac:dyDescent="0.25">
      <c r="A1433" s="56">
        <v>-216.45</v>
      </c>
      <c r="B1433" s="56">
        <v>125.36645</v>
      </c>
    </row>
    <row r="1434" spans="1:2" x14ac:dyDescent="0.25">
      <c r="A1434" s="56">
        <v>-219.45</v>
      </c>
      <c r="B1434" s="56">
        <v>125.36645</v>
      </c>
    </row>
    <row r="1435" spans="1:2" x14ac:dyDescent="0.25">
      <c r="A1435" s="56">
        <v>-219.45</v>
      </c>
      <c r="B1435" s="56">
        <v>125.2514</v>
      </c>
    </row>
    <row r="1436" spans="1:2" x14ac:dyDescent="0.25">
      <c r="A1436" s="56">
        <v>-221.65</v>
      </c>
      <c r="B1436" s="56">
        <v>125.2514</v>
      </c>
    </row>
    <row r="1437" spans="1:2" x14ac:dyDescent="0.25">
      <c r="A1437" s="56">
        <v>-221.65</v>
      </c>
      <c r="B1437" s="56">
        <v>125.250425</v>
      </c>
    </row>
    <row r="1438" spans="1:2" x14ac:dyDescent="0.25">
      <c r="A1438" s="56">
        <v>-223.95</v>
      </c>
      <c r="B1438" s="56">
        <v>125.250425</v>
      </c>
    </row>
    <row r="1439" spans="1:2" x14ac:dyDescent="0.25">
      <c r="A1439" s="56">
        <v>-223.95</v>
      </c>
      <c r="B1439" s="56">
        <v>125.27465</v>
      </c>
    </row>
    <row r="1440" spans="1:2" x14ac:dyDescent="0.25">
      <c r="A1440" s="56">
        <v>-226.95</v>
      </c>
      <c r="B1440" s="56">
        <v>125.27465</v>
      </c>
    </row>
    <row r="1441" spans="1:2" x14ac:dyDescent="0.25">
      <c r="A1441" s="56">
        <v>-226.95</v>
      </c>
      <c r="B1441" s="56">
        <v>125.10335</v>
      </c>
    </row>
    <row r="1442" spans="1:2" x14ac:dyDescent="0.25">
      <c r="A1442" s="56">
        <v>-229.55</v>
      </c>
      <c r="B1442" s="56">
        <v>125.10335</v>
      </c>
    </row>
    <row r="1443" spans="1:2" x14ac:dyDescent="0.25">
      <c r="A1443" s="56">
        <v>-229.55</v>
      </c>
      <c r="B1443" s="56">
        <v>124.858675</v>
      </c>
    </row>
    <row r="1444" spans="1:2" x14ac:dyDescent="0.25">
      <c r="A1444" s="56">
        <v>-232.55</v>
      </c>
      <c r="B1444" s="56">
        <v>124.858675</v>
      </c>
    </row>
    <row r="1445" spans="1:2" x14ac:dyDescent="0.25">
      <c r="A1445" s="56">
        <v>-232.55</v>
      </c>
      <c r="B1445" s="56">
        <v>125.26965</v>
      </c>
    </row>
    <row r="1446" spans="1:2" x14ac:dyDescent="0.25">
      <c r="A1446" s="56">
        <v>-234.1</v>
      </c>
      <c r="B1446" s="56">
        <v>125.26965</v>
      </c>
    </row>
    <row r="1447" spans="1:2" x14ac:dyDescent="0.25">
      <c r="A1447" s="56">
        <v>-234.1</v>
      </c>
      <c r="B1447" s="56">
        <v>125.1608</v>
      </c>
    </row>
    <row r="1448" spans="1:2" x14ac:dyDescent="0.25">
      <c r="A1448" s="56">
        <v>-236.15</v>
      </c>
      <c r="B1448" s="56">
        <v>125.1608</v>
      </c>
    </row>
    <row r="1449" spans="1:2" x14ac:dyDescent="0.25">
      <c r="A1449" s="56">
        <v>-236.15</v>
      </c>
      <c r="B1449" s="56">
        <v>125.381075</v>
      </c>
    </row>
    <row r="1450" spans="1:2" x14ac:dyDescent="0.25">
      <c r="A1450" s="56">
        <v>-238.45</v>
      </c>
      <c r="B1450" s="56">
        <v>125.381075</v>
      </c>
    </row>
    <row r="1451" spans="1:2" x14ac:dyDescent="0.25">
      <c r="A1451" s="56">
        <v>-238.45</v>
      </c>
      <c r="B1451" s="56">
        <v>125.326325</v>
      </c>
    </row>
    <row r="1452" spans="1:2" x14ac:dyDescent="0.25">
      <c r="A1452" s="56">
        <v>-240.65</v>
      </c>
      <c r="B1452" s="56">
        <v>125.326325</v>
      </c>
    </row>
    <row r="1453" spans="1:2" x14ac:dyDescent="0.25">
      <c r="A1453" s="56">
        <v>-240.65</v>
      </c>
      <c r="B1453" s="56">
        <v>125.1514</v>
      </c>
    </row>
    <row r="1454" spans="1:2" x14ac:dyDescent="0.25">
      <c r="A1454" s="56">
        <v>-243.45</v>
      </c>
      <c r="B1454" s="56">
        <v>125.1514</v>
      </c>
    </row>
    <row r="1455" spans="1:2" x14ac:dyDescent="0.25">
      <c r="A1455" s="56">
        <v>-243.45</v>
      </c>
      <c r="B1455" s="56">
        <v>125.246925</v>
      </c>
    </row>
    <row r="1456" spans="1:2" x14ac:dyDescent="0.25">
      <c r="A1456" s="56">
        <v>-244.95</v>
      </c>
      <c r="B1456" s="56">
        <v>125.246925</v>
      </c>
    </row>
    <row r="1457" spans="1:2" x14ac:dyDescent="0.25">
      <c r="A1457" s="56">
        <v>-244.95</v>
      </c>
      <c r="B1457" s="56">
        <v>125.2741</v>
      </c>
    </row>
    <row r="1458" spans="1:2" x14ac:dyDescent="0.25">
      <c r="A1458" s="56">
        <v>-247.95</v>
      </c>
      <c r="B1458" s="56">
        <v>125.2741</v>
      </c>
    </row>
    <row r="1459" spans="1:2" x14ac:dyDescent="0.25">
      <c r="A1459" s="56">
        <v>-247.95</v>
      </c>
      <c r="B1459" s="56">
        <v>124.94975</v>
      </c>
    </row>
    <row r="1460" spans="1:2" x14ac:dyDescent="0.25">
      <c r="A1460" s="56">
        <v>-250.95</v>
      </c>
      <c r="B1460" s="56">
        <v>124.94975</v>
      </c>
    </row>
    <row r="1461" spans="1:2" x14ac:dyDescent="0.25">
      <c r="A1461" s="56">
        <v>-250.95</v>
      </c>
      <c r="B1461" s="56">
        <v>124.858475</v>
      </c>
    </row>
    <row r="1462" spans="1:2" x14ac:dyDescent="0.25">
      <c r="A1462" s="56">
        <v>-253.85</v>
      </c>
      <c r="B1462" s="56">
        <v>124.858475</v>
      </c>
    </row>
    <row r="1463" spans="1:2" x14ac:dyDescent="0.25">
      <c r="A1463" s="56">
        <v>-253.85</v>
      </c>
      <c r="B1463" s="56">
        <v>125.2735</v>
      </c>
    </row>
    <row r="1464" spans="1:2" x14ac:dyDescent="0.25">
      <c r="A1464" s="56">
        <v>-256.75</v>
      </c>
      <c r="B1464" s="56">
        <v>125.2735</v>
      </c>
    </row>
    <row r="1465" spans="1:2" x14ac:dyDescent="0.25">
      <c r="A1465" s="56">
        <v>-256.75</v>
      </c>
      <c r="B1465" s="56">
        <v>125.2735</v>
      </c>
    </row>
    <row r="1466" spans="1:2" x14ac:dyDescent="0.25">
      <c r="A1466" s="56">
        <v>-259.75</v>
      </c>
      <c r="B1466" s="56">
        <v>125.2735</v>
      </c>
    </row>
    <row r="1467" spans="1:2" x14ac:dyDescent="0.25">
      <c r="A1467" s="56">
        <v>-259.75</v>
      </c>
      <c r="B1467" s="56">
        <v>125.701225</v>
      </c>
    </row>
    <row r="1468" spans="1:2" x14ac:dyDescent="0.25">
      <c r="A1468" s="56">
        <v>-262.65</v>
      </c>
      <c r="B1468" s="56">
        <v>125.701225</v>
      </c>
    </row>
    <row r="1469" spans="1:2" x14ac:dyDescent="0.25">
      <c r="A1469" s="56">
        <v>-262.65</v>
      </c>
      <c r="B1469" s="56">
        <v>125.385525</v>
      </c>
    </row>
    <row r="1470" spans="1:2" x14ac:dyDescent="0.25">
      <c r="A1470" s="56">
        <v>-265.45</v>
      </c>
      <c r="B1470" s="56">
        <v>125.385525</v>
      </c>
    </row>
    <row r="1471" spans="1:2" x14ac:dyDescent="0.25">
      <c r="A1471" s="56">
        <v>-265.45</v>
      </c>
      <c r="B1471" s="56">
        <v>125.43845</v>
      </c>
    </row>
    <row r="1472" spans="1:2" x14ac:dyDescent="0.25">
      <c r="A1472" s="56">
        <v>-267.45</v>
      </c>
      <c r="B1472" s="56">
        <v>125.43845</v>
      </c>
    </row>
    <row r="1473" spans="1:2" x14ac:dyDescent="0.25">
      <c r="A1473" s="56">
        <v>-267.45</v>
      </c>
      <c r="B1473" s="56">
        <v>125.0898</v>
      </c>
    </row>
    <row r="1474" spans="1:2" x14ac:dyDescent="0.25">
      <c r="A1474" s="56">
        <v>-268.95</v>
      </c>
      <c r="B1474" s="56">
        <v>125.0898</v>
      </c>
    </row>
    <row r="1475" spans="1:2" x14ac:dyDescent="0.25">
      <c r="A1475" s="56">
        <v>-268.95</v>
      </c>
      <c r="B1475" s="56">
        <v>124.856625</v>
      </c>
    </row>
    <row r="1476" spans="1:2" x14ac:dyDescent="0.25">
      <c r="A1476" s="56">
        <v>-271.95</v>
      </c>
      <c r="B1476" s="56">
        <v>124.856625</v>
      </c>
    </row>
    <row r="1477" spans="1:2" x14ac:dyDescent="0.25">
      <c r="A1477" s="56">
        <v>-271.95</v>
      </c>
      <c r="B1477" s="56">
        <v>125.762975</v>
      </c>
    </row>
    <row r="1478" spans="1:2" x14ac:dyDescent="0.25">
      <c r="A1478" s="56">
        <v>-274.95</v>
      </c>
      <c r="B1478" s="56">
        <v>125.762975</v>
      </c>
    </row>
    <row r="1479" spans="1:2" x14ac:dyDescent="0.25">
      <c r="A1479" s="56">
        <v>-274.95</v>
      </c>
      <c r="B1479" s="56">
        <v>124.99725</v>
      </c>
    </row>
    <row r="1480" spans="1:2" x14ac:dyDescent="0.25">
      <c r="A1480" s="56">
        <v>-277.95</v>
      </c>
      <c r="B1480" s="56">
        <v>124.99725</v>
      </c>
    </row>
    <row r="1481" spans="1:2" x14ac:dyDescent="0.25">
      <c r="A1481" s="56">
        <v>-277.95</v>
      </c>
      <c r="B1481" s="56">
        <v>125.385525</v>
      </c>
    </row>
    <row r="1482" spans="1:2" x14ac:dyDescent="0.25">
      <c r="A1482" s="56">
        <v>-280.95</v>
      </c>
      <c r="B1482" s="56">
        <v>125.385525</v>
      </c>
    </row>
    <row r="1483" spans="1:2" x14ac:dyDescent="0.25">
      <c r="A1483" s="56">
        <v>-280.95</v>
      </c>
      <c r="B1483" s="56">
        <v>125.385525</v>
      </c>
    </row>
    <row r="1484" spans="1:2" x14ac:dyDescent="0.25">
      <c r="A1484" s="56">
        <v>-283.55</v>
      </c>
      <c r="B1484" s="56">
        <v>125.385525</v>
      </c>
    </row>
    <row r="1485" spans="1:2" x14ac:dyDescent="0.25">
      <c r="A1485" s="56">
        <v>-283.55</v>
      </c>
      <c r="B1485" s="56">
        <v>125.762975</v>
      </c>
    </row>
    <row r="1486" spans="1:2" x14ac:dyDescent="0.25">
      <c r="A1486" s="56">
        <v>-286.55</v>
      </c>
      <c r="B1486" s="56">
        <v>125.762975</v>
      </c>
    </row>
    <row r="1487" spans="1:2" x14ac:dyDescent="0.25">
      <c r="A1487" s="56">
        <v>-286.55</v>
      </c>
      <c r="B1487" s="56">
        <v>125.2024</v>
      </c>
    </row>
    <row r="1488" spans="1:2" x14ac:dyDescent="0.25">
      <c r="A1488" s="56">
        <v>-289.55</v>
      </c>
      <c r="B1488" s="56">
        <v>125.2024</v>
      </c>
    </row>
    <row r="1489" spans="1:2" x14ac:dyDescent="0.25">
      <c r="A1489" s="56">
        <v>-289.55</v>
      </c>
      <c r="B1489" s="56">
        <v>125.200975</v>
      </c>
    </row>
    <row r="1490" spans="1:2" x14ac:dyDescent="0.25">
      <c r="A1490" s="56">
        <v>-291.45</v>
      </c>
      <c r="B1490" s="56">
        <v>125.200975</v>
      </c>
    </row>
    <row r="1491" spans="1:2" x14ac:dyDescent="0.25">
      <c r="A1491" s="56">
        <v>-291.45</v>
      </c>
      <c r="B1491" s="56">
        <v>125.2024</v>
      </c>
    </row>
    <row r="1492" spans="1:2" x14ac:dyDescent="0.25">
      <c r="A1492" s="56">
        <v>-294.45</v>
      </c>
      <c r="B1492" s="56">
        <v>125.2024</v>
      </c>
    </row>
    <row r="1493" spans="1:2" x14ac:dyDescent="0.25">
      <c r="A1493" s="56">
        <v>-294.45</v>
      </c>
      <c r="B1493" s="56">
        <v>125.20495</v>
      </c>
    </row>
    <row r="1494" spans="1:2" x14ac:dyDescent="0.25">
      <c r="A1494" s="56">
        <v>-296.45</v>
      </c>
      <c r="B1494" s="56">
        <v>125.20495</v>
      </c>
    </row>
    <row r="1495" spans="1:2" x14ac:dyDescent="0.25">
      <c r="A1495" s="56">
        <v>-296.45</v>
      </c>
      <c r="B1495" s="56">
        <v>125.222325</v>
      </c>
    </row>
    <row r="1496" spans="1:2" x14ac:dyDescent="0.25">
      <c r="A1496" s="56">
        <v>-298.95</v>
      </c>
      <c r="B1496" s="56">
        <v>125.222325</v>
      </c>
    </row>
    <row r="1497" spans="1:2" x14ac:dyDescent="0.25">
      <c r="A1497" s="56">
        <v>-298.95</v>
      </c>
      <c r="B1497" s="56">
        <v>125.133375</v>
      </c>
    </row>
    <row r="1498" spans="1:2" x14ac:dyDescent="0.25">
      <c r="A1498" s="56">
        <v>-301.95</v>
      </c>
      <c r="B1498" s="56">
        <v>125.133375</v>
      </c>
    </row>
    <row r="1499" spans="1:2" x14ac:dyDescent="0.25">
      <c r="A1499" s="56">
        <v>-301.95</v>
      </c>
      <c r="B1499" s="56">
        <v>125.273075</v>
      </c>
    </row>
    <row r="1500" spans="1:2" x14ac:dyDescent="0.25">
      <c r="A1500" s="56">
        <v>-304.95</v>
      </c>
      <c r="B1500" s="56">
        <v>125.273075</v>
      </c>
    </row>
    <row r="1501" spans="1:2" x14ac:dyDescent="0.25">
      <c r="A1501" s="56">
        <v>-304.95</v>
      </c>
      <c r="B1501" s="56">
        <v>125.30195</v>
      </c>
    </row>
    <row r="1502" spans="1:2" x14ac:dyDescent="0.25">
      <c r="A1502" s="56">
        <v>-307.95</v>
      </c>
      <c r="B1502" s="56">
        <v>125.30195</v>
      </c>
    </row>
    <row r="1503" spans="1:2" x14ac:dyDescent="0.25">
      <c r="A1503" s="56">
        <v>-307.95</v>
      </c>
      <c r="B1503" s="56">
        <v>124.789025</v>
      </c>
    </row>
    <row r="1504" spans="1:2" x14ac:dyDescent="0.25">
      <c r="A1504" s="56">
        <v>-310.95</v>
      </c>
      <c r="B1504" s="56">
        <v>124.789025</v>
      </c>
    </row>
    <row r="1505" spans="1:2" x14ac:dyDescent="0.25">
      <c r="A1505" s="56">
        <v>-310.95</v>
      </c>
      <c r="B1505" s="56">
        <v>125.273075</v>
      </c>
    </row>
    <row r="1506" spans="1:2" x14ac:dyDescent="0.25">
      <c r="A1506" s="56">
        <v>-313.05</v>
      </c>
      <c r="B1506" s="56">
        <v>125.273075</v>
      </c>
    </row>
    <row r="1507" spans="1:2" x14ac:dyDescent="0.25">
      <c r="A1507" s="56">
        <v>-313.05</v>
      </c>
      <c r="B1507" s="56">
        <v>125.09255</v>
      </c>
    </row>
    <row r="1508" spans="1:2" x14ac:dyDescent="0.25">
      <c r="A1508" s="56">
        <v>-315.45</v>
      </c>
      <c r="B1508" s="56">
        <v>125.09255</v>
      </c>
    </row>
    <row r="1509" spans="1:2" x14ac:dyDescent="0.25">
      <c r="A1509" s="56">
        <v>-315.45</v>
      </c>
      <c r="B1509" s="56">
        <v>124.82745</v>
      </c>
    </row>
    <row r="1510" spans="1:2" x14ac:dyDescent="0.25">
      <c r="A1510" s="56">
        <v>-318.45</v>
      </c>
      <c r="B1510" s="56">
        <v>124.82745</v>
      </c>
    </row>
    <row r="1511" spans="1:2" x14ac:dyDescent="0.25">
      <c r="A1511" s="56">
        <v>-318.45</v>
      </c>
      <c r="B1511" s="56">
        <v>124.8898</v>
      </c>
    </row>
    <row r="1512" spans="1:2" x14ac:dyDescent="0.25">
      <c r="A1512" s="56">
        <v>-321.45</v>
      </c>
      <c r="B1512" s="56">
        <v>124.8898</v>
      </c>
    </row>
    <row r="1513" spans="1:2" x14ac:dyDescent="0.25">
      <c r="A1513" s="56">
        <v>-321.45</v>
      </c>
      <c r="B1513" s="56">
        <v>125.09255</v>
      </c>
    </row>
    <row r="1514" spans="1:2" x14ac:dyDescent="0.25">
      <c r="A1514" s="56">
        <v>-324.45</v>
      </c>
      <c r="B1514" s="56">
        <v>125.09255</v>
      </c>
    </row>
    <row r="1515" spans="1:2" x14ac:dyDescent="0.25">
      <c r="A1515" s="56">
        <v>-324.45</v>
      </c>
      <c r="B1515" s="56">
        <v>125.759</v>
      </c>
    </row>
    <row r="1516" spans="1:2" x14ac:dyDescent="0.25">
      <c r="A1516" s="56">
        <v>-327.15</v>
      </c>
      <c r="B1516" s="56">
        <v>125.759</v>
      </c>
    </row>
    <row r="1517" spans="1:2" x14ac:dyDescent="0.25">
      <c r="A1517" s="56">
        <v>-327.15</v>
      </c>
      <c r="B1517" s="56">
        <v>125.319575</v>
      </c>
    </row>
    <row r="1518" spans="1:2" x14ac:dyDescent="0.25">
      <c r="A1518" s="56">
        <v>-330.15</v>
      </c>
      <c r="B1518" s="56">
        <v>125.319575</v>
      </c>
    </row>
    <row r="1519" spans="1:2" x14ac:dyDescent="0.25">
      <c r="A1519" s="56">
        <v>-330.15</v>
      </c>
      <c r="B1519" s="56">
        <v>125.3227</v>
      </c>
    </row>
    <row r="1520" spans="1:2" x14ac:dyDescent="0.25">
      <c r="A1520" s="56">
        <v>-333.15</v>
      </c>
      <c r="B1520" s="56">
        <v>125.3227</v>
      </c>
    </row>
    <row r="1521" spans="1:2" x14ac:dyDescent="0.25">
      <c r="A1521" s="56">
        <v>-333.15</v>
      </c>
      <c r="B1521" s="56">
        <v>125.3227</v>
      </c>
    </row>
    <row r="1522" spans="1:2" x14ac:dyDescent="0.25">
      <c r="A1522" s="56">
        <v>-336.15</v>
      </c>
      <c r="B1522" s="56">
        <v>125.3227</v>
      </c>
    </row>
    <row r="1523" spans="1:2" x14ac:dyDescent="0.25">
      <c r="A1523" s="56">
        <v>-336.15</v>
      </c>
      <c r="B1523" s="56">
        <v>125.3227</v>
      </c>
    </row>
    <row r="1524" spans="1:2" x14ac:dyDescent="0.25">
      <c r="A1524" s="56">
        <v>-339.15</v>
      </c>
      <c r="B1524" s="56">
        <v>125.3227</v>
      </c>
    </row>
    <row r="1525" spans="1:2" x14ac:dyDescent="0.25">
      <c r="A1525" s="56">
        <v>-339.15</v>
      </c>
      <c r="B1525" s="56">
        <v>125.3227</v>
      </c>
    </row>
    <row r="1526" spans="1:2" x14ac:dyDescent="0.25">
      <c r="A1526" s="56">
        <v>-342.15</v>
      </c>
      <c r="B1526" s="56">
        <v>125.3227</v>
      </c>
    </row>
    <row r="1527" spans="1:2" x14ac:dyDescent="0.25">
      <c r="A1527" s="56">
        <v>-342.15</v>
      </c>
      <c r="B1527" s="56">
        <v>125.3227</v>
      </c>
    </row>
    <row r="1528" spans="1:2" x14ac:dyDescent="0.25">
      <c r="A1528" s="56">
        <v>-345.15</v>
      </c>
      <c r="B1528" s="56">
        <v>125.3227</v>
      </c>
    </row>
    <row r="1529" spans="1:2" x14ac:dyDescent="0.25">
      <c r="A1529" s="56">
        <v>-345.15</v>
      </c>
      <c r="B1529" s="56">
        <v>125.319575</v>
      </c>
    </row>
    <row r="1530" spans="1:2" x14ac:dyDescent="0.25">
      <c r="A1530" s="56">
        <v>-348.15</v>
      </c>
      <c r="B1530" s="56">
        <v>125.319575</v>
      </c>
    </row>
    <row r="1531" spans="1:2" x14ac:dyDescent="0.25">
      <c r="A1531" s="56">
        <v>-348.15</v>
      </c>
      <c r="B1531" s="56">
        <v>125.31955</v>
      </c>
    </row>
    <row r="1532" spans="1:2" x14ac:dyDescent="0.25">
      <c r="A1532" s="56">
        <v>-351.15</v>
      </c>
      <c r="B1532" s="56">
        <v>125.31955</v>
      </c>
    </row>
    <row r="1533" spans="1:2" x14ac:dyDescent="0.25">
      <c r="A1533" s="56">
        <v>-351.15</v>
      </c>
      <c r="B1533" s="56">
        <v>125.31955</v>
      </c>
    </row>
    <row r="1534" spans="1:2" x14ac:dyDescent="0.25">
      <c r="A1534" s="56">
        <v>-354.15</v>
      </c>
      <c r="B1534" s="56">
        <v>125.31955</v>
      </c>
    </row>
    <row r="1535" spans="1:2" x14ac:dyDescent="0.25">
      <c r="A1535" s="56">
        <v>-354.15</v>
      </c>
      <c r="B1535" s="56">
        <v>125.3227</v>
      </c>
    </row>
    <row r="1536" spans="1:2" x14ac:dyDescent="0.25">
      <c r="A1536" s="56">
        <v>-357.15</v>
      </c>
      <c r="B1536" s="56">
        <v>125.3227</v>
      </c>
    </row>
    <row r="1537" spans="1:2" x14ac:dyDescent="0.25">
      <c r="A1537" s="56">
        <v>-357.15</v>
      </c>
      <c r="B1537" s="56">
        <v>125.3227</v>
      </c>
    </row>
    <row r="1538" spans="1:2" x14ac:dyDescent="0.25">
      <c r="A1538" s="56">
        <v>-360.15</v>
      </c>
      <c r="B1538" s="56">
        <v>125.3227</v>
      </c>
    </row>
    <row r="1539" spans="1:2" x14ac:dyDescent="0.25">
      <c r="A1539" s="56">
        <v>-360.15</v>
      </c>
      <c r="B1539" s="56">
        <v>125.319575</v>
      </c>
    </row>
    <row r="1540" spans="1:2" x14ac:dyDescent="0.25">
      <c r="A1540" s="56">
        <v>-363.15</v>
      </c>
      <c r="B1540" s="56">
        <v>125.319575</v>
      </c>
    </row>
    <row r="1541" spans="1:2" x14ac:dyDescent="0.25">
      <c r="A1541" s="56">
        <v>-363.15</v>
      </c>
      <c r="B1541" s="56">
        <v>125.2762</v>
      </c>
    </row>
    <row r="1542" spans="1:2" x14ac:dyDescent="0.25">
      <c r="A1542" s="56">
        <v>-364.45</v>
      </c>
      <c r="B1542" s="56">
        <v>125.2762</v>
      </c>
    </row>
    <row r="1543" spans="1:2" x14ac:dyDescent="0.25">
      <c r="A1543" s="56">
        <v>-364.45</v>
      </c>
      <c r="B1543" s="56">
        <v>125.2762</v>
      </c>
    </row>
    <row r="1544" spans="1:2" x14ac:dyDescent="0.25">
      <c r="A1544" s="56">
        <v>-366.45</v>
      </c>
      <c r="B1544" s="56">
        <v>125.2762</v>
      </c>
    </row>
    <row r="1545" spans="1:2" x14ac:dyDescent="0.25">
      <c r="A1545" s="56">
        <v>-366.45</v>
      </c>
      <c r="B1545" s="56">
        <v>125.2138</v>
      </c>
    </row>
    <row r="1546" spans="1:2" x14ac:dyDescent="0.25">
      <c r="A1546" s="56">
        <v>-368.2</v>
      </c>
      <c r="B1546" s="56">
        <v>125.2138</v>
      </c>
    </row>
    <row r="1547" spans="1:2" x14ac:dyDescent="0.25">
      <c r="A1547" s="56">
        <v>-368.2</v>
      </c>
      <c r="B1547" s="56">
        <v>125.1698</v>
      </c>
    </row>
    <row r="1548" spans="1:2" x14ac:dyDescent="0.25">
      <c r="A1548" s="56">
        <v>-369.6</v>
      </c>
      <c r="B1548" s="56">
        <v>125.1698</v>
      </c>
    </row>
    <row r="1549" spans="1:2" x14ac:dyDescent="0.25">
      <c r="A1549" s="56">
        <v>-369.6</v>
      </c>
      <c r="B1549" s="56">
        <v>125.277125</v>
      </c>
    </row>
    <row r="1550" spans="1:2" x14ac:dyDescent="0.25">
      <c r="A1550" s="56">
        <v>-371.2</v>
      </c>
      <c r="B1550" s="56">
        <v>125.277125</v>
      </c>
    </row>
    <row r="1551" spans="1:2" x14ac:dyDescent="0.25">
      <c r="A1551" s="56">
        <v>-371.2</v>
      </c>
      <c r="B1551" s="56">
        <v>125.38115</v>
      </c>
    </row>
    <row r="1552" spans="1:2" x14ac:dyDescent="0.25">
      <c r="A1552" s="56">
        <v>-373.95</v>
      </c>
      <c r="B1552" s="56">
        <v>125.38115</v>
      </c>
    </row>
    <row r="1553" spans="1:2" x14ac:dyDescent="0.25">
      <c r="A1553" s="56">
        <v>-373.95</v>
      </c>
      <c r="B1553" s="56">
        <v>125.786525</v>
      </c>
    </row>
    <row r="1554" spans="1:2" x14ac:dyDescent="0.25">
      <c r="A1554" s="56">
        <v>-376.95</v>
      </c>
      <c r="B1554" s="56">
        <v>125.786525</v>
      </c>
    </row>
    <row r="1555" spans="1:2" x14ac:dyDescent="0.25">
      <c r="A1555" s="56">
        <v>-376.95</v>
      </c>
      <c r="B1555" s="56">
        <v>125.18245</v>
      </c>
    </row>
    <row r="1556" spans="1:2" x14ac:dyDescent="0.25">
      <c r="A1556" s="56">
        <v>-379.95</v>
      </c>
      <c r="B1556" s="56">
        <v>125.18245</v>
      </c>
    </row>
    <row r="1557" spans="1:2" x14ac:dyDescent="0.25">
      <c r="A1557" s="56">
        <v>-379.95</v>
      </c>
      <c r="B1557" s="56">
        <v>125.18245</v>
      </c>
    </row>
    <row r="1558" spans="1:2" x14ac:dyDescent="0.25">
      <c r="A1558" s="56">
        <v>-382.95</v>
      </c>
      <c r="B1558" s="56">
        <v>125.18245</v>
      </c>
    </row>
    <row r="1559" spans="1:2" x14ac:dyDescent="0.25">
      <c r="A1559" s="56">
        <v>-382.95</v>
      </c>
      <c r="B1559" s="56">
        <v>125.18245</v>
      </c>
    </row>
    <row r="1560" spans="1:2" x14ac:dyDescent="0.25">
      <c r="A1560" s="56">
        <v>-385.95</v>
      </c>
      <c r="B1560" s="56">
        <v>125.18245</v>
      </c>
    </row>
    <row r="1561" spans="1:2" x14ac:dyDescent="0.25">
      <c r="A1561" s="56">
        <v>-385.95</v>
      </c>
      <c r="B1561" s="56">
        <v>125.38115</v>
      </c>
    </row>
    <row r="1562" spans="1:2" x14ac:dyDescent="0.25">
      <c r="A1562" s="56">
        <v>-388.95</v>
      </c>
      <c r="B1562" s="56">
        <v>125.38115</v>
      </c>
    </row>
    <row r="1563" spans="1:2" x14ac:dyDescent="0.25">
      <c r="A1563" s="56">
        <v>-388.95</v>
      </c>
      <c r="B1563" s="56">
        <v>125.13715</v>
      </c>
    </row>
    <row r="1564" spans="1:2" x14ac:dyDescent="0.25">
      <c r="A1564" s="56">
        <v>-391.95</v>
      </c>
      <c r="B1564" s="56">
        <v>125.13715</v>
      </c>
    </row>
    <row r="1565" spans="1:2" x14ac:dyDescent="0.25">
      <c r="A1565" s="56">
        <v>-391.95</v>
      </c>
      <c r="B1565" s="56">
        <v>125.18245</v>
      </c>
    </row>
    <row r="1566" spans="1:2" x14ac:dyDescent="0.25">
      <c r="A1566" s="56">
        <v>-394.95</v>
      </c>
      <c r="B1566" s="56">
        <v>125.18245</v>
      </c>
    </row>
    <row r="1567" spans="1:2" x14ac:dyDescent="0.25">
      <c r="A1567" s="56">
        <v>-394.95</v>
      </c>
      <c r="B1567" s="56">
        <v>125.18245</v>
      </c>
    </row>
    <row r="1568" spans="1:2" x14ac:dyDescent="0.25">
      <c r="A1568" s="56">
        <v>-397.95</v>
      </c>
      <c r="B1568" s="56">
        <v>125.18245</v>
      </c>
    </row>
    <row r="1569" spans="1:2" x14ac:dyDescent="0.25">
      <c r="A1569" s="56">
        <v>-397.95</v>
      </c>
      <c r="B1569" s="56">
        <v>125.38115</v>
      </c>
    </row>
    <row r="1570" spans="1:2" x14ac:dyDescent="0.25">
      <c r="A1570" s="56">
        <v>-400.95</v>
      </c>
      <c r="B1570" s="56">
        <v>125.38115</v>
      </c>
    </row>
    <row r="1571" spans="1:2" x14ac:dyDescent="0.25">
      <c r="A1571" s="56">
        <v>-400.95</v>
      </c>
      <c r="B1571" s="56">
        <v>125.38115</v>
      </c>
    </row>
    <row r="1572" spans="1:2" x14ac:dyDescent="0.25">
      <c r="A1572" s="56">
        <v>-403.95</v>
      </c>
      <c r="B1572" s="56">
        <v>125.38115</v>
      </c>
    </row>
    <row r="1573" spans="1:2" x14ac:dyDescent="0.25">
      <c r="A1573" s="56">
        <v>-403.95</v>
      </c>
      <c r="B1573" s="56">
        <v>122.6691</v>
      </c>
    </row>
    <row r="1574" spans="1:2" x14ac:dyDescent="0.25">
      <c r="A1574" s="56">
        <v>-406.45</v>
      </c>
      <c r="B1574" s="56">
        <v>122.6691</v>
      </c>
    </row>
    <row r="1575" spans="1:2" x14ac:dyDescent="0.25">
      <c r="A1575" s="56">
        <v>-406.45</v>
      </c>
      <c r="B1575" s="56">
        <v>122.6563</v>
      </c>
    </row>
    <row r="1576" spans="1:2" x14ac:dyDescent="0.25">
      <c r="A1576" s="56">
        <v>-408.3</v>
      </c>
      <c r="B1576" s="56">
        <v>122.6563</v>
      </c>
    </row>
    <row r="1577" spans="1:2" x14ac:dyDescent="0.25">
      <c r="A1577" s="56">
        <v>-408.3</v>
      </c>
      <c r="B1577" s="56">
        <v>122.6563</v>
      </c>
    </row>
    <row r="1578" spans="1:2" x14ac:dyDescent="0.25">
      <c r="A1578" s="56">
        <v>-411.3</v>
      </c>
      <c r="B1578" s="56">
        <v>122.6563</v>
      </c>
    </row>
    <row r="1579" spans="1:2" x14ac:dyDescent="0.25">
      <c r="A1579" s="56">
        <v>-411.3</v>
      </c>
      <c r="B1579" s="56">
        <v>122.650525</v>
      </c>
    </row>
    <row r="1580" spans="1:2" x14ac:dyDescent="0.25">
      <c r="A1580" s="56">
        <v>-414.3</v>
      </c>
      <c r="B1580" s="56">
        <v>122.650525</v>
      </c>
    </row>
    <row r="1581" spans="1:2" x14ac:dyDescent="0.25">
      <c r="A1581" s="56">
        <v>-414.3</v>
      </c>
      <c r="B1581" s="56">
        <v>122.6515</v>
      </c>
    </row>
    <row r="1582" spans="1:2" x14ac:dyDescent="0.25">
      <c r="A1582" s="56">
        <v>-417.3</v>
      </c>
      <c r="B1582" s="56">
        <v>122.6515</v>
      </c>
    </row>
    <row r="1583" spans="1:2" x14ac:dyDescent="0.25">
      <c r="A1583" s="56">
        <v>-417.3</v>
      </c>
      <c r="B1583" s="56">
        <v>122.65835</v>
      </c>
    </row>
    <row r="1584" spans="1:2" x14ac:dyDescent="0.25">
      <c r="A1584" s="56">
        <v>-420.3</v>
      </c>
      <c r="B1584" s="56">
        <v>122.65835</v>
      </c>
    </row>
    <row r="1585" spans="1:2" x14ac:dyDescent="0.25">
      <c r="A1585" s="56">
        <v>-420.3</v>
      </c>
      <c r="B1585" s="56">
        <v>122.65615</v>
      </c>
    </row>
    <row r="1586" spans="1:2" x14ac:dyDescent="0.25">
      <c r="A1586" s="56">
        <v>-423.3</v>
      </c>
      <c r="B1586" s="56">
        <v>122.65615</v>
      </c>
    </row>
    <row r="1587" spans="1:2" x14ac:dyDescent="0.25">
      <c r="A1587" s="56">
        <v>-423.3</v>
      </c>
      <c r="B1587" s="56">
        <v>122.65615</v>
      </c>
    </row>
    <row r="1588" spans="1:2" x14ac:dyDescent="0.25">
      <c r="A1588" s="56">
        <v>-426.3</v>
      </c>
      <c r="B1588" s="56">
        <v>122.65615</v>
      </c>
    </row>
    <row r="1589" spans="1:2" x14ac:dyDescent="0.25">
      <c r="A1589" s="56">
        <v>-426.3</v>
      </c>
      <c r="B1589" s="56">
        <v>122.655975</v>
      </c>
    </row>
    <row r="1590" spans="1:2" x14ac:dyDescent="0.25">
      <c r="A1590" s="56">
        <v>-429.3</v>
      </c>
      <c r="B1590" s="56">
        <v>122.655975</v>
      </c>
    </row>
    <row r="1591" spans="1:2" x14ac:dyDescent="0.25">
      <c r="A1591" s="56">
        <v>-429.3</v>
      </c>
      <c r="B1591" s="56">
        <v>122.6538</v>
      </c>
    </row>
    <row r="1592" spans="1:2" x14ac:dyDescent="0.25">
      <c r="A1592" s="56">
        <v>-432.3</v>
      </c>
      <c r="B1592" s="56">
        <v>122.6538</v>
      </c>
    </row>
    <row r="1593" spans="1:2" x14ac:dyDescent="0.25">
      <c r="A1593" s="56">
        <v>-432.3</v>
      </c>
      <c r="B1593" s="56">
        <v>122.6538</v>
      </c>
    </row>
    <row r="1594" spans="1:2" x14ac:dyDescent="0.25">
      <c r="A1594" s="56">
        <v>-434.3</v>
      </c>
      <c r="B1594" s="56">
        <v>122.6538</v>
      </c>
    </row>
    <row r="1595" spans="1:2" x14ac:dyDescent="0.25">
      <c r="A1595" s="56">
        <v>-434.3</v>
      </c>
      <c r="B1595" s="56">
        <v>122.6538</v>
      </c>
    </row>
    <row r="1596" spans="1:2" x14ac:dyDescent="0.25">
      <c r="A1596" s="56">
        <v>-436.8</v>
      </c>
      <c r="B1596" s="56">
        <v>122.6538</v>
      </c>
    </row>
    <row r="1597" spans="1:2" x14ac:dyDescent="0.25">
      <c r="A1597" s="56">
        <v>-436.8</v>
      </c>
      <c r="B1597" s="56">
        <v>122.6538</v>
      </c>
    </row>
    <row r="1598" spans="1:2" x14ac:dyDescent="0.25">
      <c r="A1598" s="56">
        <v>-438.3</v>
      </c>
      <c r="B1598" s="56">
        <v>122.6538</v>
      </c>
    </row>
    <row r="1599" spans="1:2" x14ac:dyDescent="0.25">
      <c r="A1599" s="56">
        <v>-438.3</v>
      </c>
      <c r="B1599" s="56">
        <v>122.652175</v>
      </c>
    </row>
    <row r="1600" spans="1:2" x14ac:dyDescent="0.25">
      <c r="A1600" s="56">
        <v>-440.7</v>
      </c>
      <c r="B1600" s="56">
        <v>122.652175</v>
      </c>
    </row>
    <row r="1601" spans="1:2" x14ac:dyDescent="0.25">
      <c r="A1601" s="56">
        <v>-440.7</v>
      </c>
      <c r="B1601" s="56">
        <v>122.652175</v>
      </c>
    </row>
    <row r="1602" spans="1:2" x14ac:dyDescent="0.25">
      <c r="A1602" s="56">
        <v>-442.8</v>
      </c>
      <c r="B1602" s="56">
        <v>122.652175</v>
      </c>
    </row>
    <row r="1603" spans="1:2" x14ac:dyDescent="0.25">
      <c r="A1603" s="56">
        <v>-442.8</v>
      </c>
      <c r="B1603" s="56">
        <v>122.655975</v>
      </c>
    </row>
    <row r="1604" spans="1:2" x14ac:dyDescent="0.25">
      <c r="A1604" s="56">
        <v>-444.3</v>
      </c>
      <c r="B1604" s="56">
        <v>122.655975</v>
      </c>
    </row>
    <row r="1605" spans="1:2" x14ac:dyDescent="0.25">
      <c r="A1605" s="56">
        <v>-444.3</v>
      </c>
      <c r="B1605" s="56">
        <v>122.655975</v>
      </c>
    </row>
    <row r="1606" spans="1:2" x14ac:dyDescent="0.25">
      <c r="A1606" s="56">
        <v>-447.3</v>
      </c>
      <c r="B1606" s="56">
        <v>122.655975</v>
      </c>
    </row>
    <row r="1607" spans="1:2" x14ac:dyDescent="0.25">
      <c r="A1607" s="56">
        <v>-447.3</v>
      </c>
      <c r="B1607" s="56">
        <v>122.655975</v>
      </c>
    </row>
    <row r="1608" spans="1:2" x14ac:dyDescent="0.25">
      <c r="A1608" s="56">
        <v>-450.3</v>
      </c>
      <c r="B1608" s="56">
        <v>122.655975</v>
      </c>
    </row>
    <row r="1609" spans="1:2" x14ac:dyDescent="0.25">
      <c r="A1609" s="56">
        <v>-450.3</v>
      </c>
      <c r="B1609" s="56">
        <v>122.655975</v>
      </c>
    </row>
    <row r="1610" spans="1:2" x14ac:dyDescent="0.25">
      <c r="A1610" s="56">
        <v>-453.3</v>
      </c>
      <c r="B1610" s="56">
        <v>122.655975</v>
      </c>
    </row>
    <row r="1611" spans="1:2" x14ac:dyDescent="0.25">
      <c r="A1611" s="56">
        <v>-453.3</v>
      </c>
      <c r="B1611" s="56">
        <v>122.6564</v>
      </c>
    </row>
    <row r="1612" spans="1:2" x14ac:dyDescent="0.25">
      <c r="A1612" s="56">
        <v>-456</v>
      </c>
      <c r="B1612" s="56">
        <v>122.6564</v>
      </c>
    </row>
    <row r="1613" spans="1:2" x14ac:dyDescent="0.25">
      <c r="A1613" s="56">
        <v>-456</v>
      </c>
      <c r="B1613" s="56">
        <v>122.6582</v>
      </c>
    </row>
    <row r="1614" spans="1:2" x14ac:dyDescent="0.25">
      <c r="A1614" s="56">
        <v>-457.8</v>
      </c>
      <c r="B1614" s="56">
        <v>122.6582</v>
      </c>
    </row>
    <row r="1615" spans="1:2" x14ac:dyDescent="0.25">
      <c r="A1615" s="56">
        <v>-457.8</v>
      </c>
      <c r="B1615" s="56">
        <v>122.6524</v>
      </c>
    </row>
    <row r="1616" spans="1:2" x14ac:dyDescent="0.25">
      <c r="A1616" s="56">
        <v>-459.3</v>
      </c>
      <c r="B1616" s="56">
        <v>122.6524</v>
      </c>
    </row>
    <row r="1617" spans="1:2" x14ac:dyDescent="0.25">
      <c r="A1617" s="56">
        <v>-459.3</v>
      </c>
      <c r="B1617" s="56">
        <v>122.657075</v>
      </c>
    </row>
    <row r="1618" spans="1:2" x14ac:dyDescent="0.25">
      <c r="A1618" s="56">
        <v>-462.3</v>
      </c>
      <c r="B1618" s="56">
        <v>122.657075</v>
      </c>
    </row>
    <row r="1619" spans="1:2" x14ac:dyDescent="0.25">
      <c r="A1619" s="56">
        <v>-462.3</v>
      </c>
      <c r="B1619" s="56">
        <v>122.654025</v>
      </c>
    </row>
    <row r="1620" spans="1:2" x14ac:dyDescent="0.25">
      <c r="A1620" s="56">
        <v>-465.3</v>
      </c>
      <c r="B1620" s="56">
        <v>122.654025</v>
      </c>
    </row>
    <row r="1621" spans="1:2" x14ac:dyDescent="0.25">
      <c r="A1621" s="56">
        <v>-465.3</v>
      </c>
      <c r="B1621" s="56">
        <v>122.651775</v>
      </c>
    </row>
    <row r="1622" spans="1:2" x14ac:dyDescent="0.25">
      <c r="A1622" s="56">
        <v>-468.3</v>
      </c>
      <c r="B1622" s="56">
        <v>122.651775</v>
      </c>
    </row>
    <row r="1623" spans="1:2" x14ac:dyDescent="0.25">
      <c r="A1623" s="56">
        <v>-468.3</v>
      </c>
      <c r="B1623" s="56">
        <v>122.655975</v>
      </c>
    </row>
    <row r="1624" spans="1:2" x14ac:dyDescent="0.25">
      <c r="A1624" s="56">
        <v>-471.3</v>
      </c>
      <c r="B1624" s="56">
        <v>122.655975</v>
      </c>
    </row>
    <row r="1625" spans="1:2" x14ac:dyDescent="0.25">
      <c r="A1625" s="56">
        <v>-471.3</v>
      </c>
      <c r="B1625" s="56">
        <v>122.655925</v>
      </c>
    </row>
    <row r="1626" spans="1:2" x14ac:dyDescent="0.25">
      <c r="A1626" s="56">
        <v>-473.2</v>
      </c>
      <c r="B1626" s="56">
        <v>122.655925</v>
      </c>
    </row>
    <row r="1627" spans="1:2" x14ac:dyDescent="0.25">
      <c r="A1627" s="56">
        <v>-473.2</v>
      </c>
      <c r="B1627" s="56">
        <v>122.655975</v>
      </c>
    </row>
    <row r="1628" spans="1:2" x14ac:dyDescent="0.25">
      <c r="A1628" s="56">
        <v>-475.5</v>
      </c>
      <c r="B1628" s="56">
        <v>122.655975</v>
      </c>
    </row>
    <row r="1629" spans="1:2" x14ac:dyDescent="0.25">
      <c r="A1629" s="56">
        <v>-475.5</v>
      </c>
      <c r="B1629" s="56">
        <v>122.657075</v>
      </c>
    </row>
    <row r="1630" spans="1:2" x14ac:dyDescent="0.25">
      <c r="A1630" s="56">
        <v>-478.5</v>
      </c>
      <c r="B1630" s="56">
        <v>122.657075</v>
      </c>
    </row>
    <row r="1631" spans="1:2" x14ac:dyDescent="0.25">
      <c r="A1631" s="56">
        <v>-478.5</v>
      </c>
      <c r="B1631" s="56">
        <v>122.65865</v>
      </c>
    </row>
    <row r="1632" spans="1:2" x14ac:dyDescent="0.25">
      <c r="A1632" s="56">
        <v>-481.5</v>
      </c>
      <c r="B1632" s="56">
        <v>122.65865</v>
      </c>
    </row>
    <row r="1633" spans="1:2" x14ac:dyDescent="0.25">
      <c r="A1633" s="56">
        <v>-481.5</v>
      </c>
      <c r="B1633" s="56">
        <v>122.65445</v>
      </c>
    </row>
    <row r="1634" spans="1:2" x14ac:dyDescent="0.25">
      <c r="A1634" s="56">
        <v>-483.7</v>
      </c>
      <c r="B1634" s="56">
        <v>122.65445</v>
      </c>
    </row>
    <row r="1635" spans="1:2" x14ac:dyDescent="0.25">
      <c r="A1635" s="56">
        <v>-483.7</v>
      </c>
      <c r="B1635" s="56">
        <v>122.65865</v>
      </c>
    </row>
    <row r="1636" spans="1:2" x14ac:dyDescent="0.25">
      <c r="A1636" s="56">
        <v>-486.7</v>
      </c>
      <c r="B1636" s="56">
        <v>122.65865</v>
      </c>
    </row>
    <row r="1637" spans="1:2" x14ac:dyDescent="0.25">
      <c r="A1637" s="56">
        <v>-486.7</v>
      </c>
      <c r="B1637" s="56">
        <v>122.65865</v>
      </c>
    </row>
    <row r="1638" spans="1:2" x14ac:dyDescent="0.25">
      <c r="A1638" s="56">
        <v>-489.3</v>
      </c>
      <c r="B1638" s="56">
        <v>122.65865</v>
      </c>
    </row>
    <row r="1639" spans="1:2" x14ac:dyDescent="0.25">
      <c r="A1639" s="56">
        <v>-489.3</v>
      </c>
      <c r="B1639" s="56">
        <v>122.65865</v>
      </c>
    </row>
    <row r="1640" spans="1:2" x14ac:dyDescent="0.25">
      <c r="A1640" s="56">
        <v>-492.3</v>
      </c>
      <c r="B1640" s="56">
        <v>122.65865</v>
      </c>
    </row>
    <row r="1641" spans="1:2" x14ac:dyDescent="0.25">
      <c r="A1641" s="56">
        <v>-492.3</v>
      </c>
      <c r="B1641" s="56">
        <v>122.65445</v>
      </c>
    </row>
    <row r="1642" spans="1:2" x14ac:dyDescent="0.25">
      <c r="A1642" s="56">
        <v>-495.3</v>
      </c>
      <c r="B1642" s="56">
        <v>122.65445</v>
      </c>
    </row>
    <row r="1643" spans="1:2" x14ac:dyDescent="0.25">
      <c r="A1643" s="56">
        <v>-495.3</v>
      </c>
      <c r="B1643" s="56">
        <v>122.65445</v>
      </c>
    </row>
    <row r="1644" spans="1:2" x14ac:dyDescent="0.25">
      <c r="A1644" s="56">
        <v>-498.3</v>
      </c>
      <c r="B1644" s="56">
        <v>122.65445</v>
      </c>
    </row>
    <row r="1645" spans="1:2" x14ac:dyDescent="0.25">
      <c r="A1645" s="56">
        <v>-498.3</v>
      </c>
      <c r="B1645" s="56">
        <v>122.6515</v>
      </c>
    </row>
    <row r="1646" spans="1:2" x14ac:dyDescent="0.25">
      <c r="A1646" s="56">
        <v>-501.3</v>
      </c>
      <c r="B1646" s="56">
        <v>122.6515</v>
      </c>
    </row>
    <row r="1647" spans="1:2" x14ac:dyDescent="0.25">
      <c r="A1647" s="56">
        <v>-501.3</v>
      </c>
      <c r="B1647" s="56">
        <v>122.65865</v>
      </c>
    </row>
    <row r="1648" spans="1:2" x14ac:dyDescent="0.25">
      <c r="A1648" s="56">
        <v>-504.3</v>
      </c>
      <c r="B1648" s="56">
        <v>122.65865</v>
      </c>
    </row>
    <row r="1649" spans="1:2" x14ac:dyDescent="0.25">
      <c r="A1649" s="56">
        <v>-504.3</v>
      </c>
      <c r="B1649" s="56">
        <v>122.66085</v>
      </c>
    </row>
    <row r="1650" spans="1:2" x14ac:dyDescent="0.25">
      <c r="A1650" s="56">
        <v>-507.3</v>
      </c>
      <c r="B1650" s="56">
        <v>122.66085</v>
      </c>
    </row>
    <row r="1651" spans="1:2" x14ac:dyDescent="0.25">
      <c r="A1651" s="56">
        <v>-507.3</v>
      </c>
      <c r="B1651" s="56">
        <v>122.6515</v>
      </c>
    </row>
    <row r="1652" spans="1:2" x14ac:dyDescent="0.25">
      <c r="A1652" s="56">
        <v>-510.3</v>
      </c>
      <c r="B1652" s="56">
        <v>122.6515</v>
      </c>
    </row>
    <row r="1653" spans="1:2" x14ac:dyDescent="0.25">
      <c r="A1653" s="56">
        <v>-510.3</v>
      </c>
      <c r="B1653" s="56">
        <v>122.65445</v>
      </c>
    </row>
    <row r="1654" spans="1:2" x14ac:dyDescent="0.25">
      <c r="A1654" s="56">
        <v>-513.3</v>
      </c>
      <c r="B1654" s="56">
        <v>122.65445</v>
      </c>
    </row>
    <row r="1655" spans="1:2" x14ac:dyDescent="0.25">
      <c r="A1655" s="56">
        <v>-513.3</v>
      </c>
      <c r="B1655" s="56">
        <v>122.65045</v>
      </c>
    </row>
    <row r="1656" spans="1:2" x14ac:dyDescent="0.25">
      <c r="A1656" s="56">
        <v>-516.3</v>
      </c>
      <c r="B1656" s="56">
        <v>122.65045</v>
      </c>
    </row>
    <row r="1657" spans="1:2" x14ac:dyDescent="0.25">
      <c r="A1657" s="56">
        <v>-516.3</v>
      </c>
      <c r="B1657" s="56">
        <v>122.6582</v>
      </c>
    </row>
    <row r="1658" spans="1:2" x14ac:dyDescent="0.25">
      <c r="A1658" s="56">
        <v>-517.8</v>
      </c>
      <c r="B1658" s="56">
        <v>122.6582</v>
      </c>
    </row>
    <row r="1659" spans="1:2" x14ac:dyDescent="0.25">
      <c r="A1659" s="56">
        <v>-517.8</v>
      </c>
      <c r="B1659" s="56">
        <v>122.660725</v>
      </c>
    </row>
    <row r="1660" spans="1:2" x14ac:dyDescent="0.25">
      <c r="A1660" s="56">
        <v>-520.8</v>
      </c>
      <c r="B1660" s="56">
        <v>122.660725</v>
      </c>
    </row>
    <row r="1661" spans="1:2" x14ac:dyDescent="0.25">
      <c r="A1661" s="56">
        <v>-520.8</v>
      </c>
      <c r="B1661" s="56">
        <v>122.6582</v>
      </c>
    </row>
    <row r="1662" spans="1:2" x14ac:dyDescent="0.25">
      <c r="A1662" s="56">
        <v>-523.8</v>
      </c>
      <c r="B1662" s="56">
        <v>122.6582</v>
      </c>
    </row>
    <row r="1663" spans="1:2" x14ac:dyDescent="0.25">
      <c r="A1663" s="56">
        <v>-523.8</v>
      </c>
      <c r="B1663" s="56">
        <v>122.6579</v>
      </c>
    </row>
    <row r="1664" spans="1:2" x14ac:dyDescent="0.25">
      <c r="A1664" s="56">
        <v>-526.8</v>
      </c>
      <c r="B1664" s="56">
        <v>122.6579</v>
      </c>
    </row>
    <row r="1665" spans="1:2" x14ac:dyDescent="0.25">
      <c r="A1665" s="56">
        <v>-526.8</v>
      </c>
      <c r="B1665" s="56">
        <v>122.660725</v>
      </c>
    </row>
    <row r="1666" spans="1:2" x14ac:dyDescent="0.25">
      <c r="A1666" s="56">
        <v>-529.8</v>
      </c>
      <c r="B1666" s="56">
        <v>122.660725</v>
      </c>
    </row>
    <row r="1667" spans="1:2" x14ac:dyDescent="0.25">
      <c r="A1667" s="56">
        <v>-529.8</v>
      </c>
      <c r="B1667" s="56">
        <v>122.660725</v>
      </c>
    </row>
    <row r="1668" spans="1:2" x14ac:dyDescent="0.25">
      <c r="A1668" s="56">
        <v>-532.8</v>
      </c>
      <c r="B1668" s="56">
        <v>122.660725</v>
      </c>
    </row>
    <row r="1669" spans="1:2" x14ac:dyDescent="0.25">
      <c r="A1669" s="56">
        <v>-532.8</v>
      </c>
      <c r="B1669" s="56">
        <v>122.660725</v>
      </c>
    </row>
    <row r="1670" spans="1:2" x14ac:dyDescent="0.25">
      <c r="A1670" s="56">
        <v>-535.8</v>
      </c>
      <c r="B1670" s="56">
        <v>122.660725</v>
      </c>
    </row>
    <row r="1671" spans="1:2" x14ac:dyDescent="0.25">
      <c r="A1671" s="56">
        <v>-535.8</v>
      </c>
      <c r="B1671" s="56">
        <v>122.660725</v>
      </c>
    </row>
    <row r="1672" spans="1:2" x14ac:dyDescent="0.25">
      <c r="A1672" s="56">
        <v>-538.8</v>
      </c>
      <c r="B1672" s="56">
        <v>122.660725</v>
      </c>
    </row>
    <row r="1673" spans="1:2" x14ac:dyDescent="0.25">
      <c r="A1673" s="56">
        <v>-538.8</v>
      </c>
      <c r="B1673" s="56">
        <v>122.6396</v>
      </c>
    </row>
    <row r="1674" spans="1:2" x14ac:dyDescent="0.25">
      <c r="A1674" s="56">
        <v>-541.8</v>
      </c>
      <c r="B1674" s="56">
        <v>122.6396</v>
      </c>
    </row>
    <row r="1675" spans="1:2" x14ac:dyDescent="0.25">
      <c r="A1675" s="56">
        <v>-541.8</v>
      </c>
      <c r="B1675" s="56">
        <v>122.6471</v>
      </c>
    </row>
    <row r="1676" spans="1:2" x14ac:dyDescent="0.25">
      <c r="A1676" s="56">
        <v>-544.8</v>
      </c>
      <c r="B1676" s="56">
        <v>122.6471</v>
      </c>
    </row>
    <row r="1677" spans="1:2" x14ac:dyDescent="0.25">
      <c r="A1677" s="56">
        <v>-544.8</v>
      </c>
      <c r="B1677" s="56">
        <v>122.742225</v>
      </c>
    </row>
    <row r="1678" spans="1:2" x14ac:dyDescent="0.25">
      <c r="A1678" s="56">
        <v>-547.8</v>
      </c>
      <c r="B1678" s="56">
        <v>122.742225</v>
      </c>
    </row>
    <row r="1679" spans="1:2" x14ac:dyDescent="0.25">
      <c r="A1679" s="56">
        <v>-547.8</v>
      </c>
      <c r="B1679" s="56">
        <v>122.6497</v>
      </c>
    </row>
    <row r="1680" spans="1:2" x14ac:dyDescent="0.25">
      <c r="A1680" s="56">
        <v>-550.8</v>
      </c>
      <c r="B1680" s="56">
        <v>122.6497</v>
      </c>
    </row>
    <row r="1681" spans="1:2" x14ac:dyDescent="0.25">
      <c r="A1681" s="56">
        <v>-550.8</v>
      </c>
      <c r="B1681" s="56">
        <v>122.654875</v>
      </c>
    </row>
    <row r="1682" spans="1:2" x14ac:dyDescent="0.25">
      <c r="A1682" s="56">
        <v>-553.8</v>
      </c>
      <c r="B1682" s="56">
        <v>122.654875</v>
      </c>
    </row>
    <row r="1683" spans="1:2" x14ac:dyDescent="0.25">
      <c r="A1683" s="56">
        <v>-553.8</v>
      </c>
      <c r="B1683" s="56">
        <v>122.64925</v>
      </c>
    </row>
    <row r="1684" spans="1:2" x14ac:dyDescent="0.25">
      <c r="A1684" s="56">
        <v>-556.8</v>
      </c>
      <c r="B1684" s="56">
        <v>122.64925</v>
      </c>
    </row>
    <row r="1685" spans="1:2" x14ac:dyDescent="0.25">
      <c r="A1685" s="56">
        <v>-556.8</v>
      </c>
      <c r="B1685" s="56">
        <v>122.6122</v>
      </c>
    </row>
    <row r="1686" spans="1:2" x14ac:dyDescent="0.25">
      <c r="A1686" s="56">
        <v>-559.8</v>
      </c>
      <c r="B1686" s="56">
        <v>122.6122</v>
      </c>
    </row>
    <row r="1687" spans="1:2" x14ac:dyDescent="0.25">
      <c r="A1687" s="56">
        <v>-559.8</v>
      </c>
      <c r="B1687" s="56">
        <v>122.693</v>
      </c>
    </row>
    <row r="1688" spans="1:2" x14ac:dyDescent="0.25">
      <c r="A1688" s="56">
        <v>-562.8</v>
      </c>
      <c r="B1688" s="56">
        <v>122.693</v>
      </c>
    </row>
    <row r="1689" spans="1:2" x14ac:dyDescent="0.25">
      <c r="A1689" s="56">
        <v>-562.8</v>
      </c>
      <c r="B1689" s="56">
        <v>122.750425</v>
      </c>
    </row>
    <row r="1690" spans="1:2" x14ac:dyDescent="0.25">
      <c r="A1690" s="56">
        <v>-565.8</v>
      </c>
      <c r="B1690" s="56">
        <v>122.750425</v>
      </c>
    </row>
    <row r="1691" spans="1:2" x14ac:dyDescent="0.25">
      <c r="A1691" s="56">
        <v>-565.8</v>
      </c>
      <c r="B1691" s="56">
        <v>122.779175</v>
      </c>
    </row>
    <row r="1692" spans="1:2" x14ac:dyDescent="0.25">
      <c r="A1692" s="56">
        <v>-568.8</v>
      </c>
      <c r="B1692" s="56">
        <v>122.779175</v>
      </c>
    </row>
    <row r="1693" spans="1:2" x14ac:dyDescent="0.25">
      <c r="A1693" s="56">
        <v>-568.8</v>
      </c>
      <c r="B1693" s="56">
        <v>122.7066</v>
      </c>
    </row>
    <row r="1694" spans="1:2" x14ac:dyDescent="0.25">
      <c r="A1694" s="56">
        <v>-571.8</v>
      </c>
      <c r="B1694" s="56">
        <v>122.7066</v>
      </c>
    </row>
    <row r="1695" spans="1:2" x14ac:dyDescent="0.25">
      <c r="A1695" s="56">
        <v>-571.8</v>
      </c>
      <c r="B1695" s="56">
        <v>122.635625</v>
      </c>
    </row>
    <row r="1696" spans="1:2" x14ac:dyDescent="0.25">
      <c r="A1696" s="56">
        <v>-574.8</v>
      </c>
      <c r="B1696" s="56">
        <v>122.635625</v>
      </c>
    </row>
    <row r="1697" spans="1:2" x14ac:dyDescent="0.25">
      <c r="A1697" s="56">
        <v>-574.8</v>
      </c>
      <c r="B1697" s="56">
        <v>122.6391</v>
      </c>
    </row>
    <row r="1698" spans="1:2" x14ac:dyDescent="0.25">
      <c r="A1698" s="56">
        <v>-577.8</v>
      </c>
      <c r="B1698" s="56">
        <v>122.6391</v>
      </c>
    </row>
    <row r="1699" spans="1:2" x14ac:dyDescent="0.25">
      <c r="A1699" s="56">
        <v>-577.8</v>
      </c>
      <c r="B1699" s="56">
        <v>122.6757</v>
      </c>
    </row>
    <row r="1700" spans="1:2" x14ac:dyDescent="0.25">
      <c r="A1700" s="56">
        <v>-580.8</v>
      </c>
      <c r="B1700" s="56">
        <v>122.6757</v>
      </c>
    </row>
    <row r="1701" spans="1:2" x14ac:dyDescent="0.25">
      <c r="A1701" s="56">
        <v>-580.8</v>
      </c>
      <c r="B1701" s="56">
        <v>122.650775</v>
      </c>
    </row>
    <row r="1702" spans="1:2" x14ac:dyDescent="0.25">
      <c r="A1702" s="56">
        <v>-583.8</v>
      </c>
      <c r="B1702" s="56">
        <v>122.650775</v>
      </c>
    </row>
    <row r="1703" spans="1:2" x14ac:dyDescent="0.25">
      <c r="A1703" s="56">
        <v>-583.8</v>
      </c>
      <c r="B1703" s="56">
        <v>122.664175</v>
      </c>
    </row>
    <row r="1704" spans="1:2" x14ac:dyDescent="0.25">
      <c r="A1704" s="56">
        <v>-585.7</v>
      </c>
      <c r="B1704" s="56">
        <v>122.664175</v>
      </c>
    </row>
    <row r="1705" spans="1:2" x14ac:dyDescent="0.25">
      <c r="A1705" s="56">
        <v>-585.7</v>
      </c>
      <c r="B1705" s="56">
        <v>122.663025</v>
      </c>
    </row>
    <row r="1706" spans="1:2" x14ac:dyDescent="0.25">
      <c r="A1706" s="56">
        <v>-586.7</v>
      </c>
      <c r="B1706" s="56">
        <v>122.663025</v>
      </c>
    </row>
    <row r="1707" spans="1:2" x14ac:dyDescent="0.25">
      <c r="A1707" s="56">
        <v>-586.7</v>
      </c>
      <c r="B1707" s="56">
        <v>122.664175</v>
      </c>
    </row>
    <row r="1708" spans="1:2" x14ac:dyDescent="0.25">
      <c r="A1708" s="56">
        <v>-589.8</v>
      </c>
      <c r="B1708" s="56">
        <v>122.664175</v>
      </c>
    </row>
    <row r="1709" spans="1:2" x14ac:dyDescent="0.25">
      <c r="A1709" s="56">
        <v>-589.8</v>
      </c>
      <c r="B1709" s="56">
        <v>122.6594</v>
      </c>
    </row>
    <row r="1710" spans="1:2" x14ac:dyDescent="0.25">
      <c r="A1710" s="56">
        <v>-592.8</v>
      </c>
      <c r="B1710" s="56">
        <v>122.6594</v>
      </c>
    </row>
    <row r="1711" spans="1:2" x14ac:dyDescent="0.25">
      <c r="A1711" s="56">
        <v>-592.8</v>
      </c>
      <c r="B1711" s="56">
        <v>122.6508</v>
      </c>
    </row>
    <row r="1712" spans="1:2" x14ac:dyDescent="0.25">
      <c r="A1712" s="56">
        <v>-595.8</v>
      </c>
      <c r="B1712" s="56">
        <v>122.6508</v>
      </c>
    </row>
    <row r="1713" spans="1:2" x14ac:dyDescent="0.25">
      <c r="A1713" s="56">
        <v>-595.8</v>
      </c>
      <c r="B1713" s="56">
        <v>122.8421</v>
      </c>
    </row>
    <row r="1714" spans="1:2" x14ac:dyDescent="0.25">
      <c r="A1714" s="56">
        <v>-598.8</v>
      </c>
      <c r="B1714" s="56">
        <v>122.8421</v>
      </c>
    </row>
    <row r="1715" spans="1:2" x14ac:dyDescent="0.25">
      <c r="A1715" s="56">
        <v>-598.8</v>
      </c>
      <c r="B1715" s="56">
        <v>123.0052</v>
      </c>
    </row>
    <row r="1716" spans="1:2" x14ac:dyDescent="0.25">
      <c r="A1716" s="56">
        <v>-601.8</v>
      </c>
      <c r="B1716" s="56">
        <v>123.0052</v>
      </c>
    </row>
    <row r="1717" spans="1:2" x14ac:dyDescent="0.25">
      <c r="A1717" s="56">
        <v>-601.8</v>
      </c>
      <c r="B1717" s="56">
        <v>122.7572</v>
      </c>
    </row>
    <row r="1718" spans="1:2" x14ac:dyDescent="0.25">
      <c r="A1718" s="56">
        <v>-603.3</v>
      </c>
      <c r="B1718" s="56">
        <v>122.7572</v>
      </c>
    </row>
    <row r="1719" spans="1:2" x14ac:dyDescent="0.25">
      <c r="A1719" s="56">
        <v>-603.3</v>
      </c>
      <c r="B1719" s="56">
        <v>122.720625</v>
      </c>
    </row>
    <row r="1720" spans="1:2" x14ac:dyDescent="0.25">
      <c r="A1720" s="56">
        <v>-606.3</v>
      </c>
      <c r="B1720" s="56">
        <v>122.720625</v>
      </c>
    </row>
    <row r="1721" spans="1:2" x14ac:dyDescent="0.25">
      <c r="A1721" s="56">
        <v>-606.3</v>
      </c>
      <c r="B1721" s="56">
        <v>122.712</v>
      </c>
    </row>
    <row r="1722" spans="1:2" x14ac:dyDescent="0.25">
      <c r="A1722" s="56">
        <v>-609.3</v>
      </c>
      <c r="B1722" s="56">
        <v>122.712</v>
      </c>
    </row>
    <row r="1723" spans="1:2" x14ac:dyDescent="0.25">
      <c r="A1723" s="56">
        <v>-609.3</v>
      </c>
      <c r="B1723" s="56">
        <v>122.63435</v>
      </c>
    </row>
    <row r="1724" spans="1:2" x14ac:dyDescent="0.25">
      <c r="A1724" s="56">
        <v>-612.3</v>
      </c>
      <c r="B1724" s="56">
        <v>122.63435</v>
      </c>
    </row>
    <row r="1725" spans="1:2" x14ac:dyDescent="0.25">
      <c r="A1725" s="56">
        <v>-612.3</v>
      </c>
      <c r="B1725" s="56">
        <v>122.65795</v>
      </c>
    </row>
    <row r="1726" spans="1:2" x14ac:dyDescent="0.25">
      <c r="A1726" s="56">
        <v>-615.3</v>
      </c>
      <c r="B1726" s="56">
        <v>122.65795</v>
      </c>
    </row>
    <row r="1727" spans="1:2" x14ac:dyDescent="0.25">
      <c r="A1727" s="56">
        <v>-615.3</v>
      </c>
      <c r="B1727" s="56">
        <v>122.6534</v>
      </c>
    </row>
    <row r="1728" spans="1:2" x14ac:dyDescent="0.25">
      <c r="A1728" s="56">
        <v>-617.7</v>
      </c>
      <c r="B1728" s="56">
        <v>122.6534</v>
      </c>
    </row>
    <row r="1729" spans="1:2" x14ac:dyDescent="0.25">
      <c r="A1729" s="56">
        <v>-617.7</v>
      </c>
      <c r="B1729" s="56">
        <v>122.656525</v>
      </c>
    </row>
    <row r="1730" spans="1:2" x14ac:dyDescent="0.25">
      <c r="A1730" s="56">
        <v>-619.1</v>
      </c>
      <c r="B1730" s="56">
        <v>122.656525</v>
      </c>
    </row>
    <row r="1731" spans="1:2" x14ac:dyDescent="0.25">
      <c r="A1731" s="56">
        <v>-619.1</v>
      </c>
      <c r="B1731" s="56">
        <v>122.65365</v>
      </c>
    </row>
    <row r="1732" spans="1:2" x14ac:dyDescent="0.25">
      <c r="A1732" s="56">
        <v>-620.1</v>
      </c>
      <c r="B1732" s="56">
        <v>122.65365</v>
      </c>
    </row>
    <row r="1733" spans="1:2" x14ac:dyDescent="0.25">
      <c r="A1733" s="56">
        <v>-620.1</v>
      </c>
      <c r="B1733" s="56">
        <v>122.65195</v>
      </c>
    </row>
    <row r="1734" spans="1:2" x14ac:dyDescent="0.25">
      <c r="A1734" s="56">
        <v>-621.6</v>
      </c>
      <c r="B1734" s="56">
        <v>122.65195</v>
      </c>
    </row>
    <row r="1735" spans="1:2" x14ac:dyDescent="0.25">
      <c r="A1735" s="56">
        <v>-621.6</v>
      </c>
      <c r="B1735" s="56">
        <v>122.65635</v>
      </c>
    </row>
    <row r="1736" spans="1:2" x14ac:dyDescent="0.25">
      <c r="A1736" s="56">
        <v>-623.75</v>
      </c>
      <c r="B1736" s="56">
        <v>122.65635</v>
      </c>
    </row>
    <row r="1737" spans="1:2" x14ac:dyDescent="0.25">
      <c r="A1737" s="56">
        <v>-623.75</v>
      </c>
      <c r="B1737" s="56">
        <v>122.6596</v>
      </c>
    </row>
    <row r="1738" spans="1:2" x14ac:dyDescent="0.25">
      <c r="A1738" s="56">
        <v>-625.8</v>
      </c>
      <c r="B1738" s="56">
        <v>122.6596</v>
      </c>
    </row>
    <row r="1739" spans="1:2" x14ac:dyDescent="0.25">
      <c r="A1739" s="56">
        <v>-625.8</v>
      </c>
      <c r="B1739" s="56">
        <v>122.647675</v>
      </c>
    </row>
    <row r="1740" spans="1:2" x14ac:dyDescent="0.25">
      <c r="A1740" s="56">
        <v>-628.8</v>
      </c>
      <c r="B1740" s="56">
        <v>122.647675</v>
      </c>
    </row>
    <row r="1741" spans="1:2" x14ac:dyDescent="0.25">
      <c r="A1741" s="56">
        <v>-628.8</v>
      </c>
      <c r="B1741" s="56">
        <v>122.6514</v>
      </c>
    </row>
    <row r="1742" spans="1:2" x14ac:dyDescent="0.25">
      <c r="A1742" s="56">
        <v>-629.35</v>
      </c>
      <c r="B1742" s="56">
        <v>122.6514</v>
      </c>
    </row>
    <row r="1743" spans="1:2" x14ac:dyDescent="0.25">
      <c r="A1743" s="56">
        <v>-629.35</v>
      </c>
      <c r="B1743" s="56">
        <v>122.663675</v>
      </c>
    </row>
    <row r="1744" spans="1:2" x14ac:dyDescent="0.25">
      <c r="A1744" s="56">
        <v>-631.8</v>
      </c>
      <c r="B1744" s="56">
        <v>122.663675</v>
      </c>
    </row>
    <row r="1745" spans="1:2" x14ac:dyDescent="0.25">
      <c r="A1745" s="56">
        <v>-631.8</v>
      </c>
      <c r="B1745" s="56">
        <v>122.77185</v>
      </c>
    </row>
    <row r="1746" spans="1:2" x14ac:dyDescent="0.25">
      <c r="A1746" s="56">
        <v>-634.8</v>
      </c>
      <c r="B1746" s="56">
        <v>122.77185</v>
      </c>
    </row>
    <row r="1747" spans="1:2" x14ac:dyDescent="0.25">
      <c r="A1747" s="56">
        <v>-634.8</v>
      </c>
      <c r="B1747" s="56">
        <v>122.6649</v>
      </c>
    </row>
    <row r="1748" spans="1:2" x14ac:dyDescent="0.25">
      <c r="A1748" s="56">
        <v>-636.3</v>
      </c>
      <c r="B1748" s="56">
        <v>122.6649</v>
      </c>
    </row>
    <row r="1749" spans="1:2" x14ac:dyDescent="0.25">
      <c r="A1749" s="56">
        <v>-636.3</v>
      </c>
      <c r="B1749" s="56">
        <v>122.6684</v>
      </c>
    </row>
    <row r="1750" spans="1:2" x14ac:dyDescent="0.25">
      <c r="A1750" s="56">
        <v>-639.3</v>
      </c>
      <c r="B1750" s="56">
        <v>122.6684</v>
      </c>
    </row>
    <row r="1751" spans="1:2" x14ac:dyDescent="0.25">
      <c r="A1751" s="56">
        <v>-639.3</v>
      </c>
      <c r="B1751" s="56">
        <v>122.763275</v>
      </c>
    </row>
    <row r="1752" spans="1:2" x14ac:dyDescent="0.25">
      <c r="A1752" s="56">
        <v>-642.3</v>
      </c>
      <c r="B1752" s="56">
        <v>122.763275</v>
      </c>
    </row>
    <row r="1753" spans="1:2" x14ac:dyDescent="0.25">
      <c r="A1753" s="56">
        <v>-642.3</v>
      </c>
      <c r="B1753" s="56">
        <v>122.664125</v>
      </c>
    </row>
    <row r="1754" spans="1:2" x14ac:dyDescent="0.25">
      <c r="A1754" s="56">
        <v>-645.3</v>
      </c>
      <c r="B1754" s="56">
        <v>122.664125</v>
      </c>
    </row>
    <row r="1755" spans="1:2" x14ac:dyDescent="0.25">
      <c r="A1755" s="56">
        <v>-645.3</v>
      </c>
      <c r="B1755" s="56">
        <v>122.66325</v>
      </c>
    </row>
    <row r="1756" spans="1:2" x14ac:dyDescent="0.25">
      <c r="A1756" s="56">
        <v>-648.3</v>
      </c>
      <c r="B1756" s="56">
        <v>122.66325</v>
      </c>
    </row>
    <row r="1757" spans="1:2" x14ac:dyDescent="0.25">
      <c r="A1757" s="56">
        <v>-648.3</v>
      </c>
      <c r="B1757" s="56">
        <v>122.67095</v>
      </c>
    </row>
    <row r="1758" spans="1:2" x14ac:dyDescent="0.25">
      <c r="A1758" s="56">
        <v>-651.3</v>
      </c>
      <c r="B1758" s="56">
        <v>122.67095</v>
      </c>
    </row>
    <row r="1759" spans="1:2" x14ac:dyDescent="0.25">
      <c r="A1759" s="56">
        <v>-651.3</v>
      </c>
      <c r="B1759" s="56">
        <v>122.677425</v>
      </c>
    </row>
    <row r="1760" spans="1:2" x14ac:dyDescent="0.25">
      <c r="A1760" s="56">
        <v>-654.3</v>
      </c>
      <c r="B1760" s="56">
        <v>122.677425</v>
      </c>
    </row>
    <row r="1761" spans="1:2" x14ac:dyDescent="0.25">
      <c r="A1761" s="56">
        <v>-654.3</v>
      </c>
      <c r="B1761" s="56">
        <v>122.67985</v>
      </c>
    </row>
    <row r="1762" spans="1:2" x14ac:dyDescent="0.25">
      <c r="A1762" s="56">
        <v>-657</v>
      </c>
      <c r="B1762" s="56">
        <v>122.67985</v>
      </c>
    </row>
    <row r="1763" spans="1:2" x14ac:dyDescent="0.25">
      <c r="A1763" s="56">
        <v>-657</v>
      </c>
      <c r="B1763" s="56">
        <v>122.6237</v>
      </c>
    </row>
    <row r="1764" spans="1:2" x14ac:dyDescent="0.25">
      <c r="A1764" s="56">
        <v>-657.7</v>
      </c>
      <c r="B1764" s="56">
        <v>122.6237</v>
      </c>
    </row>
    <row r="1765" spans="1:2" x14ac:dyDescent="0.25">
      <c r="A1765" s="56">
        <v>-657.7</v>
      </c>
      <c r="B1765" s="56">
        <v>122.720575</v>
      </c>
    </row>
    <row r="1766" spans="1:2" x14ac:dyDescent="0.25">
      <c r="A1766" s="56">
        <v>-660.3</v>
      </c>
      <c r="B1766" s="56">
        <v>122.720575</v>
      </c>
    </row>
    <row r="1767" spans="1:2" x14ac:dyDescent="0.25">
      <c r="A1767" s="56">
        <v>-660.3</v>
      </c>
      <c r="B1767" s="56">
        <v>122.7631</v>
      </c>
    </row>
    <row r="1768" spans="1:2" x14ac:dyDescent="0.25">
      <c r="A1768" s="56">
        <v>-662.5</v>
      </c>
      <c r="B1768" s="56">
        <v>122.7631</v>
      </c>
    </row>
    <row r="1769" spans="1:2" x14ac:dyDescent="0.25">
      <c r="A1769" s="56">
        <v>-662.5</v>
      </c>
      <c r="B1769" s="56">
        <v>122.66785</v>
      </c>
    </row>
    <row r="1770" spans="1:2" x14ac:dyDescent="0.25">
      <c r="A1770" s="56">
        <v>-665.5</v>
      </c>
      <c r="B1770" s="56">
        <v>122.66785</v>
      </c>
    </row>
    <row r="1771" spans="1:2" x14ac:dyDescent="0.25">
      <c r="A1771" s="56">
        <v>-665.5</v>
      </c>
      <c r="B1771" s="56">
        <v>122.6292</v>
      </c>
    </row>
    <row r="1772" spans="1:2" x14ac:dyDescent="0.25">
      <c r="A1772" s="56">
        <v>-668.5</v>
      </c>
      <c r="B1772" s="56">
        <v>122.6292</v>
      </c>
    </row>
    <row r="1773" spans="1:2" x14ac:dyDescent="0.25">
      <c r="A1773" s="56">
        <v>-668.5</v>
      </c>
      <c r="B1773" s="56">
        <v>122.626175</v>
      </c>
    </row>
    <row r="1774" spans="1:2" x14ac:dyDescent="0.25">
      <c r="A1774" s="56">
        <v>-670.8</v>
      </c>
      <c r="B1774" s="56">
        <v>122.626175</v>
      </c>
    </row>
    <row r="1775" spans="1:2" x14ac:dyDescent="0.25">
      <c r="A1775" s="56">
        <v>-670.8</v>
      </c>
      <c r="B1775" s="56">
        <v>122.6245</v>
      </c>
    </row>
    <row r="1776" spans="1:2" x14ac:dyDescent="0.25">
      <c r="A1776" s="56">
        <v>-672.3</v>
      </c>
      <c r="B1776" s="56">
        <v>122.6245</v>
      </c>
    </row>
    <row r="1777" spans="1:2" x14ac:dyDescent="0.25">
      <c r="A1777" s="56">
        <v>-672.3</v>
      </c>
      <c r="B1777" s="56">
        <v>122.664225</v>
      </c>
    </row>
    <row r="1778" spans="1:2" x14ac:dyDescent="0.25">
      <c r="A1778" s="56">
        <v>-673.6</v>
      </c>
      <c r="B1778" s="56">
        <v>122.664225</v>
      </c>
    </row>
    <row r="1779" spans="1:2" x14ac:dyDescent="0.25">
      <c r="A1779" s="56">
        <v>-673.6</v>
      </c>
      <c r="B1779" s="56">
        <v>122.675525</v>
      </c>
    </row>
    <row r="1780" spans="1:2" x14ac:dyDescent="0.25">
      <c r="A1780" s="56">
        <v>-675.3</v>
      </c>
      <c r="B1780" s="56">
        <v>122.675525</v>
      </c>
    </row>
    <row r="1781" spans="1:2" x14ac:dyDescent="0.25">
      <c r="A1781" s="56">
        <v>-675.3</v>
      </c>
      <c r="B1781" s="56">
        <v>122.653075</v>
      </c>
    </row>
    <row r="1782" spans="1:2" x14ac:dyDescent="0.25">
      <c r="A1782" s="56">
        <v>-676.8</v>
      </c>
      <c r="B1782" s="56">
        <v>122.653075</v>
      </c>
    </row>
    <row r="1783" spans="1:2" x14ac:dyDescent="0.25">
      <c r="A1783" s="56">
        <v>-676.8</v>
      </c>
      <c r="B1783" s="56">
        <v>122.666325</v>
      </c>
    </row>
    <row r="1784" spans="1:2" x14ac:dyDescent="0.25">
      <c r="A1784" s="56">
        <v>-678.3</v>
      </c>
      <c r="B1784" s="56">
        <v>122.666325</v>
      </c>
    </row>
    <row r="1785" spans="1:2" x14ac:dyDescent="0.25">
      <c r="A1785" s="56">
        <v>-678.3</v>
      </c>
      <c r="B1785" s="56">
        <v>122.656325</v>
      </c>
    </row>
    <row r="1786" spans="1:2" x14ac:dyDescent="0.25">
      <c r="A1786" s="56">
        <v>-679.8</v>
      </c>
      <c r="B1786" s="56">
        <v>122.656325</v>
      </c>
    </row>
    <row r="1787" spans="1:2" x14ac:dyDescent="0.25">
      <c r="A1787" s="56">
        <v>-679.8</v>
      </c>
      <c r="B1787" s="56">
        <v>122.669225</v>
      </c>
    </row>
    <row r="1788" spans="1:2" x14ac:dyDescent="0.25">
      <c r="A1788" s="56">
        <v>-681.25</v>
      </c>
      <c r="B1788" s="56">
        <v>122.669225</v>
      </c>
    </row>
    <row r="1789" spans="1:2" x14ac:dyDescent="0.25">
      <c r="A1789" s="56">
        <v>-681.25</v>
      </c>
      <c r="B1789" s="56">
        <v>122.6214</v>
      </c>
    </row>
    <row r="1790" spans="1:2" x14ac:dyDescent="0.25">
      <c r="A1790" s="56">
        <v>-682.75</v>
      </c>
      <c r="B1790" s="56">
        <v>122.6214</v>
      </c>
    </row>
    <row r="1791" spans="1:2" x14ac:dyDescent="0.25">
      <c r="A1791" s="56">
        <v>-682.75</v>
      </c>
      <c r="B1791" s="56">
        <v>122.68205</v>
      </c>
    </row>
    <row r="1792" spans="1:2" x14ac:dyDescent="0.25">
      <c r="A1792" s="56">
        <v>-684.25</v>
      </c>
      <c r="B1792" s="56">
        <v>122.68205</v>
      </c>
    </row>
    <row r="1793" spans="1:2" x14ac:dyDescent="0.25">
      <c r="A1793" s="56">
        <v>-684.25</v>
      </c>
      <c r="B1793" s="56">
        <v>122.7277</v>
      </c>
    </row>
    <row r="1794" spans="1:2" x14ac:dyDescent="0.25">
      <c r="A1794" s="56">
        <v>-685.75</v>
      </c>
      <c r="B1794" s="56">
        <v>122.7277</v>
      </c>
    </row>
    <row r="1795" spans="1:2" x14ac:dyDescent="0.25">
      <c r="A1795" s="56">
        <v>-685.75</v>
      </c>
      <c r="B1795" s="56">
        <v>122.751275</v>
      </c>
    </row>
    <row r="1796" spans="1:2" x14ac:dyDescent="0.25">
      <c r="A1796" s="56">
        <v>-687.25</v>
      </c>
      <c r="B1796" s="56">
        <v>122.751275</v>
      </c>
    </row>
    <row r="1797" spans="1:2" x14ac:dyDescent="0.25">
      <c r="A1797" s="56">
        <v>-687.25</v>
      </c>
      <c r="B1797" s="56">
        <v>122.7021</v>
      </c>
    </row>
    <row r="1798" spans="1:2" x14ac:dyDescent="0.25">
      <c r="A1798" s="56">
        <v>-688.75</v>
      </c>
      <c r="B1798" s="56">
        <v>122.7021</v>
      </c>
    </row>
    <row r="1799" spans="1:2" x14ac:dyDescent="0.25">
      <c r="A1799" s="56">
        <v>-688.75</v>
      </c>
      <c r="B1799" s="56">
        <v>122.668725</v>
      </c>
    </row>
    <row r="1800" spans="1:2" x14ac:dyDescent="0.25">
      <c r="A1800" s="56">
        <v>-690.25</v>
      </c>
      <c r="B1800" s="56">
        <v>122.668725</v>
      </c>
    </row>
    <row r="1801" spans="1:2" x14ac:dyDescent="0.25">
      <c r="A1801" s="56">
        <v>-690.25</v>
      </c>
      <c r="B1801" s="56">
        <v>122.6713</v>
      </c>
    </row>
    <row r="1802" spans="1:2" x14ac:dyDescent="0.25">
      <c r="A1802" s="56">
        <v>-691.75</v>
      </c>
      <c r="B1802" s="56">
        <v>122.6713</v>
      </c>
    </row>
    <row r="1803" spans="1:2" x14ac:dyDescent="0.25">
      <c r="A1803" s="56">
        <v>-691.75</v>
      </c>
      <c r="B1803" s="56">
        <v>122.668</v>
      </c>
    </row>
    <row r="1804" spans="1:2" x14ac:dyDescent="0.25">
      <c r="A1804" s="56">
        <v>-693.25</v>
      </c>
      <c r="B1804" s="56">
        <v>122.668</v>
      </c>
    </row>
    <row r="1805" spans="1:2" x14ac:dyDescent="0.25">
      <c r="A1805" s="56">
        <v>-693.25</v>
      </c>
      <c r="B1805" s="56">
        <v>122.66605</v>
      </c>
    </row>
    <row r="1806" spans="1:2" x14ac:dyDescent="0.25">
      <c r="A1806" s="56">
        <v>-694.75</v>
      </c>
      <c r="B1806" s="56">
        <v>122.66605</v>
      </c>
    </row>
    <row r="1807" spans="1:2" x14ac:dyDescent="0.25">
      <c r="A1807" s="56">
        <v>-694.75</v>
      </c>
      <c r="B1807" s="56">
        <v>122.5</v>
      </c>
    </row>
    <row r="1808" spans="1:2" x14ac:dyDescent="0.25">
      <c r="A1808" s="56">
        <v>-696.25</v>
      </c>
      <c r="B1808" s="56">
        <v>122.5</v>
      </c>
    </row>
    <row r="1809" spans="1:2" x14ac:dyDescent="0.25">
      <c r="A1809" s="56">
        <v>-696.25</v>
      </c>
      <c r="B1809" s="56">
        <v>122.5</v>
      </c>
    </row>
    <row r="1811" spans="1:2" x14ac:dyDescent="0.25">
      <c r="A1811" s="56">
        <v>-22.55</v>
      </c>
      <c r="B1811" s="56">
        <v>137.216</v>
      </c>
    </row>
    <row r="1812" spans="1:2" x14ac:dyDescent="0.25">
      <c r="A1812" s="56">
        <v>-27.2</v>
      </c>
      <c r="B1812" s="56">
        <v>136.448</v>
      </c>
    </row>
    <row r="1813" spans="1:2" x14ac:dyDescent="0.25">
      <c r="A1813" s="56">
        <v>-39.45</v>
      </c>
      <c r="B1813" s="56">
        <v>135.964</v>
      </c>
    </row>
    <row r="1814" spans="1:2" x14ac:dyDescent="0.25">
      <c r="A1814" s="56">
        <v>-48.45</v>
      </c>
      <c r="B1814" s="56">
        <v>136.324</v>
      </c>
    </row>
    <row r="1815" spans="1:2" x14ac:dyDescent="0.25">
      <c r="A1815" s="56">
        <v>-52.95</v>
      </c>
      <c r="B1815" s="56">
        <v>137.224</v>
      </c>
    </row>
    <row r="1816" spans="1:2" x14ac:dyDescent="0.25">
      <c r="A1816" s="56">
        <v>-55.95</v>
      </c>
      <c r="B1816" s="56">
        <v>135.548</v>
      </c>
    </row>
    <row r="1817" spans="1:2" x14ac:dyDescent="0.25">
      <c r="A1817" s="56">
        <v>-63.45</v>
      </c>
      <c r="B1817" s="56">
        <v>135.688</v>
      </c>
    </row>
    <row r="1818" spans="1:2" x14ac:dyDescent="0.25">
      <c r="A1818" s="56">
        <v>-73.95</v>
      </c>
      <c r="B1818" s="56">
        <v>136.84</v>
      </c>
    </row>
    <row r="1819" spans="1:2" x14ac:dyDescent="0.25">
      <c r="A1819" s="56">
        <v>-85.95</v>
      </c>
      <c r="B1819" s="56">
        <v>136.64</v>
      </c>
    </row>
    <row r="1820" spans="1:2" x14ac:dyDescent="0.25">
      <c r="A1820" s="56">
        <v>-97.95</v>
      </c>
      <c r="B1820" s="56">
        <v>135.888</v>
      </c>
    </row>
    <row r="1821" spans="1:2" x14ac:dyDescent="0.25">
      <c r="A1821" s="56">
        <v>-102.45</v>
      </c>
      <c r="B1821" s="56">
        <v>135.708</v>
      </c>
    </row>
    <row r="1822" spans="1:2" x14ac:dyDescent="0.25">
      <c r="A1822" s="56">
        <v>-111.45</v>
      </c>
      <c r="B1822" s="56">
        <v>136.76</v>
      </c>
    </row>
    <row r="1823" spans="1:2" x14ac:dyDescent="0.25">
      <c r="A1823" s="56">
        <v>-123.45</v>
      </c>
      <c r="B1823" s="56">
        <v>136.972</v>
      </c>
    </row>
    <row r="1824" spans="1:2" x14ac:dyDescent="0.25">
      <c r="A1824" s="56">
        <v>-141.45</v>
      </c>
      <c r="B1824" s="56">
        <v>136.976</v>
      </c>
    </row>
    <row r="1825" spans="1:2" x14ac:dyDescent="0.25">
      <c r="A1825" s="56">
        <v>-157.85</v>
      </c>
      <c r="B1825" s="56">
        <v>135.304</v>
      </c>
    </row>
    <row r="1826" spans="1:2" x14ac:dyDescent="0.25">
      <c r="A1826" s="56">
        <v>-172.95</v>
      </c>
      <c r="B1826" s="56">
        <v>135.2</v>
      </c>
    </row>
    <row r="1827" spans="1:2" x14ac:dyDescent="0.25">
      <c r="A1827" s="56">
        <v>-190.95</v>
      </c>
      <c r="B1827" s="56">
        <v>135.696</v>
      </c>
    </row>
    <row r="1828" spans="1:2" x14ac:dyDescent="0.25">
      <c r="A1828" s="56">
        <v>-202.95</v>
      </c>
      <c r="B1828" s="56">
        <v>136.452</v>
      </c>
    </row>
    <row r="1829" spans="1:2" x14ac:dyDescent="0.25">
      <c r="A1829" s="56">
        <v>-216.45</v>
      </c>
      <c r="B1829" s="56">
        <v>136.496</v>
      </c>
    </row>
    <row r="1830" spans="1:2" x14ac:dyDescent="0.25">
      <c r="A1830" s="56">
        <v>-221.65</v>
      </c>
      <c r="B1830" s="56">
        <v>135.464</v>
      </c>
    </row>
    <row r="1831" spans="1:2" x14ac:dyDescent="0.25">
      <c r="A1831" s="56">
        <v>-229.55</v>
      </c>
      <c r="B1831" s="56">
        <v>136.216</v>
      </c>
    </row>
    <row r="1832" spans="1:2" x14ac:dyDescent="0.25">
      <c r="A1832" s="56">
        <v>-234.1</v>
      </c>
      <c r="B1832" s="56">
        <v>135.696</v>
      </c>
    </row>
    <row r="1833" spans="1:2" x14ac:dyDescent="0.25">
      <c r="A1833" s="56">
        <v>-243.45</v>
      </c>
      <c r="B1833" s="56">
        <v>136.636</v>
      </c>
    </row>
    <row r="1834" spans="1:2" x14ac:dyDescent="0.25">
      <c r="A1834" s="56">
        <v>-256.75</v>
      </c>
      <c r="B1834" s="56">
        <v>136.612</v>
      </c>
    </row>
    <row r="1835" spans="1:2" x14ac:dyDescent="0.25">
      <c r="A1835" s="56">
        <v>-262.65</v>
      </c>
      <c r="B1835" s="56">
        <v>136.616</v>
      </c>
    </row>
    <row r="1836" spans="1:2" x14ac:dyDescent="0.25">
      <c r="A1836" s="56">
        <v>-271.95</v>
      </c>
      <c r="B1836" s="56">
        <v>136.316</v>
      </c>
    </row>
    <row r="1837" spans="1:2" x14ac:dyDescent="0.25">
      <c r="A1837" s="56">
        <v>-280.95</v>
      </c>
      <c r="B1837" s="56">
        <v>135.564</v>
      </c>
    </row>
    <row r="1838" spans="1:2" x14ac:dyDescent="0.25">
      <c r="A1838" s="56">
        <v>-296.45</v>
      </c>
      <c r="B1838" s="56">
        <v>136.716</v>
      </c>
    </row>
    <row r="1839" spans="1:2" x14ac:dyDescent="0.25">
      <c r="A1839" s="56">
        <v>-301.95</v>
      </c>
      <c r="B1839" s="56">
        <v>136.524</v>
      </c>
    </row>
    <row r="1840" spans="1:2" x14ac:dyDescent="0.25">
      <c r="A1840" s="56">
        <v>-307.95</v>
      </c>
      <c r="B1840" s="56">
        <v>136.056</v>
      </c>
    </row>
    <row r="1841" spans="1:2" x14ac:dyDescent="0.25">
      <c r="A1841" s="56">
        <v>-315.45</v>
      </c>
      <c r="B1841" s="56">
        <v>135.596</v>
      </c>
    </row>
    <row r="1842" spans="1:2" x14ac:dyDescent="0.25">
      <c r="A1842" s="56">
        <v>-321.45</v>
      </c>
      <c r="B1842" s="56">
        <v>136.284</v>
      </c>
    </row>
    <row r="1843" spans="1:2" x14ac:dyDescent="0.25">
      <c r="A1843" s="56">
        <v>-330.15</v>
      </c>
      <c r="B1843" s="56">
        <v>136.32</v>
      </c>
    </row>
    <row r="1844" spans="1:2" x14ac:dyDescent="0.25">
      <c r="A1844" s="56">
        <v>-339.15</v>
      </c>
      <c r="B1844" s="56">
        <v>135.808</v>
      </c>
    </row>
    <row r="1845" spans="1:2" x14ac:dyDescent="0.25">
      <c r="A1845" s="56">
        <v>-357.15</v>
      </c>
      <c r="B1845" s="56">
        <v>135.86</v>
      </c>
    </row>
    <row r="1846" spans="1:2" x14ac:dyDescent="0.25">
      <c r="A1846" s="56">
        <v>-369.6</v>
      </c>
      <c r="B1846" s="56">
        <v>136.404</v>
      </c>
    </row>
    <row r="1847" spans="1:2" x14ac:dyDescent="0.25">
      <c r="A1847" s="56">
        <v>-373.95</v>
      </c>
      <c r="B1847" s="56">
        <v>136.42</v>
      </c>
    </row>
    <row r="1848" spans="1:2" x14ac:dyDescent="0.25">
      <c r="A1848" s="56">
        <v>-385.95</v>
      </c>
      <c r="B1848" s="56">
        <v>135.876</v>
      </c>
    </row>
    <row r="1849" spans="1:2" x14ac:dyDescent="0.25">
      <c r="A1849" s="56">
        <v>-394.95</v>
      </c>
      <c r="B1849" s="56">
        <v>135.824</v>
      </c>
    </row>
    <row r="1850" spans="1:2" x14ac:dyDescent="0.25">
      <c r="A1850" s="56">
        <v>-414.3</v>
      </c>
      <c r="B1850" s="56">
        <v>136.736</v>
      </c>
    </row>
    <row r="1851" spans="1:2" x14ac:dyDescent="0.25">
      <c r="A1851" s="56">
        <v>-429.3</v>
      </c>
      <c r="B1851" s="56">
        <v>136.344</v>
      </c>
    </row>
    <row r="1852" spans="1:2" x14ac:dyDescent="0.25">
      <c r="A1852" s="56">
        <v>-436.8</v>
      </c>
      <c r="B1852" s="56">
        <v>136.244</v>
      </c>
    </row>
    <row r="1853" spans="1:2" x14ac:dyDescent="0.25">
      <c r="A1853" s="56">
        <v>-447.3</v>
      </c>
      <c r="B1853" s="56">
        <v>136.28</v>
      </c>
    </row>
    <row r="1854" spans="1:2" x14ac:dyDescent="0.25">
      <c r="A1854" s="56">
        <v>-462.3</v>
      </c>
      <c r="B1854" s="56">
        <v>136.408</v>
      </c>
    </row>
    <row r="1855" spans="1:2" x14ac:dyDescent="0.25">
      <c r="A1855" s="56">
        <v>-475.5</v>
      </c>
      <c r="B1855" s="56">
        <v>136.464</v>
      </c>
    </row>
    <row r="1856" spans="1:2" x14ac:dyDescent="0.25">
      <c r="A1856" s="56">
        <v>-489.3</v>
      </c>
      <c r="B1856" s="56">
        <v>135.916</v>
      </c>
    </row>
    <row r="1857" spans="1:2" x14ac:dyDescent="0.25">
      <c r="A1857" s="56">
        <v>-504.3</v>
      </c>
      <c r="B1857" s="56">
        <v>136.088</v>
      </c>
    </row>
    <row r="1858" spans="1:2" x14ac:dyDescent="0.25">
      <c r="A1858" s="56">
        <v>-526.8</v>
      </c>
      <c r="B1858" s="56">
        <v>136.52</v>
      </c>
    </row>
    <row r="1859" spans="1:2" x14ac:dyDescent="0.25">
      <c r="A1859" s="56">
        <v>-541.8</v>
      </c>
      <c r="B1859" s="56">
        <v>136.472</v>
      </c>
    </row>
    <row r="1860" spans="1:2" x14ac:dyDescent="0.25">
      <c r="A1860" s="56">
        <v>-547.8</v>
      </c>
      <c r="B1860" s="56">
        <v>136.392</v>
      </c>
    </row>
    <row r="1861" spans="1:2" x14ac:dyDescent="0.25">
      <c r="A1861" s="56">
        <v>-553.8</v>
      </c>
      <c r="B1861" s="56">
        <v>137.02</v>
      </c>
    </row>
    <row r="1862" spans="1:2" x14ac:dyDescent="0.25">
      <c r="A1862" s="56">
        <v>-568.8</v>
      </c>
      <c r="B1862" s="56">
        <v>136.204</v>
      </c>
    </row>
    <row r="1863" spans="1:2" x14ac:dyDescent="0.25">
      <c r="A1863" s="56">
        <v>-583.8</v>
      </c>
      <c r="B1863" s="56">
        <v>135.972</v>
      </c>
    </row>
    <row r="1864" spans="1:2" x14ac:dyDescent="0.25">
      <c r="A1864" s="56">
        <v>-589.8</v>
      </c>
      <c r="B1864" s="56">
        <v>136.8</v>
      </c>
    </row>
    <row r="1865" spans="1:2" x14ac:dyDescent="0.25">
      <c r="A1865" s="56">
        <v>-595.8</v>
      </c>
      <c r="B1865" s="56">
        <v>136.76</v>
      </c>
    </row>
    <row r="1866" spans="1:2" x14ac:dyDescent="0.25">
      <c r="A1866" s="56">
        <v>-603.3</v>
      </c>
      <c r="B1866" s="56">
        <v>136.356</v>
      </c>
    </row>
    <row r="1867" spans="1:2" x14ac:dyDescent="0.25">
      <c r="A1867" s="56">
        <v>-620.1</v>
      </c>
      <c r="B1867" s="56">
        <v>136.944</v>
      </c>
    </row>
    <row r="1868" spans="1:2" x14ac:dyDescent="0.25">
      <c r="A1868" s="56">
        <v>-631.8</v>
      </c>
      <c r="B1868" s="56">
        <v>136.348</v>
      </c>
    </row>
    <row r="1869" spans="1:2" x14ac:dyDescent="0.25">
      <c r="A1869" s="56">
        <v>-639.3</v>
      </c>
      <c r="B1869" s="56">
        <v>135.964</v>
      </c>
    </row>
    <row r="1870" spans="1:2" x14ac:dyDescent="0.25">
      <c r="A1870" s="56">
        <v>-645.3</v>
      </c>
      <c r="B1870" s="56">
        <v>135.796</v>
      </c>
    </row>
    <row r="1871" spans="1:2" x14ac:dyDescent="0.25">
      <c r="A1871" s="56">
        <v>-651.3</v>
      </c>
      <c r="B1871" s="56">
        <v>136.552</v>
      </c>
    </row>
    <row r="1872" spans="1:2" x14ac:dyDescent="0.25">
      <c r="A1872" s="56">
        <v>-657</v>
      </c>
      <c r="B1872" s="56">
        <v>136.548</v>
      </c>
    </row>
    <row r="1873" spans="1:2" x14ac:dyDescent="0.25">
      <c r="A1873" s="56">
        <v>-660.3</v>
      </c>
      <c r="B1873" s="56">
        <v>135.944</v>
      </c>
    </row>
    <row r="1874" spans="1:2" x14ac:dyDescent="0.25">
      <c r="A1874" s="56">
        <v>-670.8</v>
      </c>
      <c r="B1874" s="56">
        <v>136.716</v>
      </c>
    </row>
    <row r="1875" spans="1:2" x14ac:dyDescent="0.25">
      <c r="A1875" s="56">
        <v>-676.8</v>
      </c>
      <c r="B1875" s="56">
        <v>136.456</v>
      </c>
    </row>
    <row r="1876" spans="1:2" x14ac:dyDescent="0.25">
      <c r="A1876" s="56">
        <v>-679.8</v>
      </c>
      <c r="B1876" s="56">
        <v>136.508</v>
      </c>
    </row>
    <row r="1877" spans="1:2" x14ac:dyDescent="0.25">
      <c r="A1877" s="56">
        <v>-693.25</v>
      </c>
      <c r="B1877" s="56">
        <v>136.536</v>
      </c>
    </row>
    <row r="1878" spans="1:2" x14ac:dyDescent="0.25">
      <c r="A1878" s="56">
        <v>-696.25</v>
      </c>
      <c r="B1878" s="56">
        <v>136.504</v>
      </c>
    </row>
    <row r="1880" spans="1:2" x14ac:dyDescent="0.25">
      <c r="A1880" s="56">
        <v>-0.9</v>
      </c>
      <c r="B1880" s="56">
        <v>142.5</v>
      </c>
    </row>
    <row r="1881" spans="1:2" x14ac:dyDescent="0.25">
      <c r="A1881" s="56">
        <v>-0.9</v>
      </c>
      <c r="B1881" s="56">
        <v>152.5</v>
      </c>
    </row>
    <row r="1882" spans="1:2" x14ac:dyDescent="0.25">
      <c r="A1882" s="56">
        <v>-21.85</v>
      </c>
      <c r="B1882" s="56">
        <v>152.5</v>
      </c>
    </row>
    <row r="1883" spans="1:2" x14ac:dyDescent="0.25">
      <c r="A1883" s="56">
        <v>-21.85</v>
      </c>
      <c r="B1883" s="56">
        <v>142.5</v>
      </c>
    </row>
    <row r="1884" spans="1:2" x14ac:dyDescent="0.25">
      <c r="A1884" s="56">
        <v>-26.6</v>
      </c>
      <c r="B1884" s="56">
        <v>142.5</v>
      </c>
    </row>
    <row r="1885" spans="1:2" x14ac:dyDescent="0.25">
      <c r="A1885" s="56">
        <v>-26.6</v>
      </c>
      <c r="B1885" s="56">
        <v>152.5</v>
      </c>
    </row>
    <row r="1886" spans="1:2" x14ac:dyDescent="0.25">
      <c r="A1886" s="56">
        <v>-37.95</v>
      </c>
      <c r="B1886" s="56">
        <v>152.5</v>
      </c>
    </row>
    <row r="1887" spans="1:2" x14ac:dyDescent="0.25">
      <c r="A1887" s="56">
        <v>-37.95</v>
      </c>
      <c r="B1887" s="56">
        <v>142.5</v>
      </c>
    </row>
    <row r="1888" spans="1:2" x14ac:dyDescent="0.25">
      <c r="A1888" s="56">
        <v>-42.77</v>
      </c>
      <c r="B1888" s="56">
        <v>142.5</v>
      </c>
    </row>
    <row r="1889" spans="1:2" x14ac:dyDescent="0.25">
      <c r="A1889" s="56">
        <v>-42.77</v>
      </c>
      <c r="B1889" s="56">
        <v>152.5</v>
      </c>
    </row>
    <row r="1890" spans="1:2" x14ac:dyDescent="0.25">
      <c r="A1890" s="56">
        <v>-139.7</v>
      </c>
      <c r="B1890" s="56">
        <v>152.5</v>
      </c>
    </row>
    <row r="1891" spans="1:2" x14ac:dyDescent="0.25">
      <c r="A1891" s="56">
        <v>-139.7</v>
      </c>
      <c r="B1891" s="56">
        <v>142.5</v>
      </c>
    </row>
    <row r="1892" spans="1:2" x14ac:dyDescent="0.25">
      <c r="A1892" s="56">
        <v>-187.01</v>
      </c>
      <c r="B1892" s="56">
        <v>142.5</v>
      </c>
    </row>
    <row r="1893" spans="1:2" x14ac:dyDescent="0.25">
      <c r="A1893" s="56">
        <v>-187.01</v>
      </c>
      <c r="B1893" s="56">
        <v>152.5</v>
      </c>
    </row>
    <row r="1894" spans="1:2" x14ac:dyDescent="0.25">
      <c r="A1894" s="56">
        <v>-300.73</v>
      </c>
      <c r="B1894" s="56">
        <v>152.5</v>
      </c>
    </row>
    <row r="1895" spans="1:2" x14ac:dyDescent="0.25">
      <c r="A1895" s="56">
        <v>-300.73</v>
      </c>
      <c r="B1895" s="56">
        <v>142.5</v>
      </c>
    </row>
    <row r="1896" spans="1:2" x14ac:dyDescent="0.25">
      <c r="A1896" s="56">
        <v>-305.66</v>
      </c>
      <c r="B1896" s="56">
        <v>142.5</v>
      </c>
    </row>
    <row r="1897" spans="1:2" x14ac:dyDescent="0.25">
      <c r="A1897" s="56">
        <v>-305.66</v>
      </c>
      <c r="B1897" s="56">
        <v>152.5</v>
      </c>
    </row>
    <row r="1898" spans="1:2" x14ac:dyDescent="0.25">
      <c r="A1898" s="56">
        <v>-489.37</v>
      </c>
      <c r="B1898" s="56">
        <v>152.5</v>
      </c>
    </row>
    <row r="1899" spans="1:2" x14ac:dyDescent="0.25">
      <c r="A1899" s="56">
        <v>-489.37</v>
      </c>
      <c r="B1899" s="56">
        <v>142.5</v>
      </c>
    </row>
    <row r="1900" spans="1:2" x14ac:dyDescent="0.25">
      <c r="A1900" s="56">
        <v>-625.8</v>
      </c>
      <c r="B1900" s="56">
        <v>142.5</v>
      </c>
    </row>
    <row r="1901" spans="1:2" x14ac:dyDescent="0.25">
      <c r="A1901" s="56">
        <v>-625.8</v>
      </c>
      <c r="B1901" s="56">
        <v>152.5</v>
      </c>
    </row>
    <row r="1902" spans="1:2" x14ac:dyDescent="0.25">
      <c r="A1902" s="56">
        <v>-629.28</v>
      </c>
      <c r="B1902" s="56">
        <v>152.5</v>
      </c>
    </row>
    <row r="1903" spans="1:2" x14ac:dyDescent="0.25">
      <c r="A1903" s="56">
        <v>-629.28</v>
      </c>
      <c r="B1903" s="56">
        <v>142.5</v>
      </c>
    </row>
    <row r="1904" spans="1:2" x14ac:dyDescent="0.25">
      <c r="A1904" s="56">
        <v>-635.71</v>
      </c>
      <c r="B1904" s="56">
        <v>142.5</v>
      </c>
    </row>
    <row r="1905" spans="1:2" x14ac:dyDescent="0.25">
      <c r="A1905" s="56">
        <v>-635.71</v>
      </c>
      <c r="B1905" s="56">
        <v>152.5</v>
      </c>
    </row>
    <row r="1906" spans="1:2" x14ac:dyDescent="0.25">
      <c r="A1906" s="56">
        <v>-656.8</v>
      </c>
      <c r="B1906" s="56">
        <v>152.5</v>
      </c>
    </row>
    <row r="1907" spans="1:2" x14ac:dyDescent="0.25">
      <c r="A1907" s="56">
        <v>-656.8</v>
      </c>
      <c r="B1907" s="56">
        <v>142.5</v>
      </c>
    </row>
    <row r="1908" spans="1:2" x14ac:dyDescent="0.25">
      <c r="A1908" s="56">
        <v>-680.45</v>
      </c>
      <c r="B1908" s="56">
        <v>142.5</v>
      </c>
    </row>
    <row r="1909" spans="1:2" x14ac:dyDescent="0.25">
      <c r="A1909" s="56">
        <v>-680.45</v>
      </c>
      <c r="B1909" s="56">
        <v>152.5</v>
      </c>
    </row>
    <row r="1910" spans="1:2" x14ac:dyDescent="0.25">
      <c r="A1910" s="56">
        <v>-696.25</v>
      </c>
      <c r="B1910" s="56">
        <v>152.5</v>
      </c>
    </row>
    <row r="1911" spans="1:2" x14ac:dyDescent="0.25">
      <c r="A1911" s="56">
        <v>-696.25</v>
      </c>
      <c r="B1911" s="56">
        <v>142.5</v>
      </c>
    </row>
    <row r="1913" spans="1:2" x14ac:dyDescent="0.25">
      <c r="A1913" s="56">
        <v>0</v>
      </c>
      <c r="B1913" s="56">
        <v>162.5</v>
      </c>
    </row>
    <row r="1914" spans="1:2" x14ac:dyDescent="0.25">
      <c r="A1914" s="56">
        <v>-17.17</v>
      </c>
      <c r="B1914" s="56">
        <v>162.5</v>
      </c>
    </row>
    <row r="1915" spans="1:2" x14ac:dyDescent="0.25">
      <c r="A1915" s="56">
        <v>-17.17</v>
      </c>
      <c r="B1915" s="56">
        <v>152.5</v>
      </c>
    </row>
    <row r="1916" spans="1:2" x14ac:dyDescent="0.25">
      <c r="A1916" s="56">
        <v>-8.26</v>
      </c>
      <c r="B1916" s="56">
        <v>152.5</v>
      </c>
    </row>
    <row r="1917" spans="1:2" x14ac:dyDescent="0.25">
      <c r="A1917" s="56">
        <v>-8.26</v>
      </c>
      <c r="B1917" s="56">
        <v>162.5</v>
      </c>
    </row>
    <row r="1918" spans="1:2" x14ac:dyDescent="0.25">
      <c r="A1918" s="56">
        <v>-14.3</v>
      </c>
      <c r="B1918" s="56">
        <v>162.5</v>
      </c>
    </row>
    <row r="1919" spans="1:2" x14ac:dyDescent="0.25">
      <c r="A1919" s="56">
        <v>-14.3</v>
      </c>
      <c r="B1919" s="56">
        <v>152.5</v>
      </c>
    </row>
    <row r="1920" spans="1:2" x14ac:dyDescent="0.25">
      <c r="A1920" s="56">
        <v>-26.6</v>
      </c>
      <c r="B1920" s="56">
        <v>152.5</v>
      </c>
    </row>
    <row r="1921" spans="1:2" x14ac:dyDescent="0.25">
      <c r="A1921" s="56">
        <v>-26.6</v>
      </c>
      <c r="B1921" s="56">
        <v>162.5</v>
      </c>
    </row>
    <row r="1922" spans="1:2" x14ac:dyDescent="0.25">
      <c r="A1922" s="56">
        <v>-32.96</v>
      </c>
      <c r="B1922" s="56">
        <v>162.5</v>
      </c>
    </row>
    <row r="1923" spans="1:2" x14ac:dyDescent="0.25">
      <c r="A1923" s="56">
        <v>-32.96</v>
      </c>
      <c r="B1923" s="56">
        <v>152.5</v>
      </c>
    </row>
    <row r="1924" spans="1:2" x14ac:dyDescent="0.25">
      <c r="A1924" s="56">
        <v>-34.85</v>
      </c>
      <c r="B1924" s="56">
        <v>152.5</v>
      </c>
    </row>
    <row r="1925" spans="1:2" x14ac:dyDescent="0.25">
      <c r="A1925" s="56">
        <v>-34.85</v>
      </c>
      <c r="B1925" s="56">
        <v>162.5</v>
      </c>
    </row>
    <row r="1926" spans="1:2" x14ac:dyDescent="0.25">
      <c r="A1926" s="56">
        <v>-36.53</v>
      </c>
      <c r="B1926" s="56">
        <v>162.5</v>
      </c>
    </row>
    <row r="1927" spans="1:2" x14ac:dyDescent="0.25">
      <c r="A1927" s="56">
        <v>-36.53</v>
      </c>
      <c r="B1927" s="56">
        <v>152.5</v>
      </c>
    </row>
    <row r="1928" spans="1:2" x14ac:dyDescent="0.25">
      <c r="A1928" s="56">
        <v>-37.95</v>
      </c>
      <c r="B1928" s="56">
        <v>152.5</v>
      </c>
    </row>
    <row r="1929" spans="1:2" x14ac:dyDescent="0.25">
      <c r="A1929" s="56">
        <v>-37.95</v>
      </c>
      <c r="B1929" s="56">
        <v>162.5</v>
      </c>
    </row>
    <row r="1930" spans="1:2" x14ac:dyDescent="0.25">
      <c r="A1930" s="56">
        <v>-42.77</v>
      </c>
      <c r="B1930" s="56">
        <v>162.5</v>
      </c>
    </row>
    <row r="1931" spans="1:2" x14ac:dyDescent="0.25">
      <c r="A1931" s="56">
        <v>-42.77</v>
      </c>
      <c r="B1931" s="56">
        <v>152.5</v>
      </c>
    </row>
    <row r="1932" spans="1:2" x14ac:dyDescent="0.25">
      <c r="A1932" s="56">
        <v>-105.55</v>
      </c>
      <c r="B1932" s="56">
        <v>152.5</v>
      </c>
    </row>
    <row r="1933" spans="1:2" x14ac:dyDescent="0.25">
      <c r="A1933" s="56">
        <v>-105.55</v>
      </c>
      <c r="B1933" s="56">
        <v>162.5</v>
      </c>
    </row>
    <row r="1934" spans="1:2" x14ac:dyDescent="0.25">
      <c r="A1934" s="56">
        <v>-107.58</v>
      </c>
      <c r="B1934" s="56">
        <v>162.5</v>
      </c>
    </row>
    <row r="1935" spans="1:2" x14ac:dyDescent="0.25">
      <c r="A1935" s="56">
        <v>-107.58</v>
      </c>
      <c r="B1935" s="56">
        <v>152.5</v>
      </c>
    </row>
    <row r="1936" spans="1:2" x14ac:dyDescent="0.25">
      <c r="A1936" s="56">
        <v>-260.35</v>
      </c>
      <c r="B1936" s="56">
        <v>152.5</v>
      </c>
    </row>
    <row r="1937" spans="1:2" x14ac:dyDescent="0.25">
      <c r="A1937" s="56">
        <v>-260.35</v>
      </c>
      <c r="B1937" s="56">
        <v>162.5</v>
      </c>
    </row>
    <row r="1938" spans="1:2" x14ac:dyDescent="0.25">
      <c r="A1938" s="56">
        <v>-268.95</v>
      </c>
      <c r="B1938" s="56">
        <v>162.5</v>
      </c>
    </row>
    <row r="1939" spans="1:2" x14ac:dyDescent="0.25">
      <c r="A1939" s="56">
        <v>-268.95</v>
      </c>
      <c r="B1939" s="56">
        <v>152.5</v>
      </c>
    </row>
    <row r="1940" spans="1:2" x14ac:dyDescent="0.25">
      <c r="A1940" s="56">
        <v>-292.82</v>
      </c>
      <c r="B1940" s="56">
        <v>152.5</v>
      </c>
    </row>
    <row r="1941" spans="1:2" x14ac:dyDescent="0.25">
      <c r="A1941" s="56">
        <v>-292.82</v>
      </c>
      <c r="B1941" s="56">
        <v>162.5</v>
      </c>
    </row>
    <row r="1942" spans="1:2" x14ac:dyDescent="0.25">
      <c r="A1942" s="56">
        <v>-295.55</v>
      </c>
      <c r="B1942" s="56">
        <v>162.5</v>
      </c>
    </row>
    <row r="1943" spans="1:2" x14ac:dyDescent="0.25">
      <c r="A1943" s="56">
        <v>-295.55</v>
      </c>
      <c r="B1943" s="56">
        <v>152.5</v>
      </c>
    </row>
    <row r="1944" spans="1:2" x14ac:dyDescent="0.25">
      <c r="A1944" s="56">
        <v>-347</v>
      </c>
      <c r="B1944" s="56">
        <v>152.5</v>
      </c>
    </row>
    <row r="1945" spans="1:2" x14ac:dyDescent="0.25">
      <c r="A1945" s="56">
        <v>-347</v>
      </c>
      <c r="B1945" s="56">
        <v>162.5</v>
      </c>
    </row>
    <row r="1946" spans="1:2" x14ac:dyDescent="0.25">
      <c r="A1946" s="56">
        <v>-348.15</v>
      </c>
      <c r="B1946" s="56">
        <v>162.5</v>
      </c>
    </row>
    <row r="1947" spans="1:2" x14ac:dyDescent="0.25">
      <c r="A1947" s="56">
        <v>-348.15</v>
      </c>
      <c r="B1947" s="56">
        <v>152.5</v>
      </c>
    </row>
    <row r="1948" spans="1:2" x14ac:dyDescent="0.25">
      <c r="A1948" s="56">
        <v>-362.82</v>
      </c>
      <c r="B1948" s="56">
        <v>152.5</v>
      </c>
    </row>
    <row r="1949" spans="1:2" x14ac:dyDescent="0.25">
      <c r="A1949" s="56">
        <v>-362.82</v>
      </c>
      <c r="B1949" s="56">
        <v>162.5</v>
      </c>
    </row>
    <row r="1950" spans="1:2" x14ac:dyDescent="0.25">
      <c r="A1950" s="56">
        <v>-371.33</v>
      </c>
      <c r="B1950" s="56">
        <v>162.5</v>
      </c>
    </row>
    <row r="1951" spans="1:2" x14ac:dyDescent="0.25">
      <c r="A1951" s="56">
        <v>-371.33</v>
      </c>
      <c r="B1951" s="56">
        <v>152.5</v>
      </c>
    </row>
    <row r="1953" spans="1:2" x14ac:dyDescent="0.25">
      <c r="A1953" s="56">
        <v>-147.75</v>
      </c>
      <c r="B1953" s="56">
        <v>162.5</v>
      </c>
    </row>
    <row r="1954" spans="1:2" x14ac:dyDescent="0.25">
      <c r="A1954" s="56">
        <v>-147.75</v>
      </c>
      <c r="B1954" s="56">
        <v>170</v>
      </c>
    </row>
    <row r="1956" spans="1:2" x14ac:dyDescent="0.25">
      <c r="A1956" s="56">
        <v>-147.75</v>
      </c>
      <c r="B1956" s="56">
        <v>166.25</v>
      </c>
    </row>
    <row r="1957" spans="1:2" x14ac:dyDescent="0.25">
      <c r="A1957" s="56">
        <v>-146.5</v>
      </c>
      <c r="B1957" s="56">
        <v>165</v>
      </c>
    </row>
    <row r="1958" spans="1:2" x14ac:dyDescent="0.25">
      <c r="A1958" s="56">
        <v>-146.5</v>
      </c>
      <c r="B1958" s="56">
        <v>167.5</v>
      </c>
    </row>
    <row r="1959" spans="1:2" x14ac:dyDescent="0.25">
      <c r="A1959" s="56">
        <v>-147.75</v>
      </c>
      <c r="B1959" s="56">
        <v>166.25</v>
      </c>
    </row>
    <row r="1961" spans="1:2" x14ac:dyDescent="0.25">
      <c r="A1961" s="56">
        <v>-148.15</v>
      </c>
      <c r="B1961" s="56">
        <v>165.5</v>
      </c>
    </row>
    <row r="1962" spans="1:2" x14ac:dyDescent="0.25">
      <c r="A1962" s="56">
        <v>-148.15</v>
      </c>
      <c r="B1962" s="56">
        <v>167</v>
      </c>
    </row>
    <row r="1964" spans="1:2" x14ac:dyDescent="0.25">
      <c r="A1964" s="56">
        <v>-148.55</v>
      </c>
      <c r="B1964" s="56">
        <v>165.75</v>
      </c>
    </row>
    <row r="1965" spans="1:2" x14ac:dyDescent="0.25">
      <c r="A1965" s="56">
        <v>-148.55</v>
      </c>
      <c r="B1965" s="56">
        <v>166.75</v>
      </c>
    </row>
  </sheetData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63"/>
  <sheetViews>
    <sheetView workbookViewId="0" zoomScale="55" zoomScaleNormal="55">
      <selection activeCell="AA5" sqref="AA5"/>
    </sheetView>
  </sheetViews>
  <sheetFormatPr defaultRowHeight="15.6" outlineLevelRow="0" outlineLevelCol="0" x14ac:dyDescent="0" defaultColWidth="8.8" customHeight="1"/>
  <cols>
    <col min="1" max="1" width="8.8" style="19" customWidth="1"/>
    <col min="2" max="2" width="16.725" style="20" customWidth="1"/>
    <col min="3" max="3" width="17.0916666666667" style="21" customWidth="1"/>
    <col min="4" max="4" width="14.5416666666667" style="22" customWidth="1"/>
    <col min="5" max="5" width="8.8" style="2" customWidth="1"/>
    <col min="6" max="6" width="8.8" style="20" customWidth="1"/>
    <col min="7" max="7" width="8.7" style="20" customWidth="1"/>
    <col min="8" max="8" width="8.8" style="20" customWidth="1"/>
    <col min="9" max="9" width="12.8" style="20" customWidth="1"/>
    <col min="10" max="11" width="8.8" style="20" customWidth="1"/>
    <col min="12" max="12" width="12.8" style="20" customWidth="1"/>
    <col min="13" max="13" width="8.8" style="2" customWidth="1"/>
    <col min="14" max="14" width="8.8" style="21" customWidth="1"/>
    <col min="15" max="15" width="8.7" style="21" customWidth="1"/>
    <col min="16" max="16" width="8.8" style="21" customWidth="1"/>
    <col min="17" max="17" width="12.8" style="21" customWidth="1"/>
    <col min="18" max="18" width="8.8" style="21" customWidth="1"/>
    <col min="19" max="19" width="8.7" style="21" customWidth="1"/>
    <col min="20" max="20" width="12.8" style="21" customWidth="1"/>
    <col min="21" max="21" width="8.8" style="2" customWidth="1"/>
    <col min="22" max="22" width="8.8" style="22" customWidth="1"/>
    <col min="23" max="23" width="8.7" style="22" customWidth="1"/>
    <col min="24" max="24" width="8.8" style="22" customWidth="1"/>
    <col min="25" max="25" width="12.8" style="22" customWidth="1"/>
    <col min="26" max="27" width="8.8" style="22" customWidth="1"/>
    <col min="28" max="28" width="12.8" style="22" customWidth="1"/>
    <col min="29" max="16384" width="8.8" style="2" customWidth="1"/>
  </cols>
  <sheetData>
    <row r="1" ht="27" customHeight="1" spans="1:28" s="2" customFormat="1" x14ac:dyDescent="0.25">
      <c r="A1" s="19" t="s">
        <v>16</v>
      </c>
      <c r="B1" s="20" t="s">
        <v>17</v>
      </c>
      <c r="C1" s="21" t="s">
        <v>18</v>
      </c>
      <c r="D1" s="22" t="s">
        <v>19</v>
      </c>
      <c r="F1" s="23" t="s">
        <v>17</v>
      </c>
      <c r="G1" s="24"/>
      <c r="H1" s="24"/>
      <c r="I1" s="24"/>
      <c r="J1" s="24"/>
      <c r="K1" s="24"/>
      <c r="L1" s="25"/>
      <c r="N1" s="26" t="s">
        <v>18</v>
      </c>
      <c r="O1" s="27"/>
      <c r="P1" s="27"/>
      <c r="Q1" s="27"/>
      <c r="R1" s="27"/>
      <c r="S1" s="27"/>
      <c r="T1" s="28"/>
      <c r="V1" s="29" t="s">
        <v>19</v>
      </c>
      <c r="W1" s="30"/>
      <c r="X1" s="30"/>
      <c r="Y1" s="30"/>
      <c r="Z1" s="30"/>
      <c r="AA1" s="30"/>
      <c r="AB1" s="31"/>
    </row>
    <row r="2" spans="1:28" s="2" customFormat="1" x14ac:dyDescent="0.25">
      <c r="A2" s="32"/>
      <c r="B2" s="20"/>
      <c r="C2" s="21"/>
      <c r="D2" s="22"/>
      <c r="E2" s="33"/>
      <c r="F2" s="34" t="s">
        <v>20</v>
      </c>
      <c r="G2" s="34" t="s">
        <v>21</v>
      </c>
      <c r="H2" s="34" t="s">
        <v>22</v>
      </c>
      <c r="I2" s="34" t="s">
        <v>23</v>
      </c>
      <c r="J2" s="34"/>
      <c r="K2" s="34">
        <f t="array" ref="K2">IF(ROW(K2)&lt;=COUNTA(F:F)*2,IF(MOD(ROW(K2),2)=1,INDEX(F:F,(ROW(K2)+1)/2),INDEX(H:H,ROW(K2)/2)),"")</f>
        <v>0</v>
      </c>
      <c r="L2" s="34">
        <f t="array" ref="L2">IF(ROW(L2)&lt;=COUNTA(G:G)*2,IF(MOD(ROW(L2),2)=1,INDEX(G:G,(ROW(L2)+1)/2),INDEX(I:I,ROW(L2)/2)),"")</f>
        <v>0</v>
      </c>
      <c r="N2" s="21" t="s">
        <v>20</v>
      </c>
      <c r="O2" s="21" t="s">
        <v>21</v>
      </c>
      <c r="P2" s="21" t="s">
        <v>22</v>
      </c>
      <c r="Q2" s="21" t="s">
        <v>23</v>
      </c>
      <c r="R2" s="21"/>
      <c r="S2" s="21">
        <f t="array" ref="S2">IF(ROW(S2)&lt;=COUNTA(N:N)*2,IF(MOD(ROW(S2),2)=1,INDEX(N:N,(ROW(S2)+1)/2),INDEX(P:P,ROW(S2)/2)),"")</f>
        <v>0</v>
      </c>
      <c r="T2" s="21">
        <f t="array" ref="T2">IF(ROW(T2)&lt;=COUNTA(O:O)*2,IF(MOD(ROW(T2),2)=1,INDEX(O:O,(ROW(T2)+1)/2),INDEX(Q:Q,ROW(T2)/2)),"")</f>
        <v>0</v>
      </c>
      <c r="V2" s="22" t="s">
        <v>20</v>
      </c>
      <c r="W2" s="22" t="s">
        <v>21</v>
      </c>
      <c r="X2" s="22" t="s">
        <v>22</v>
      </c>
      <c r="Y2" s="22" t="s">
        <v>23</v>
      </c>
      <c r="Z2" s="22"/>
      <c r="AA2" s="22">
        <f t="array" ref="AA2">IF(ROW(AA2)&lt;=COUNTA(V:V)*2,IF(MOD(ROW(AA2),2)=1,INDEX(V:V,(ROW(AA2)+1)/2),INDEX(X:X,ROW(AA2)/2)),"")</f>
        <v>0</v>
      </c>
      <c r="AB2" s="22">
        <f t="array" ref="AB2">IF(ROW(AB2)&lt;=COUNTA(W:W)*2,IF(MOD(ROW(AB2),2)=1,INDEX(W:W,(ROW(AB2)+1)/2),INDEX(Y:Y,ROW(AB2)/2)),"")</f>
        <v>0</v>
      </c>
    </row>
    <row r="3" spans="1:28" s="2" customFormat="1" x14ac:dyDescent="0.25">
      <c r="A3" s="32"/>
      <c r="B3" s="20"/>
      <c r="C3" s="21"/>
      <c r="D3" s="22"/>
      <c r="E3" s="33"/>
      <c r="F3" s="34">
        <f>0</f>
        <v>0</v>
      </c>
      <c r="G3" s="34">
        <f>(41+(B3/100)*4)*2.5</f>
        <v>110.5</v>
      </c>
      <c r="H3" s="34">
        <f>0-A3</f>
        <v>-0.9</v>
      </c>
      <c r="I3" s="34">
        <f>(41+(B3/100)*4)*2.5</f>
        <v>110.5</v>
      </c>
      <c r="J3" s="34"/>
      <c r="K3" s="34" t="str">
        <f t="array" ref="K3">IF(ROW(K3)&lt;=COUNTA(F:F)*2,IF(MOD(ROW(K3),2)=1,INDEX(F:F,(ROW(K3)+1)/2),INDEX(H:H,ROW(K3)/2)),"")</f>
        <v>x1</v>
      </c>
      <c r="L3" s="34" t="str">
        <f t="array" ref="L3">IF(ROW(L3)&lt;=COUNTA(G:G)*2,IF(MOD(ROW(L3),2)=1,INDEX(G:G,(ROW(L3)+1)/2),INDEX(I:I,ROW(L3)/2)),"")</f>
        <v>y1</v>
      </c>
      <c r="N3" s="21" t="s">
        <v>24</v>
      </c>
      <c r="O3" s="21">
        <f>(45+(C3/100)*4)*2.5</f>
        <v>113.8</v>
      </c>
      <c r="P3" s="21">
        <f t="shared" ref="P3:P66" si="0">0-A3</f>
        <v>-0.9</v>
      </c>
      <c r="Q3" s="21">
        <f>(45+(C3/100)*4)*2.5</f>
        <v>113.8</v>
      </c>
      <c r="R3" s="21"/>
      <c r="S3" s="21" t="str">
        <f t="array" ref="S3">IF(ROW(S3)&lt;=COUNTA(N:N)*2,IF(MOD(ROW(S3),2)=1,INDEX(N:N,(ROW(S3)+1)/2),INDEX(P:P,ROW(S3)/2)),"")</f>
        <v>x1</v>
      </c>
      <c r="T3" s="21" t="str">
        <f t="array" ref="T3">IF(ROW(T3)&lt;=COUNTA(O:O)*2,IF(MOD(ROW(T3),2)=1,INDEX(O:O,(ROW(T3)+1)/2),INDEX(Q:Q,ROW(T3)/2)),"")</f>
        <v>y1</v>
      </c>
      <c r="V3" s="22">
        <f>0</f>
        <v>0</v>
      </c>
      <c r="W3" s="22">
        <f t="shared" ref="W3:W66" si="1">(49+(D3)*4/4)*2.5</f>
        <v>125.051475</v>
      </c>
      <c r="X3" s="22">
        <f t="shared" ref="X3:X66" si="2">0-A3</f>
        <v>-0.9</v>
      </c>
      <c r="Y3" s="22">
        <f t="shared" ref="Y3:Y66" si="3">(49+(D3)*4/4)*2.5</f>
        <v>125.051475</v>
      </c>
      <c r="Z3" s="22"/>
      <c r="AA3" s="22" t="str">
        <f t="array" ref="AA3">IF(ROW(AA3)&lt;=COUNTA(V:V)*2,IF(MOD(ROW(AA3),2)=1,INDEX(V:V,(ROW(AA3)+1)/2),INDEX(X:X,ROW(AA3)/2)),"")</f>
        <v>x1</v>
      </c>
      <c r="AB3" s="22" t="str">
        <f t="array" ref="AB3">IF(ROW(AB3)&lt;=COUNTA(W:W)*2,IF(MOD(ROW(AB3),2)=1,INDEX(W:W,(ROW(AB3)+1)/2),INDEX(Y:Y,ROW(AB3)/2)),"")</f>
        <v>y1</v>
      </c>
    </row>
    <row r="4" spans="1:28" s="2" customFormat="1" x14ac:dyDescent="0.25">
      <c r="A4" s="32"/>
      <c r="B4" s="20"/>
      <c r="C4" s="21"/>
      <c r="D4" s="22"/>
      <c r="E4" s="33"/>
      <c r="F4" s="34">
        <f>0-A3</f>
        <v>-0.9</v>
      </c>
      <c r="G4" s="34">
        <f t="shared" ref="G4:G67" si="4">(41+(B4/100)*4)*2.5</f>
        <v>110.5</v>
      </c>
      <c r="H4" s="34">
        <f t="shared" ref="H3:H66" si="5">0-A4</f>
        <v>-1.65</v>
      </c>
      <c r="I4" s="34">
        <f t="shared" ref="I4:I67" si="6">(41+(B4/100)*4)*2.5</f>
        <v>110.5</v>
      </c>
      <c r="J4" s="34"/>
      <c r="K4" s="34" t="str">
        <f t="array" ref="K4">IF(ROW(K4)&lt;=COUNTA(F:F)*2,IF(MOD(ROW(K4),2)=1,INDEX(F:F,(ROW(K4)+1)/2),INDEX(H:H,ROW(K4)/2)),"")</f>
        <v>x2</v>
      </c>
      <c r="L4" s="34" t="str">
        <f t="array" ref="L4">IF(ROW(L4)&lt;=COUNTA(G:G)*2,IF(MOD(ROW(L4),2)=1,INDEX(G:G,(ROW(L4)+1)/2),INDEX(I:I,ROW(L4)/2)),"")</f>
        <v>y2</v>
      </c>
      <c r="N4" s="21">
        <f t="shared" ref="N4:N67" si="7">0-A3</f>
        <v>-0.9</v>
      </c>
      <c r="O4" s="21">
        <f t="shared" ref="O4:O67" si="8">(45+(C4/100)*4)*2.5</f>
        <v>117.4</v>
      </c>
      <c r="P4" s="21">
        <f t="shared" si="0"/>
        <v>-1.65</v>
      </c>
      <c r="Q4" s="21">
        <f t="shared" ref="Q4:Q67" si="9">(45+(C4/100)*4)*2.5</f>
        <v>117.4</v>
      </c>
      <c r="R4" s="21"/>
      <c r="S4" s="21" t="s">
        <v>25</v>
      </c>
      <c r="T4" s="21" t="str">
        <f t="array" ref="T4">IF(ROW(T4)&lt;=COUNTA(O:O)*2,IF(MOD(ROW(T4),2)=1,INDEX(O:O,(ROW(T4)+1)/2),INDEX(Q:Q,ROW(T4)/2)),"")</f>
        <v>y2</v>
      </c>
      <c r="V4" s="22">
        <f t="shared" ref="V4:V67" si="10">0-A3</f>
        <v>-0.9</v>
      </c>
      <c r="W4" s="22">
        <f t="shared" si="1"/>
        <v>125.050725</v>
      </c>
      <c r="X4" s="22">
        <f t="shared" si="2"/>
        <v>-1.65</v>
      </c>
      <c r="Y4" s="22">
        <f t="shared" si="3"/>
        <v>125.050725</v>
      </c>
      <c r="Z4" s="22"/>
      <c r="AA4" s="22" t="str">
        <f t="array" ref="AA4">IF(ROW(AA4)&lt;=COUNTA(V:V)*2,IF(MOD(ROW(AA4),2)=1,INDEX(V:V,(ROW(AA4)+1)/2),INDEX(X:X,ROW(AA4)/2)),"")</f>
        <v>x2</v>
      </c>
      <c r="AB4" s="22" t="str">
        <f t="array" ref="AB4">IF(ROW(AB4)&lt;=COUNTA(W:W)*2,IF(MOD(ROW(AB4),2)=1,INDEX(W:W,(ROW(AB4)+1)/2),INDEX(Y:Y,ROW(AB4)/2)),"")</f>
        <v>y2</v>
      </c>
    </row>
    <row r="5" spans="1:28" s="2" customFormat="1" x14ac:dyDescent="0.25">
      <c r="A5" s="32"/>
      <c r="B5" s="20"/>
      <c r="C5" s="21"/>
      <c r="D5" s="22"/>
      <c r="E5" s="33"/>
      <c r="F5" s="34">
        <f t="shared" ref="F4:F67" si="11">0-A4</f>
        <v>-1.65</v>
      </c>
      <c r="G5" s="34">
        <f t="shared" si="4"/>
        <v>111.9</v>
      </c>
      <c r="H5" s="34">
        <f t="shared" si="5"/>
        <v>-3.15</v>
      </c>
      <c r="I5" s="34">
        <f t="shared" si="6"/>
        <v>111.9</v>
      </c>
      <c r="J5" s="34"/>
      <c r="K5" s="34">
        <f t="array" ref="K5">IF(ROW(K5)&lt;=COUNTA(F:F)*2,IF(MOD(ROW(K5),2)=1,INDEX(F:F,(ROW(K5)+1)/2),INDEX(H:H,ROW(K5)/2)),"")</f>
        <v>0</v>
      </c>
      <c r="L5" s="34">
        <f t="array" ref="L5">IF(ROW(L5)&lt;=COUNTA(G:G)*2,IF(MOD(ROW(L5),2)=1,INDEX(G:G,(ROW(L5)+1)/2),INDEX(I:I,ROW(L5)/2)),"")</f>
        <v>110.5</v>
      </c>
      <c r="N5" s="21">
        <f t="shared" si="7"/>
        <v>-1.65</v>
      </c>
      <c r="O5" s="21">
        <f t="shared" si="8"/>
        <v>118.2</v>
      </c>
      <c r="P5" s="21">
        <f t="shared" si="0"/>
        <v>-3.15</v>
      </c>
      <c r="Q5" s="21">
        <f t="shared" si="9"/>
        <v>118.2</v>
      </c>
      <c r="R5" s="21"/>
      <c r="S5" s="21" t="str">
        <f t="array" ref="S5">IF(ROW(S5)&lt;=COUNTA(N:N)*2,IF(MOD(ROW(S5),2)=1,INDEX(N:N,(ROW(S5)+1)/2),INDEX(P:P,ROW(S5)/2)),"")</f>
        <v>0</v>
      </c>
      <c r="T5" s="21">
        <f t="array" ref="T5">IF(ROW(T5)&lt;=COUNTA(O:O)*2,IF(MOD(ROW(T5),2)=1,INDEX(O:O,(ROW(T5)+1)/2),INDEX(Q:Q,ROW(T5)/2)),"")</f>
        <v>113.8</v>
      </c>
      <c r="V5" s="22">
        <f t="shared" si="10"/>
        <v>-1.65</v>
      </c>
      <c r="W5" s="22">
        <f t="shared" si="1"/>
        <v>125.051475</v>
      </c>
      <c r="X5" s="22">
        <f t="shared" si="2"/>
        <v>-3.15</v>
      </c>
      <c r="Y5" s="22">
        <f t="shared" si="3"/>
        <v>125.051475</v>
      </c>
      <c r="Z5" s="22"/>
      <c r="AA5" s="22">
        <f t="array" ref="AA5">IF(ROW(AA5)&lt;=COUNTA(V:V)*2,IF(MOD(ROW(AA5),2)=1,INDEX(V:V,(ROW(AA5)+1)/2),INDEX(X:X,ROW(AA5)/2)),"")</f>
        <v>0</v>
      </c>
      <c r="AB5" s="22">
        <f t="array" ref="AB5">IF(ROW(AB5)&lt;=COUNTA(W:W)*2,IF(MOD(ROW(AB5),2)=1,INDEX(W:W,(ROW(AB5)+1)/2),INDEX(Y:Y,ROW(AB5)/2)),"")</f>
        <v>125.051475</v>
      </c>
    </row>
    <row r="6" spans="1:28" s="2" customFormat="1" x14ac:dyDescent="0.25">
      <c r="A6" s="32"/>
      <c r="B6" s="20"/>
      <c r="C6" s="21"/>
      <c r="D6" s="22"/>
      <c r="E6" s="33"/>
      <c r="F6" s="34">
        <f t="shared" si="11"/>
        <v>-3.15</v>
      </c>
      <c r="G6" s="34">
        <f t="shared" si="4"/>
        <v>111.9</v>
      </c>
      <c r="H6" s="34">
        <f t="shared" si="5"/>
        <v>-4.55</v>
      </c>
      <c r="I6" s="34">
        <f t="shared" si="6"/>
        <v>111.9</v>
      </c>
      <c r="J6" s="34"/>
      <c r="K6" s="34">
        <f t="array" ref="K6">IF(ROW(K6)&lt;=COUNTA(F:F)*2,IF(MOD(ROW(K6),2)=1,INDEX(F:F,(ROW(K6)+1)/2),INDEX(H:H,ROW(K6)/2)),"")</f>
        <v>-0.9</v>
      </c>
      <c r="L6" s="34">
        <f t="array" ref="L6">IF(ROW(L6)&lt;=COUNTA(G:G)*2,IF(MOD(ROW(L6),2)=1,INDEX(G:G,(ROW(L6)+1)/2),INDEX(I:I,ROW(L6)/2)),"")</f>
        <v>110.5</v>
      </c>
      <c r="N6" s="21">
        <f t="shared" si="7"/>
        <v>-3.15</v>
      </c>
      <c r="O6" s="21">
        <f t="shared" si="8"/>
        <v>112.5</v>
      </c>
      <c r="P6" s="21">
        <f t="shared" si="0"/>
        <v>-4.55</v>
      </c>
      <c r="Q6" s="21">
        <f t="shared" si="9"/>
        <v>112.5</v>
      </c>
      <c r="R6" s="21"/>
      <c r="S6" s="21">
        <f t="array" ref="S6">IF(ROW(S6)&lt;=COUNTA(N:N)*2,IF(MOD(ROW(S6),2)=1,INDEX(N:N,(ROW(S6)+1)/2),INDEX(P:P,ROW(S6)/2)),"")</f>
        <v>-0.9</v>
      </c>
      <c r="T6" s="21">
        <f t="array" ref="T6">IF(ROW(T6)&lt;=COUNTA(O:O)*2,IF(MOD(ROW(T6),2)=1,INDEX(O:O,(ROW(T6)+1)/2),INDEX(Q:Q,ROW(T6)/2)),"")</f>
        <v>113.8</v>
      </c>
      <c r="V6" s="22">
        <f t="shared" si="10"/>
        <v>-3.15</v>
      </c>
      <c r="W6" s="22">
        <f t="shared" si="1"/>
        <v>125.080625</v>
      </c>
      <c r="X6" s="22">
        <f t="shared" si="2"/>
        <v>-4.55</v>
      </c>
      <c r="Y6" s="22">
        <f t="shared" si="3"/>
        <v>125.080625</v>
      </c>
      <c r="Z6" s="22"/>
      <c r="AA6" s="22">
        <f t="array" ref="AA6">IF(ROW(AA6)&lt;=COUNTA(V:V)*2,IF(MOD(ROW(AA6),2)=1,INDEX(V:V,(ROW(AA6)+1)/2),INDEX(X:X,ROW(AA6)/2)),"")</f>
        <v>-0.9</v>
      </c>
      <c r="AB6" s="22">
        <f t="array" ref="AB6">IF(ROW(AB6)&lt;=COUNTA(W:W)*2,IF(MOD(ROW(AB6),2)=1,INDEX(W:W,(ROW(AB6)+1)/2),INDEX(Y:Y,ROW(AB6)/2)),"")</f>
        <v>125.051475</v>
      </c>
    </row>
    <row r="7" spans="1:28" s="2" customFormat="1" x14ac:dyDescent="0.25">
      <c r="A7" s="32"/>
      <c r="B7" s="20"/>
      <c r="C7" s="21"/>
      <c r="D7" s="22"/>
      <c r="E7" s="33"/>
      <c r="F7" s="34">
        <f t="shared" si="11"/>
        <v>-4.55</v>
      </c>
      <c r="G7" s="34">
        <f t="shared" si="4"/>
        <v>111.6</v>
      </c>
      <c r="H7" s="34">
        <f t="shared" si="5"/>
        <v>-5.95</v>
      </c>
      <c r="I7" s="34">
        <f t="shared" si="6"/>
        <v>111.6</v>
      </c>
      <c r="J7" s="34"/>
      <c r="K7" s="34">
        <f t="array" ref="K7">IF(ROW(K7)&lt;=COUNTA(F:F)*2,IF(MOD(ROW(K7),2)=1,INDEX(F:F,(ROW(K7)+1)/2),INDEX(H:H,ROW(K7)/2)),"")</f>
        <v>-0.9</v>
      </c>
      <c r="L7" s="34">
        <f t="array" ref="L7">IF(ROW(L7)&lt;=COUNTA(G:G)*2,IF(MOD(ROW(L7),2)=1,INDEX(G:G,(ROW(L7)+1)/2),INDEX(I:I,ROW(L7)/2)),"")</f>
        <v>110.5</v>
      </c>
      <c r="N7" s="21">
        <f t="shared" si="7"/>
        <v>-4.55</v>
      </c>
      <c r="O7" s="21">
        <f t="shared" si="8"/>
        <v>117.5</v>
      </c>
      <c r="P7" s="21">
        <f t="shared" si="0"/>
        <v>-5.95</v>
      </c>
      <c r="Q7" s="21">
        <f t="shared" si="9"/>
        <v>117.5</v>
      </c>
      <c r="R7" s="21"/>
      <c r="S7" s="21">
        <f t="array" ref="S7">IF(ROW(S7)&lt;=COUNTA(N:N)*2,IF(MOD(ROW(S7),2)=1,INDEX(N:N,(ROW(S7)+1)/2),INDEX(P:P,ROW(S7)/2)),"")</f>
        <v>-0.9</v>
      </c>
      <c r="T7" s="21">
        <f t="array" ref="T7">IF(ROW(T7)&lt;=COUNTA(O:O)*2,IF(MOD(ROW(T7),2)=1,INDEX(O:O,(ROW(T7)+1)/2),INDEX(Q:Q,ROW(T7)/2)),"")</f>
        <v>117.4</v>
      </c>
      <c r="V7" s="22">
        <f t="shared" si="10"/>
        <v>-4.55</v>
      </c>
      <c r="W7" s="22">
        <f t="shared" si="1"/>
        <v>125.050525</v>
      </c>
      <c r="X7" s="22">
        <f t="shared" si="2"/>
        <v>-5.95</v>
      </c>
      <c r="Y7" s="22">
        <f t="shared" si="3"/>
        <v>125.050525</v>
      </c>
      <c r="Z7" s="22"/>
      <c r="AA7" s="22">
        <f t="array" ref="AA7">IF(ROW(AA7)&lt;=COUNTA(V:V)*2,IF(MOD(ROW(AA7),2)=1,INDEX(V:V,(ROW(AA7)+1)/2),INDEX(X:X,ROW(AA7)/2)),"")</f>
        <v>-0.9</v>
      </c>
      <c r="AB7" s="22">
        <f t="array" ref="AB7">IF(ROW(AB7)&lt;=COUNTA(W:W)*2,IF(MOD(ROW(AB7),2)=1,INDEX(W:W,(ROW(AB7)+1)/2),INDEX(Y:Y,ROW(AB7)/2)),"")</f>
        <v>125.050725</v>
      </c>
    </row>
    <row r="8" spans="1:28" s="2" customFormat="1" x14ac:dyDescent="0.25">
      <c r="A8" s="32"/>
      <c r="B8" s="20"/>
      <c r="C8" s="21"/>
      <c r="D8" s="22"/>
      <c r="E8" s="33"/>
      <c r="F8" s="34">
        <f t="shared" si="11"/>
        <v>-5.95</v>
      </c>
      <c r="G8" s="34">
        <f t="shared" si="4"/>
        <v>112</v>
      </c>
      <c r="H8" s="34">
        <f t="shared" si="5"/>
        <v>-7.55</v>
      </c>
      <c r="I8" s="34">
        <f t="shared" si="6"/>
        <v>112</v>
      </c>
      <c r="J8" s="34"/>
      <c r="K8" s="34">
        <f t="array" ref="K8">IF(ROW(K8)&lt;=COUNTA(F:F)*2,IF(MOD(ROW(K8),2)=1,INDEX(F:F,(ROW(K8)+1)/2),INDEX(H:H,ROW(K8)/2)),"")</f>
        <v>-1.65</v>
      </c>
      <c r="L8" s="34">
        <f t="array" ref="L8">IF(ROW(L8)&lt;=COUNTA(G:G)*2,IF(MOD(ROW(L8),2)=1,INDEX(G:G,(ROW(L8)+1)/2),INDEX(I:I,ROW(L8)/2)),"")</f>
        <v>110.5</v>
      </c>
      <c r="N8" s="21">
        <f t="shared" si="7"/>
        <v>-5.95</v>
      </c>
      <c r="O8" s="21">
        <f t="shared" si="8"/>
        <v>114.2</v>
      </c>
      <c r="P8" s="21">
        <f t="shared" si="0"/>
        <v>-7.55</v>
      </c>
      <c r="Q8" s="21">
        <f t="shared" si="9"/>
        <v>114.2</v>
      </c>
      <c r="R8" s="21"/>
      <c r="S8" s="21">
        <f t="array" ref="S8">IF(ROW(S8)&lt;=COUNTA(N:N)*2,IF(MOD(ROW(S8),2)=1,INDEX(N:N,(ROW(S8)+1)/2),INDEX(P:P,ROW(S8)/2)),"")</f>
        <v>-1.65</v>
      </c>
      <c r="T8" s="21">
        <f t="array" ref="T8">IF(ROW(T8)&lt;=COUNTA(O:O)*2,IF(MOD(ROW(T8),2)=1,INDEX(O:O,(ROW(T8)+1)/2),INDEX(Q:Q,ROW(T8)/2)),"")</f>
        <v>117.4</v>
      </c>
      <c r="V8" s="22">
        <f t="shared" si="10"/>
        <v>-5.95</v>
      </c>
      <c r="W8" s="22">
        <f t="shared" si="1"/>
        <v>125.051325</v>
      </c>
      <c r="X8" s="22">
        <f t="shared" si="2"/>
        <v>-7.55</v>
      </c>
      <c r="Y8" s="22">
        <f t="shared" si="3"/>
        <v>125.051325</v>
      </c>
      <c r="Z8" s="22"/>
      <c r="AA8" s="22">
        <f t="array" ref="AA8">IF(ROW(AA8)&lt;=COUNTA(V:V)*2,IF(MOD(ROW(AA8),2)=1,INDEX(V:V,(ROW(AA8)+1)/2),INDEX(X:X,ROW(AA8)/2)),"")</f>
        <v>-1.65</v>
      </c>
      <c r="AB8" s="22">
        <f t="array" ref="AB8">IF(ROW(AB8)&lt;=COUNTA(W:W)*2,IF(MOD(ROW(AB8),2)=1,INDEX(W:W,(ROW(AB8)+1)/2),INDEX(Y:Y,ROW(AB8)/2)),"")</f>
        <v>125.050725</v>
      </c>
    </row>
    <row r="9" spans="1:28" s="2" customFormat="1" x14ac:dyDescent="0.25">
      <c r="A9" s="32"/>
      <c r="B9" s="20"/>
      <c r="C9" s="21"/>
      <c r="D9" s="22"/>
      <c r="E9" s="33"/>
      <c r="F9" s="34">
        <f t="shared" si="11"/>
        <v>-7.55</v>
      </c>
      <c r="G9" s="34">
        <f t="shared" si="4"/>
        <v>112.4</v>
      </c>
      <c r="H9" s="34">
        <f t="shared" si="5"/>
        <v>-9.05</v>
      </c>
      <c r="I9" s="34">
        <f t="shared" si="6"/>
        <v>112.4</v>
      </c>
      <c r="J9" s="34"/>
      <c r="K9" s="34">
        <f t="array" ref="K9">IF(ROW(K9)&lt;=COUNTA(F:F)*2,IF(MOD(ROW(K9),2)=1,INDEX(F:F,(ROW(K9)+1)/2),INDEX(H:H,ROW(K9)/2)),"")</f>
        <v>-1.65</v>
      </c>
      <c r="L9" s="34">
        <f t="array" ref="L9">IF(ROW(L9)&lt;=COUNTA(G:G)*2,IF(MOD(ROW(L9),2)=1,INDEX(G:G,(ROW(L9)+1)/2),INDEX(I:I,ROW(L9)/2)),"")</f>
        <v>111.9</v>
      </c>
      <c r="N9" s="21">
        <f t="shared" si="7"/>
        <v>-7.55</v>
      </c>
      <c r="O9" s="21">
        <f t="shared" si="8"/>
        <v>113.4</v>
      </c>
      <c r="P9" s="21">
        <f t="shared" si="0"/>
        <v>-9.05</v>
      </c>
      <c r="Q9" s="21">
        <f t="shared" si="9"/>
        <v>113.4</v>
      </c>
      <c r="R9" s="21"/>
      <c r="S9" s="21">
        <f t="array" ref="S9">IF(ROW(S9)&lt;=COUNTA(N:N)*2,IF(MOD(ROW(S9),2)=1,INDEX(N:N,(ROW(S9)+1)/2),INDEX(P:P,ROW(S9)/2)),"")</f>
        <v>-1.65</v>
      </c>
      <c r="T9" s="21">
        <f t="array" ref="T9">IF(ROW(T9)&lt;=COUNTA(O:O)*2,IF(MOD(ROW(T9),2)=1,INDEX(O:O,(ROW(T9)+1)/2),INDEX(Q:Q,ROW(T9)/2)),"")</f>
        <v>118.2</v>
      </c>
      <c r="V9" s="22">
        <f t="shared" si="10"/>
        <v>-7.55</v>
      </c>
      <c r="W9" s="22">
        <f t="shared" si="1"/>
        <v>125.0506</v>
      </c>
      <c r="X9" s="22">
        <f t="shared" si="2"/>
        <v>-9.05</v>
      </c>
      <c r="Y9" s="22">
        <f t="shared" si="3"/>
        <v>125.0506</v>
      </c>
      <c r="Z9" s="22"/>
      <c r="AA9" s="22">
        <f t="array" ref="AA9">IF(ROW(AA9)&lt;=COUNTA(V:V)*2,IF(MOD(ROW(AA9),2)=1,INDEX(V:V,(ROW(AA9)+1)/2),INDEX(X:X,ROW(AA9)/2)),"")</f>
        <v>-1.65</v>
      </c>
      <c r="AB9" s="22">
        <f t="array" ref="AB9">IF(ROW(AB9)&lt;=COUNTA(W:W)*2,IF(MOD(ROW(AB9),2)=1,INDEX(W:W,(ROW(AB9)+1)/2),INDEX(Y:Y,ROW(AB9)/2)),"")</f>
        <v>125.051475</v>
      </c>
    </row>
    <row r="10" spans="1:28" s="2" customFormat="1" x14ac:dyDescent="0.25">
      <c r="A10" s="32"/>
      <c r="B10" s="20"/>
      <c r="C10" s="21"/>
      <c r="D10" s="22"/>
      <c r="E10" s="33"/>
      <c r="F10" s="34">
        <f t="shared" si="11"/>
        <v>-9.05</v>
      </c>
      <c r="G10" s="34">
        <f t="shared" si="4"/>
        <v>112.5</v>
      </c>
      <c r="H10" s="34">
        <f t="shared" si="5"/>
        <v>-10.55</v>
      </c>
      <c r="I10" s="34">
        <f t="shared" si="6"/>
        <v>112.5</v>
      </c>
      <c r="J10" s="34"/>
      <c r="K10" s="34">
        <f t="array" ref="K10">IF(ROW(K10)&lt;=COUNTA(F:F)*2,IF(MOD(ROW(K10),2)=1,INDEX(F:F,(ROW(K10)+1)/2),INDEX(H:H,ROW(K10)/2)),"")</f>
        <v>-3.15</v>
      </c>
      <c r="L10" s="34">
        <f t="array" ref="L10">IF(ROW(L10)&lt;=COUNTA(G:G)*2,IF(MOD(ROW(L10),2)=1,INDEX(G:G,(ROW(L10)+1)/2),INDEX(I:I,ROW(L10)/2)),"")</f>
        <v>111.9</v>
      </c>
      <c r="N10" s="21">
        <f t="shared" si="7"/>
        <v>-9.05</v>
      </c>
      <c r="O10" s="21">
        <f t="shared" si="8"/>
        <v>116.9</v>
      </c>
      <c r="P10" s="21">
        <f t="shared" si="0"/>
        <v>-10.55</v>
      </c>
      <c r="Q10" s="21">
        <f t="shared" si="9"/>
        <v>116.9</v>
      </c>
      <c r="R10" s="21"/>
      <c r="S10" s="21">
        <f t="array" ref="S10">IF(ROW(S10)&lt;=COUNTA(N:N)*2,IF(MOD(ROW(S10),2)=1,INDEX(N:N,(ROW(S10)+1)/2),INDEX(P:P,ROW(S10)/2)),"")</f>
        <v>-3.15</v>
      </c>
      <c r="T10" s="21">
        <f t="array" ref="T10">IF(ROW(T10)&lt;=COUNTA(O:O)*2,IF(MOD(ROW(T10),2)=1,INDEX(O:O,(ROW(T10)+1)/2),INDEX(Q:Q,ROW(T10)/2)),"")</f>
        <v>118.2</v>
      </c>
      <c r="V10" s="22">
        <f t="shared" si="10"/>
        <v>-9.05</v>
      </c>
      <c r="W10" s="22">
        <f t="shared" si="1"/>
        <v>125.0506</v>
      </c>
      <c r="X10" s="22">
        <f t="shared" si="2"/>
        <v>-10.55</v>
      </c>
      <c r="Y10" s="22">
        <f t="shared" si="3"/>
        <v>125.0506</v>
      </c>
      <c r="Z10" s="22"/>
      <c r="AA10" s="22">
        <f t="array" ref="AA10">IF(ROW(AA10)&lt;=COUNTA(V:V)*2,IF(MOD(ROW(AA10),2)=1,INDEX(V:V,(ROW(AA10)+1)/2),INDEX(X:X,ROW(AA10)/2)),"")</f>
        <v>-3.15</v>
      </c>
      <c r="AB10" s="22">
        <f t="array" ref="AB10">IF(ROW(AB10)&lt;=COUNTA(W:W)*2,IF(MOD(ROW(AB10),2)=1,INDEX(W:W,(ROW(AB10)+1)/2),INDEX(Y:Y,ROW(AB10)/2)),"")</f>
        <v>125.051475</v>
      </c>
    </row>
    <row r="11" spans="1:28" s="2" customFormat="1" x14ac:dyDescent="0.25">
      <c r="A11" s="32"/>
      <c r="B11" s="20"/>
      <c r="C11" s="21"/>
      <c r="D11" s="22"/>
      <c r="E11" s="33"/>
      <c r="F11" s="34">
        <f t="shared" si="11"/>
        <v>-10.55</v>
      </c>
      <c r="G11" s="34">
        <f t="shared" si="4"/>
        <v>112.5</v>
      </c>
      <c r="H11" s="34">
        <f t="shared" si="5"/>
        <v>-12.05</v>
      </c>
      <c r="I11" s="34">
        <f t="shared" si="6"/>
        <v>112.5</v>
      </c>
      <c r="J11" s="34"/>
      <c r="K11" s="34">
        <f t="array" ref="K11">IF(ROW(K11)&lt;=COUNTA(F:F)*2,IF(MOD(ROW(K11),2)=1,INDEX(F:F,(ROW(K11)+1)/2),INDEX(H:H,ROW(K11)/2)),"")</f>
        <v>-3.15</v>
      </c>
      <c r="L11" s="34">
        <f t="array" ref="L11">IF(ROW(L11)&lt;=COUNTA(G:G)*2,IF(MOD(ROW(L11),2)=1,INDEX(G:G,(ROW(L11)+1)/2),INDEX(I:I,ROW(L11)/2)),"")</f>
        <v>111.9</v>
      </c>
      <c r="N11" s="21">
        <f t="shared" si="7"/>
        <v>-10.55</v>
      </c>
      <c r="O11" s="21">
        <f t="shared" si="8"/>
        <v>112.5</v>
      </c>
      <c r="P11" s="21">
        <f t="shared" si="0"/>
        <v>-12.05</v>
      </c>
      <c r="Q11" s="21">
        <f t="shared" si="9"/>
        <v>112.5</v>
      </c>
      <c r="R11" s="21"/>
      <c r="S11" s="21">
        <f t="array" ref="S11">IF(ROW(S11)&lt;=COUNTA(N:N)*2,IF(MOD(ROW(S11),2)=1,INDEX(N:N,(ROW(S11)+1)/2),INDEX(P:P,ROW(S11)/2)),"")</f>
        <v>-3.15</v>
      </c>
      <c r="T11" s="21">
        <f t="array" ref="T11">IF(ROW(T11)&lt;=COUNTA(O:O)*2,IF(MOD(ROW(T11),2)=1,INDEX(O:O,(ROW(T11)+1)/2),INDEX(Q:Q,ROW(T11)/2)),"")</f>
        <v>112.5</v>
      </c>
      <c r="V11" s="22">
        <f t="shared" si="10"/>
        <v>-10.55</v>
      </c>
      <c r="W11" s="22">
        <f t="shared" si="1"/>
        <v>125.05465</v>
      </c>
      <c r="X11" s="22">
        <f t="shared" si="2"/>
        <v>-12.05</v>
      </c>
      <c r="Y11" s="22">
        <f t="shared" si="3"/>
        <v>125.05465</v>
      </c>
      <c r="Z11" s="22"/>
      <c r="AA11" s="22">
        <f t="array" ref="AA11">IF(ROW(AA11)&lt;=COUNTA(V:V)*2,IF(MOD(ROW(AA11),2)=1,INDEX(V:V,(ROW(AA11)+1)/2),INDEX(X:X,ROW(AA11)/2)),"")</f>
        <v>-3.15</v>
      </c>
      <c r="AB11" s="22">
        <f t="array" ref="AB11">IF(ROW(AB11)&lt;=COUNTA(W:W)*2,IF(MOD(ROW(AB11),2)=1,INDEX(W:W,(ROW(AB11)+1)/2),INDEX(Y:Y,ROW(AB11)/2)),"")</f>
        <v>125.080625</v>
      </c>
    </row>
    <row r="12" spans="1:28" s="2" customFormat="1" x14ac:dyDescent="0.25">
      <c r="A12" s="32"/>
      <c r="B12" s="20"/>
      <c r="C12" s="21"/>
      <c r="D12" s="22"/>
      <c r="E12" s="33"/>
      <c r="F12" s="34">
        <f t="shared" si="11"/>
        <v>-12.05</v>
      </c>
      <c r="G12" s="34">
        <f t="shared" si="4"/>
        <v>112.5</v>
      </c>
      <c r="H12" s="34">
        <f t="shared" si="5"/>
        <v>-13.55</v>
      </c>
      <c r="I12" s="34">
        <f t="shared" si="6"/>
        <v>112.5</v>
      </c>
      <c r="J12" s="34"/>
      <c r="K12" s="34">
        <f t="array" ref="K12">IF(ROW(K12)&lt;=COUNTA(F:F)*2,IF(MOD(ROW(K12),2)=1,INDEX(F:F,(ROW(K12)+1)/2),INDEX(H:H,ROW(K12)/2)),"")</f>
        <v>-4.55</v>
      </c>
      <c r="L12" s="34">
        <f t="array" ref="L12">IF(ROW(L12)&lt;=COUNTA(G:G)*2,IF(MOD(ROW(L12),2)=1,INDEX(G:G,(ROW(L12)+1)/2),INDEX(I:I,ROW(L12)/2)),"")</f>
        <v>111.9</v>
      </c>
      <c r="N12" s="21">
        <f t="shared" si="7"/>
        <v>-12.05</v>
      </c>
      <c r="O12" s="21">
        <f t="shared" si="8"/>
        <v>118</v>
      </c>
      <c r="P12" s="21">
        <f t="shared" si="0"/>
        <v>-13.55</v>
      </c>
      <c r="Q12" s="21">
        <f t="shared" si="9"/>
        <v>118</v>
      </c>
      <c r="R12" s="21"/>
      <c r="S12" s="21">
        <f t="array" ref="S12">IF(ROW(S12)&lt;=COUNTA(N:N)*2,IF(MOD(ROW(S12),2)=1,INDEX(N:N,(ROW(S12)+1)/2),INDEX(P:P,ROW(S12)/2)),"")</f>
        <v>-4.55</v>
      </c>
      <c r="T12" s="21">
        <f t="array" ref="T12">IF(ROW(T12)&lt;=COUNTA(O:O)*2,IF(MOD(ROW(T12),2)=1,INDEX(O:O,(ROW(T12)+1)/2),INDEX(Q:Q,ROW(T12)/2)),"")</f>
        <v>112.5</v>
      </c>
      <c r="V12" s="22">
        <f t="shared" si="10"/>
        <v>-12.05</v>
      </c>
      <c r="W12" s="22">
        <f t="shared" si="1"/>
        <v>125.0506</v>
      </c>
      <c r="X12" s="22">
        <f t="shared" si="2"/>
        <v>-13.55</v>
      </c>
      <c r="Y12" s="22">
        <f t="shared" si="3"/>
        <v>125.0506</v>
      </c>
      <c r="Z12" s="22"/>
      <c r="AA12" s="22">
        <f t="array" ref="AA12">IF(ROW(AA12)&lt;=COUNTA(V:V)*2,IF(MOD(ROW(AA12),2)=1,INDEX(V:V,(ROW(AA12)+1)/2),INDEX(X:X,ROW(AA12)/2)),"")</f>
        <v>-4.55</v>
      </c>
      <c r="AB12" s="22">
        <f t="array" ref="AB12">IF(ROW(AB12)&lt;=COUNTA(W:W)*2,IF(MOD(ROW(AB12),2)=1,INDEX(W:W,(ROW(AB12)+1)/2),INDEX(Y:Y,ROW(AB12)/2)),"")</f>
        <v>125.080625</v>
      </c>
    </row>
    <row r="13" spans="1:28" s="2" customFormat="1" x14ac:dyDescent="0.25">
      <c r="A13" s="32"/>
      <c r="B13" s="20"/>
      <c r="C13" s="21"/>
      <c r="D13" s="22"/>
      <c r="E13" s="33"/>
      <c r="F13" s="34">
        <f t="shared" si="11"/>
        <v>-13.55</v>
      </c>
      <c r="G13" s="34">
        <f t="shared" si="4"/>
        <v>111.8</v>
      </c>
      <c r="H13" s="34">
        <f t="shared" si="5"/>
        <v>-15.05</v>
      </c>
      <c r="I13" s="34">
        <f t="shared" si="6"/>
        <v>111.8</v>
      </c>
      <c r="J13" s="34"/>
      <c r="K13" s="34">
        <f t="array" ref="K13">IF(ROW(K13)&lt;=COUNTA(F:F)*2,IF(MOD(ROW(K13),2)=1,INDEX(F:F,(ROW(K13)+1)/2),INDEX(H:H,ROW(K13)/2)),"")</f>
        <v>-4.55</v>
      </c>
      <c r="L13" s="34">
        <f t="array" ref="L13">IF(ROW(L13)&lt;=COUNTA(G:G)*2,IF(MOD(ROW(L13),2)=1,INDEX(G:G,(ROW(L13)+1)/2),INDEX(I:I,ROW(L13)/2)),"")</f>
        <v>111.6</v>
      </c>
      <c r="N13" s="21">
        <f t="shared" si="7"/>
        <v>-13.55</v>
      </c>
      <c r="O13" s="21">
        <f t="shared" si="8"/>
        <v>119.4</v>
      </c>
      <c r="P13" s="21">
        <f t="shared" si="0"/>
        <v>-15.05</v>
      </c>
      <c r="Q13" s="21">
        <f t="shared" si="9"/>
        <v>119.4</v>
      </c>
      <c r="R13" s="21"/>
      <c r="S13" s="21">
        <f t="array" ref="S13">IF(ROW(S13)&lt;=COUNTA(N:N)*2,IF(MOD(ROW(S13),2)=1,INDEX(N:N,(ROW(S13)+1)/2),INDEX(P:P,ROW(S13)/2)),"")</f>
        <v>-4.55</v>
      </c>
      <c r="T13" s="21">
        <f t="array" ref="T13">IF(ROW(T13)&lt;=COUNTA(O:O)*2,IF(MOD(ROW(T13),2)=1,INDEX(O:O,(ROW(T13)+1)/2),INDEX(Q:Q,ROW(T13)/2)),"")</f>
        <v>117.5</v>
      </c>
      <c r="V13" s="22">
        <f t="shared" si="10"/>
        <v>-13.55</v>
      </c>
      <c r="W13" s="22">
        <f t="shared" si="1"/>
        <v>125.0506</v>
      </c>
      <c r="X13" s="22">
        <f t="shared" si="2"/>
        <v>-15.05</v>
      </c>
      <c r="Y13" s="22">
        <f t="shared" si="3"/>
        <v>125.0506</v>
      </c>
      <c r="Z13" s="22"/>
      <c r="AA13" s="22">
        <f t="array" ref="AA13">IF(ROW(AA13)&lt;=COUNTA(V:V)*2,IF(MOD(ROW(AA13),2)=1,INDEX(V:V,(ROW(AA13)+1)/2),INDEX(X:X,ROW(AA13)/2)),"")</f>
        <v>-4.55</v>
      </c>
      <c r="AB13" s="22">
        <f t="array" ref="AB13">IF(ROW(AB13)&lt;=COUNTA(W:W)*2,IF(MOD(ROW(AB13),2)=1,INDEX(W:W,(ROW(AB13)+1)/2),INDEX(Y:Y,ROW(AB13)/2)),"")</f>
        <v>125.050525</v>
      </c>
    </row>
    <row r="14" spans="1:28" s="2" customFormat="1" x14ac:dyDescent="0.25">
      <c r="A14" s="32"/>
      <c r="B14" s="20"/>
      <c r="C14" s="21"/>
      <c r="D14" s="22"/>
      <c r="E14" s="33"/>
      <c r="F14" s="34">
        <f t="shared" si="11"/>
        <v>-15.05</v>
      </c>
      <c r="G14" s="34">
        <f t="shared" si="4"/>
        <v>111.8</v>
      </c>
      <c r="H14" s="34">
        <f t="shared" si="5"/>
        <v>-16.55</v>
      </c>
      <c r="I14" s="34">
        <f t="shared" si="6"/>
        <v>111.8</v>
      </c>
      <c r="J14" s="34"/>
      <c r="K14" s="34">
        <f t="array" ref="K14">IF(ROW(K14)&lt;=COUNTA(F:F)*2,IF(MOD(ROW(K14),2)=1,INDEX(F:F,(ROW(K14)+1)/2),INDEX(H:H,ROW(K14)/2)),"")</f>
        <v>-5.95</v>
      </c>
      <c r="L14" s="34">
        <f t="array" ref="L14">IF(ROW(L14)&lt;=COUNTA(G:G)*2,IF(MOD(ROW(L14),2)=1,INDEX(G:G,(ROW(L14)+1)/2),INDEX(I:I,ROW(L14)/2)),"")</f>
        <v>111.6</v>
      </c>
      <c r="N14" s="21">
        <f t="shared" si="7"/>
        <v>-15.05</v>
      </c>
      <c r="O14" s="21">
        <f t="shared" si="8"/>
        <v>120.6</v>
      </c>
      <c r="P14" s="21">
        <f t="shared" si="0"/>
        <v>-16.55</v>
      </c>
      <c r="Q14" s="21">
        <f t="shared" si="9"/>
        <v>120.6</v>
      </c>
      <c r="R14" s="21"/>
      <c r="S14" s="21">
        <f t="array" ref="S14">IF(ROW(S14)&lt;=COUNTA(N:N)*2,IF(MOD(ROW(S14),2)=1,INDEX(N:N,(ROW(S14)+1)/2),INDEX(P:P,ROW(S14)/2)),"")</f>
        <v>-5.95</v>
      </c>
      <c r="T14" s="21">
        <f t="array" ref="T14">IF(ROW(T14)&lt;=COUNTA(O:O)*2,IF(MOD(ROW(T14),2)=1,INDEX(O:O,(ROW(T14)+1)/2),INDEX(Q:Q,ROW(T14)/2)),"")</f>
        <v>117.5</v>
      </c>
      <c r="V14" s="22">
        <f t="shared" si="10"/>
        <v>-15.05</v>
      </c>
      <c r="W14" s="22">
        <f t="shared" si="1"/>
        <v>125.0506</v>
      </c>
      <c r="X14" s="22">
        <f t="shared" si="2"/>
        <v>-16.55</v>
      </c>
      <c r="Y14" s="22">
        <f t="shared" si="3"/>
        <v>125.0506</v>
      </c>
      <c r="Z14" s="22"/>
      <c r="AA14" s="22">
        <f t="array" ref="AA14">IF(ROW(AA14)&lt;=COUNTA(V:V)*2,IF(MOD(ROW(AA14),2)=1,INDEX(V:V,(ROW(AA14)+1)/2),INDEX(X:X,ROW(AA14)/2)),"")</f>
        <v>-5.95</v>
      </c>
      <c r="AB14" s="22">
        <f t="array" ref="AB14">IF(ROW(AB14)&lt;=COUNTA(W:W)*2,IF(MOD(ROW(AB14),2)=1,INDEX(W:W,(ROW(AB14)+1)/2),INDEX(Y:Y,ROW(AB14)/2)),"")</f>
        <v>125.050525</v>
      </c>
    </row>
    <row r="15" spans="1:28" s="2" customFormat="1" x14ac:dyDescent="0.25">
      <c r="A15" s="32"/>
      <c r="B15" s="20"/>
      <c r="C15" s="21"/>
      <c r="D15" s="22"/>
      <c r="E15" s="33"/>
      <c r="F15" s="34">
        <f t="shared" si="11"/>
        <v>-16.55</v>
      </c>
      <c r="G15" s="34">
        <f t="shared" si="4"/>
        <v>111.8</v>
      </c>
      <c r="H15" s="34">
        <f t="shared" si="5"/>
        <v>-18.05</v>
      </c>
      <c r="I15" s="34">
        <f t="shared" si="6"/>
        <v>111.8</v>
      </c>
      <c r="J15" s="34"/>
      <c r="K15" s="34">
        <f t="array" ref="K15">IF(ROW(K15)&lt;=COUNTA(F:F)*2,IF(MOD(ROW(K15),2)=1,INDEX(F:F,(ROW(K15)+1)/2),INDEX(H:H,ROW(K15)/2)),"")</f>
        <v>-5.95</v>
      </c>
      <c r="L15" s="34">
        <f t="array" ref="L15">IF(ROW(L15)&lt;=COUNTA(G:G)*2,IF(MOD(ROW(L15),2)=1,INDEX(G:G,(ROW(L15)+1)/2),INDEX(I:I,ROW(L15)/2)),"")</f>
        <v>112</v>
      </c>
      <c r="N15" s="21">
        <f t="shared" si="7"/>
        <v>-16.55</v>
      </c>
      <c r="O15" s="21">
        <f t="shared" si="8"/>
        <v>121</v>
      </c>
      <c r="P15" s="21">
        <f t="shared" si="0"/>
        <v>-18.05</v>
      </c>
      <c r="Q15" s="21">
        <f t="shared" si="9"/>
        <v>121</v>
      </c>
      <c r="R15" s="21"/>
      <c r="S15" s="21">
        <f t="array" ref="S15">IF(ROW(S15)&lt;=COUNTA(N:N)*2,IF(MOD(ROW(S15),2)=1,INDEX(N:N,(ROW(S15)+1)/2),INDEX(P:P,ROW(S15)/2)),"")</f>
        <v>-5.95</v>
      </c>
      <c r="T15" s="21">
        <f t="array" ref="T15">IF(ROW(T15)&lt;=COUNTA(O:O)*2,IF(MOD(ROW(T15),2)=1,INDEX(O:O,(ROW(T15)+1)/2),INDEX(Q:Q,ROW(T15)/2)),"")</f>
        <v>114.2</v>
      </c>
      <c r="V15" s="22">
        <f t="shared" si="10"/>
        <v>-16.55</v>
      </c>
      <c r="W15" s="22">
        <f t="shared" si="1"/>
        <v>125.0506</v>
      </c>
      <c r="X15" s="22">
        <f t="shared" si="2"/>
        <v>-18.05</v>
      </c>
      <c r="Y15" s="22">
        <f t="shared" si="3"/>
        <v>125.0506</v>
      </c>
      <c r="Z15" s="22"/>
      <c r="AA15" s="22">
        <f t="array" ref="AA15">IF(ROW(AA15)&lt;=COUNTA(V:V)*2,IF(MOD(ROW(AA15),2)=1,INDEX(V:V,(ROW(AA15)+1)/2),INDEX(X:X,ROW(AA15)/2)),"")</f>
        <v>-5.95</v>
      </c>
      <c r="AB15" s="22">
        <f t="array" ref="AB15">IF(ROW(AB15)&lt;=COUNTA(W:W)*2,IF(MOD(ROW(AB15),2)=1,INDEX(W:W,(ROW(AB15)+1)/2),INDEX(Y:Y,ROW(AB15)/2)),"")</f>
        <v>125.051325</v>
      </c>
    </row>
    <row r="16" spans="1:28" s="2" customFormat="1" x14ac:dyDescent="0.25">
      <c r="A16" s="32"/>
      <c r="B16" s="20"/>
      <c r="C16" s="21"/>
      <c r="D16" s="22"/>
      <c r="E16" s="33"/>
      <c r="F16" s="34">
        <f t="shared" si="11"/>
        <v>-18.05</v>
      </c>
      <c r="G16" s="34">
        <f t="shared" si="4"/>
        <v>112.5</v>
      </c>
      <c r="H16" s="34">
        <f t="shared" si="5"/>
        <v>-19.55</v>
      </c>
      <c r="I16" s="34">
        <f t="shared" si="6"/>
        <v>112.5</v>
      </c>
      <c r="J16" s="34"/>
      <c r="K16" s="34">
        <f t="array" ref="K16">IF(ROW(K16)&lt;=COUNTA(F:F)*2,IF(MOD(ROW(K16),2)=1,INDEX(F:F,(ROW(K16)+1)/2),INDEX(H:H,ROW(K16)/2)),"")</f>
        <v>-7.55</v>
      </c>
      <c r="L16" s="34">
        <f t="array" ref="L16">IF(ROW(L16)&lt;=COUNTA(G:G)*2,IF(MOD(ROW(L16),2)=1,INDEX(G:G,(ROW(L16)+1)/2),INDEX(I:I,ROW(L16)/2)),"")</f>
        <v>112</v>
      </c>
      <c r="N16" s="21">
        <f t="shared" si="7"/>
        <v>-18.05</v>
      </c>
      <c r="O16" s="21">
        <f t="shared" si="8"/>
        <v>119.2</v>
      </c>
      <c r="P16" s="21">
        <f t="shared" si="0"/>
        <v>-19.55</v>
      </c>
      <c r="Q16" s="21">
        <f t="shared" si="9"/>
        <v>119.2</v>
      </c>
      <c r="R16" s="21"/>
      <c r="S16" s="21">
        <f t="array" ref="S16">IF(ROW(S16)&lt;=COUNTA(N:N)*2,IF(MOD(ROW(S16),2)=1,INDEX(N:N,(ROW(S16)+1)/2),INDEX(P:P,ROW(S16)/2)),"")</f>
        <v>-7.55</v>
      </c>
      <c r="T16" s="21">
        <f t="array" ref="T16">IF(ROW(T16)&lt;=COUNTA(O:O)*2,IF(MOD(ROW(T16),2)=1,INDEX(O:O,(ROW(T16)+1)/2),INDEX(Q:Q,ROW(T16)/2)),"")</f>
        <v>114.2</v>
      </c>
      <c r="V16" s="22">
        <f t="shared" si="10"/>
        <v>-18.05</v>
      </c>
      <c r="W16" s="22">
        <f t="shared" si="1"/>
        <v>125.0506</v>
      </c>
      <c r="X16" s="22">
        <f t="shared" si="2"/>
        <v>-19.55</v>
      </c>
      <c r="Y16" s="22">
        <f t="shared" si="3"/>
        <v>125.0506</v>
      </c>
      <c r="Z16" s="22"/>
      <c r="AA16" s="22">
        <f t="array" ref="AA16">IF(ROW(AA16)&lt;=COUNTA(V:V)*2,IF(MOD(ROW(AA16),2)=1,INDEX(V:V,(ROW(AA16)+1)/2),INDEX(X:X,ROW(AA16)/2)),"")</f>
        <v>-7.55</v>
      </c>
      <c r="AB16" s="22">
        <f t="array" ref="AB16">IF(ROW(AB16)&lt;=COUNTA(W:W)*2,IF(MOD(ROW(AB16),2)=1,INDEX(W:W,(ROW(AB16)+1)/2),INDEX(Y:Y,ROW(AB16)/2)),"")</f>
        <v>125.051325</v>
      </c>
    </row>
    <row r="17" spans="1:28" s="2" customFormat="1" x14ac:dyDescent="0.25">
      <c r="A17" s="32"/>
      <c r="B17" s="20"/>
      <c r="C17" s="21"/>
      <c r="D17" s="22"/>
      <c r="E17" s="33"/>
      <c r="F17" s="34">
        <f t="shared" si="11"/>
        <v>-19.55</v>
      </c>
      <c r="G17" s="34">
        <f t="shared" si="4"/>
        <v>111.5</v>
      </c>
      <c r="H17" s="34">
        <f t="shared" si="5"/>
        <v>-21.05</v>
      </c>
      <c r="I17" s="34">
        <f t="shared" si="6"/>
        <v>111.5</v>
      </c>
      <c r="J17" s="34"/>
      <c r="K17" s="34">
        <f t="array" ref="K17">IF(ROW(K17)&lt;=COUNTA(F:F)*2,IF(MOD(ROW(K17),2)=1,INDEX(F:F,(ROW(K17)+1)/2),INDEX(H:H,ROW(K17)/2)),"")</f>
        <v>-7.55</v>
      </c>
      <c r="L17" s="34">
        <f t="array" ref="L17">IF(ROW(L17)&lt;=COUNTA(G:G)*2,IF(MOD(ROW(L17),2)=1,INDEX(G:G,(ROW(L17)+1)/2),INDEX(I:I,ROW(L17)/2)),"")</f>
        <v>112.4</v>
      </c>
      <c r="N17" s="21">
        <f t="shared" si="7"/>
        <v>-19.55</v>
      </c>
      <c r="O17" s="21">
        <f t="shared" si="8"/>
        <v>118</v>
      </c>
      <c r="P17" s="21">
        <f t="shared" si="0"/>
        <v>-21.05</v>
      </c>
      <c r="Q17" s="21">
        <f t="shared" si="9"/>
        <v>118</v>
      </c>
      <c r="R17" s="21"/>
      <c r="S17" s="21">
        <f t="array" ref="S17">IF(ROW(S17)&lt;=COUNTA(N:N)*2,IF(MOD(ROW(S17),2)=1,INDEX(N:N,(ROW(S17)+1)/2),INDEX(P:P,ROW(S17)/2)),"")</f>
        <v>-7.55</v>
      </c>
      <c r="T17" s="21">
        <f t="array" ref="T17">IF(ROW(T17)&lt;=COUNTA(O:O)*2,IF(MOD(ROW(T17),2)=1,INDEX(O:O,(ROW(T17)+1)/2),INDEX(Q:Q,ROW(T17)/2)),"")</f>
        <v>113.4</v>
      </c>
      <c r="V17" s="22">
        <f t="shared" si="10"/>
        <v>-19.55</v>
      </c>
      <c r="W17" s="22">
        <f t="shared" si="1"/>
        <v>125.05465</v>
      </c>
      <c r="X17" s="22">
        <f t="shared" si="2"/>
        <v>-21.05</v>
      </c>
      <c r="Y17" s="22">
        <f t="shared" si="3"/>
        <v>125.05465</v>
      </c>
      <c r="Z17" s="22"/>
      <c r="AA17" s="22">
        <f t="array" ref="AA17">IF(ROW(AA17)&lt;=COUNTA(V:V)*2,IF(MOD(ROW(AA17),2)=1,INDEX(V:V,(ROW(AA17)+1)/2),INDEX(X:X,ROW(AA17)/2)),"")</f>
        <v>-7.55</v>
      </c>
      <c r="AB17" s="22">
        <f t="array" ref="AB17">IF(ROW(AB17)&lt;=COUNTA(W:W)*2,IF(MOD(ROW(AB17),2)=1,INDEX(W:W,(ROW(AB17)+1)/2),INDEX(Y:Y,ROW(AB17)/2)),"")</f>
        <v>125.0506</v>
      </c>
    </row>
    <row r="18" spans="1:28" s="2" customFormat="1" x14ac:dyDescent="0.25">
      <c r="A18" s="32"/>
      <c r="B18" s="20"/>
      <c r="C18" s="21"/>
      <c r="D18" s="22"/>
      <c r="E18" s="33"/>
      <c r="F18" s="34">
        <f t="shared" si="11"/>
        <v>-21.05</v>
      </c>
      <c r="G18" s="34">
        <f t="shared" si="4"/>
        <v>112.5</v>
      </c>
      <c r="H18" s="34">
        <f t="shared" si="5"/>
        <v>-22.55</v>
      </c>
      <c r="I18" s="34">
        <f t="shared" si="6"/>
        <v>112.5</v>
      </c>
      <c r="J18" s="34"/>
      <c r="K18" s="34">
        <f t="array" ref="K18">IF(ROW(K18)&lt;=COUNTA(F:F)*2,IF(MOD(ROW(K18),2)=1,INDEX(F:F,(ROW(K18)+1)/2),INDEX(H:H,ROW(K18)/2)),"")</f>
        <v>-9.05</v>
      </c>
      <c r="L18" s="34">
        <f t="array" ref="L18">IF(ROW(L18)&lt;=COUNTA(G:G)*2,IF(MOD(ROW(L18),2)=1,INDEX(G:G,(ROW(L18)+1)/2),INDEX(I:I,ROW(L18)/2)),"")</f>
        <v>112.4</v>
      </c>
      <c r="N18" s="21">
        <f t="shared" si="7"/>
        <v>-21.05</v>
      </c>
      <c r="O18" s="21">
        <f t="shared" si="8"/>
        <v>119.7</v>
      </c>
      <c r="P18" s="21">
        <f t="shared" si="0"/>
        <v>-22.55</v>
      </c>
      <c r="Q18" s="21">
        <f t="shared" si="9"/>
        <v>119.7</v>
      </c>
      <c r="R18" s="21"/>
      <c r="S18" s="21">
        <f t="array" ref="S18">IF(ROW(S18)&lt;=COUNTA(N:N)*2,IF(MOD(ROW(S18),2)=1,INDEX(N:N,(ROW(S18)+1)/2),INDEX(P:P,ROW(S18)/2)),"")</f>
        <v>-9.05</v>
      </c>
      <c r="T18" s="21">
        <f t="array" ref="T18">IF(ROW(T18)&lt;=COUNTA(O:O)*2,IF(MOD(ROW(T18),2)=1,INDEX(O:O,(ROW(T18)+1)/2),INDEX(Q:Q,ROW(T18)/2)),"")</f>
        <v>113.4</v>
      </c>
      <c r="V18" s="22">
        <f t="shared" si="10"/>
        <v>-21.05</v>
      </c>
      <c r="W18" s="22">
        <f t="shared" si="1"/>
        <v>125.051875</v>
      </c>
      <c r="X18" s="22">
        <f t="shared" si="2"/>
        <v>-22.55</v>
      </c>
      <c r="Y18" s="22">
        <f t="shared" si="3"/>
        <v>125.051875</v>
      </c>
      <c r="Z18" s="22"/>
      <c r="AA18" s="22">
        <f t="array" ref="AA18">IF(ROW(AA18)&lt;=COUNTA(V:V)*2,IF(MOD(ROW(AA18),2)=1,INDEX(V:V,(ROW(AA18)+1)/2),INDEX(X:X,ROW(AA18)/2)),"")</f>
        <v>-9.05</v>
      </c>
      <c r="AB18" s="22">
        <f t="array" ref="AB18">IF(ROW(AB18)&lt;=COUNTA(W:W)*2,IF(MOD(ROW(AB18),2)=1,INDEX(W:W,(ROW(AB18)+1)/2),INDEX(Y:Y,ROW(AB18)/2)),"")</f>
        <v>125.0506</v>
      </c>
    </row>
    <row r="19" spans="1:28" s="2" customFormat="1" x14ac:dyDescent="0.25">
      <c r="A19" s="32"/>
      <c r="B19" s="20"/>
      <c r="C19" s="21"/>
      <c r="D19" s="22"/>
      <c r="E19" s="33"/>
      <c r="F19" s="34">
        <f t="shared" si="11"/>
        <v>-22.55</v>
      </c>
      <c r="G19" s="34">
        <f t="shared" si="4"/>
        <v>112.4</v>
      </c>
      <c r="H19" s="34">
        <f t="shared" si="5"/>
        <v>-24.05</v>
      </c>
      <c r="I19" s="34">
        <f t="shared" si="6"/>
        <v>112.4</v>
      </c>
      <c r="J19" s="34"/>
      <c r="K19" s="34">
        <f t="array" ref="K19">IF(ROW(K19)&lt;=COUNTA(F:F)*2,IF(MOD(ROW(K19),2)=1,INDEX(F:F,(ROW(K19)+1)/2),INDEX(H:H,ROW(K19)/2)),"")</f>
        <v>-9.05</v>
      </c>
      <c r="L19" s="34">
        <f t="array" ref="L19">IF(ROW(L19)&lt;=COUNTA(G:G)*2,IF(MOD(ROW(L19),2)=1,INDEX(G:G,(ROW(L19)+1)/2),INDEX(I:I,ROW(L19)/2)),"")</f>
        <v>112.5</v>
      </c>
      <c r="N19" s="21">
        <f t="shared" si="7"/>
        <v>-22.55</v>
      </c>
      <c r="O19" s="21">
        <f t="shared" si="8"/>
        <v>117</v>
      </c>
      <c r="P19" s="21">
        <f t="shared" si="0"/>
        <v>-24.05</v>
      </c>
      <c r="Q19" s="21">
        <f t="shared" si="9"/>
        <v>117</v>
      </c>
      <c r="R19" s="21"/>
      <c r="S19" s="21">
        <f t="array" ref="S19">IF(ROW(S19)&lt;=COUNTA(N:N)*2,IF(MOD(ROW(S19),2)=1,INDEX(N:N,(ROW(S19)+1)/2),INDEX(P:P,ROW(S19)/2)),"")</f>
        <v>-9.05</v>
      </c>
      <c r="T19" s="21">
        <f t="array" ref="T19">IF(ROW(T19)&lt;=COUNTA(O:O)*2,IF(MOD(ROW(T19),2)=1,INDEX(O:O,(ROW(T19)+1)/2),INDEX(Q:Q,ROW(T19)/2)),"")</f>
        <v>116.9</v>
      </c>
      <c r="V19" s="22">
        <f t="shared" si="10"/>
        <v>-22.55</v>
      </c>
      <c r="W19" s="22">
        <f t="shared" si="1"/>
        <v>125.0532</v>
      </c>
      <c r="X19" s="22">
        <f t="shared" si="2"/>
        <v>-24.05</v>
      </c>
      <c r="Y19" s="22">
        <f t="shared" si="3"/>
        <v>125.0532</v>
      </c>
      <c r="Z19" s="22"/>
      <c r="AA19" s="22">
        <f t="array" ref="AA19">IF(ROW(AA19)&lt;=COUNTA(V:V)*2,IF(MOD(ROW(AA19),2)=1,INDEX(V:V,(ROW(AA19)+1)/2),INDEX(X:X,ROW(AA19)/2)),"")</f>
        <v>-9.05</v>
      </c>
      <c r="AB19" s="22">
        <f t="array" ref="AB19">IF(ROW(AB19)&lt;=COUNTA(W:W)*2,IF(MOD(ROW(AB19),2)=1,INDEX(W:W,(ROW(AB19)+1)/2),INDEX(Y:Y,ROW(AB19)/2)),"")</f>
        <v>125.0506</v>
      </c>
    </row>
    <row r="20" spans="1:28" s="2" customFormat="1" x14ac:dyDescent="0.25">
      <c r="A20" s="32"/>
      <c r="B20" s="20"/>
      <c r="C20" s="21"/>
      <c r="D20" s="22"/>
      <c r="E20" s="33"/>
      <c r="F20" s="34">
        <f t="shared" si="11"/>
        <v>-24.05</v>
      </c>
      <c r="G20" s="34">
        <f t="shared" si="4"/>
        <v>112.3</v>
      </c>
      <c r="H20" s="34">
        <f t="shared" si="5"/>
        <v>-24.9</v>
      </c>
      <c r="I20" s="34">
        <f t="shared" si="6"/>
        <v>112.3</v>
      </c>
      <c r="J20" s="34"/>
      <c r="K20" s="34">
        <f t="array" ref="K20">IF(ROW(K20)&lt;=COUNTA(F:F)*2,IF(MOD(ROW(K20),2)=1,INDEX(F:F,(ROW(K20)+1)/2),INDEX(H:H,ROW(K20)/2)),"")</f>
        <v>-10.55</v>
      </c>
      <c r="L20" s="34">
        <f t="array" ref="L20">IF(ROW(L20)&lt;=COUNTA(G:G)*2,IF(MOD(ROW(L20),2)=1,INDEX(G:G,(ROW(L20)+1)/2),INDEX(I:I,ROW(L20)/2)),"")</f>
        <v>112.5</v>
      </c>
      <c r="N20" s="21">
        <f t="shared" si="7"/>
        <v>-24.05</v>
      </c>
      <c r="O20" s="21">
        <f t="shared" si="8"/>
        <v>122.2</v>
      </c>
      <c r="P20" s="21">
        <f t="shared" si="0"/>
        <v>-24.9</v>
      </c>
      <c r="Q20" s="21">
        <f t="shared" si="9"/>
        <v>122.2</v>
      </c>
      <c r="R20" s="21"/>
      <c r="S20" s="21">
        <f t="array" ref="S20">IF(ROW(S20)&lt;=COUNTA(N:N)*2,IF(MOD(ROW(S20),2)=1,INDEX(N:N,(ROW(S20)+1)/2),INDEX(P:P,ROW(S20)/2)),"")</f>
        <v>-10.55</v>
      </c>
      <c r="T20" s="21">
        <f t="array" ref="T20">IF(ROW(T20)&lt;=COUNTA(O:O)*2,IF(MOD(ROW(T20),2)=1,INDEX(O:O,(ROW(T20)+1)/2),INDEX(Q:Q,ROW(T20)/2)),"")</f>
        <v>116.9</v>
      </c>
      <c r="V20" s="22">
        <f t="shared" si="10"/>
        <v>-24.05</v>
      </c>
      <c r="W20" s="22">
        <f t="shared" si="1"/>
        <v>125.0532</v>
      </c>
      <c r="X20" s="22">
        <f t="shared" si="2"/>
        <v>-24.9</v>
      </c>
      <c r="Y20" s="22">
        <f t="shared" si="3"/>
        <v>125.0532</v>
      </c>
      <c r="Z20" s="22"/>
      <c r="AA20" s="22">
        <f t="array" ref="AA20">IF(ROW(AA20)&lt;=COUNTA(V:V)*2,IF(MOD(ROW(AA20),2)=1,INDEX(V:V,(ROW(AA20)+1)/2),INDEX(X:X,ROW(AA20)/2)),"")</f>
        <v>-10.55</v>
      </c>
      <c r="AB20" s="22">
        <f t="array" ref="AB20">IF(ROW(AB20)&lt;=COUNTA(W:W)*2,IF(MOD(ROW(AB20),2)=1,INDEX(W:W,(ROW(AB20)+1)/2),INDEX(Y:Y,ROW(AB20)/2)),"")</f>
        <v>125.0506</v>
      </c>
    </row>
    <row r="21" spans="1:28" s="2" customFormat="1" x14ac:dyDescent="0.25">
      <c r="A21" s="32"/>
      <c r="B21" s="20"/>
      <c r="C21" s="21"/>
      <c r="D21" s="22"/>
      <c r="E21" s="33"/>
      <c r="F21" s="34">
        <f t="shared" si="11"/>
        <v>-24.9</v>
      </c>
      <c r="G21" s="34">
        <f t="shared" si="4"/>
        <v>112.4</v>
      </c>
      <c r="H21" s="34">
        <f t="shared" si="5"/>
        <v>-26.05</v>
      </c>
      <c r="I21" s="34">
        <f t="shared" si="6"/>
        <v>112.4</v>
      </c>
      <c r="J21" s="34"/>
      <c r="K21" s="34">
        <f t="array" ref="K21">IF(ROW(K21)&lt;=COUNTA(F:F)*2,IF(MOD(ROW(K21),2)=1,INDEX(F:F,(ROW(K21)+1)/2),INDEX(H:H,ROW(K21)/2)),"")</f>
        <v>-10.55</v>
      </c>
      <c r="L21" s="34">
        <f t="array" ref="L21">IF(ROW(L21)&lt;=COUNTA(G:G)*2,IF(MOD(ROW(L21),2)=1,INDEX(G:G,(ROW(L21)+1)/2),INDEX(I:I,ROW(L21)/2)),"")</f>
        <v>112.5</v>
      </c>
      <c r="N21" s="21">
        <f t="shared" si="7"/>
        <v>-24.9</v>
      </c>
      <c r="O21" s="21">
        <f t="shared" si="8"/>
        <v>117.4</v>
      </c>
      <c r="P21" s="21">
        <f t="shared" si="0"/>
        <v>-26.05</v>
      </c>
      <c r="Q21" s="21">
        <f t="shared" si="9"/>
        <v>117.4</v>
      </c>
      <c r="R21" s="21"/>
      <c r="S21" s="21">
        <f t="array" ref="S21">IF(ROW(S21)&lt;=COUNTA(N:N)*2,IF(MOD(ROW(S21),2)=1,INDEX(N:N,(ROW(S21)+1)/2),INDEX(P:P,ROW(S21)/2)),"")</f>
        <v>-10.55</v>
      </c>
      <c r="T21" s="21">
        <f t="array" ref="T21">IF(ROW(T21)&lt;=COUNTA(O:O)*2,IF(MOD(ROW(T21),2)=1,INDEX(O:O,(ROW(T21)+1)/2),INDEX(Q:Q,ROW(T21)/2)),"")</f>
        <v>112.5</v>
      </c>
      <c r="V21" s="22">
        <f t="shared" si="10"/>
        <v>-24.9</v>
      </c>
      <c r="W21" s="22">
        <f t="shared" si="1"/>
        <v>125.0552</v>
      </c>
      <c r="X21" s="22">
        <f t="shared" si="2"/>
        <v>-26.05</v>
      </c>
      <c r="Y21" s="22">
        <f t="shared" si="3"/>
        <v>125.0552</v>
      </c>
      <c r="Z21" s="22"/>
      <c r="AA21" s="22">
        <f t="array" ref="AA21">IF(ROW(AA21)&lt;=COUNTA(V:V)*2,IF(MOD(ROW(AA21),2)=1,INDEX(V:V,(ROW(AA21)+1)/2),INDEX(X:X,ROW(AA21)/2)),"")</f>
        <v>-10.55</v>
      </c>
      <c r="AB21" s="22">
        <f t="array" ref="AB21">IF(ROW(AB21)&lt;=COUNTA(W:W)*2,IF(MOD(ROW(AB21),2)=1,INDEX(W:W,(ROW(AB21)+1)/2),INDEX(Y:Y,ROW(AB21)/2)),"")</f>
        <v>125.05465</v>
      </c>
    </row>
    <row r="22" spans="1:28" s="2" customFormat="1" x14ac:dyDescent="0.25">
      <c r="A22" s="32"/>
      <c r="B22" s="20"/>
      <c r="C22" s="21"/>
      <c r="D22" s="22"/>
      <c r="E22" s="33"/>
      <c r="F22" s="34">
        <f t="shared" si="11"/>
        <v>-26.05</v>
      </c>
      <c r="G22" s="34">
        <f t="shared" si="4"/>
        <v>112.4</v>
      </c>
      <c r="H22" s="34">
        <f t="shared" si="5"/>
        <v>-27.2</v>
      </c>
      <c r="I22" s="34">
        <f t="shared" si="6"/>
        <v>112.4</v>
      </c>
      <c r="J22" s="34"/>
      <c r="K22" s="34">
        <f t="array" ref="K22">IF(ROW(K22)&lt;=COUNTA(F:F)*2,IF(MOD(ROW(K22),2)=1,INDEX(F:F,(ROW(K22)+1)/2),INDEX(H:H,ROW(K22)/2)),"")</f>
        <v>-12.05</v>
      </c>
      <c r="L22" s="34">
        <f t="array" ref="L22">IF(ROW(L22)&lt;=COUNTA(G:G)*2,IF(MOD(ROW(L22),2)=1,INDEX(G:G,(ROW(L22)+1)/2),INDEX(I:I,ROW(L22)/2)),"")</f>
        <v>112.5</v>
      </c>
      <c r="N22" s="21">
        <f t="shared" si="7"/>
        <v>-26.05</v>
      </c>
      <c r="O22" s="21">
        <f t="shared" si="8"/>
        <v>117.4</v>
      </c>
      <c r="P22" s="21">
        <f t="shared" si="0"/>
        <v>-27.2</v>
      </c>
      <c r="Q22" s="21">
        <f t="shared" si="9"/>
        <v>117.4</v>
      </c>
      <c r="R22" s="21"/>
      <c r="S22" s="21">
        <f t="array" ref="S22">IF(ROW(S22)&lt;=COUNTA(N:N)*2,IF(MOD(ROW(S22),2)=1,INDEX(N:N,(ROW(S22)+1)/2),INDEX(P:P,ROW(S22)/2)),"")</f>
        <v>-12.05</v>
      </c>
      <c r="T22" s="21">
        <f t="array" ref="T22">IF(ROW(T22)&lt;=COUNTA(O:O)*2,IF(MOD(ROW(T22),2)=1,INDEX(O:O,(ROW(T22)+1)/2),INDEX(Q:Q,ROW(T22)/2)),"")</f>
        <v>112.5</v>
      </c>
      <c r="V22" s="22">
        <f t="shared" si="10"/>
        <v>-26.05</v>
      </c>
      <c r="W22" s="22">
        <f t="shared" si="1"/>
        <v>125.0532</v>
      </c>
      <c r="X22" s="22">
        <f t="shared" si="2"/>
        <v>-27.2</v>
      </c>
      <c r="Y22" s="22">
        <f t="shared" si="3"/>
        <v>125.0532</v>
      </c>
      <c r="Z22" s="22"/>
      <c r="AA22" s="22">
        <f t="array" ref="AA22">IF(ROW(AA22)&lt;=COUNTA(V:V)*2,IF(MOD(ROW(AA22),2)=1,INDEX(V:V,(ROW(AA22)+1)/2),INDEX(X:X,ROW(AA22)/2)),"")</f>
        <v>-12.05</v>
      </c>
      <c r="AB22" s="22">
        <f t="array" ref="AB22">IF(ROW(AB22)&lt;=COUNTA(W:W)*2,IF(MOD(ROW(AB22),2)=1,INDEX(W:W,(ROW(AB22)+1)/2),INDEX(Y:Y,ROW(AB22)/2)),"")</f>
        <v>125.05465</v>
      </c>
    </row>
    <row r="23" spans="1:28" s="2" customFormat="1" x14ac:dyDescent="0.25">
      <c r="A23" s="32"/>
      <c r="B23" s="20"/>
      <c r="C23" s="21"/>
      <c r="D23" s="22"/>
      <c r="E23" s="33"/>
      <c r="F23" s="34">
        <f t="shared" si="11"/>
        <v>-27.2</v>
      </c>
      <c r="G23" s="34">
        <f t="shared" si="4"/>
        <v>112.4</v>
      </c>
      <c r="H23" s="34">
        <f t="shared" si="5"/>
        <v>-28.7</v>
      </c>
      <c r="I23" s="34">
        <f t="shared" si="6"/>
        <v>112.4</v>
      </c>
      <c r="J23" s="34"/>
      <c r="K23" s="34">
        <f t="array" ref="K23">IF(ROW(K23)&lt;=COUNTA(F:F)*2,IF(MOD(ROW(K23),2)=1,INDEX(F:F,(ROW(K23)+1)/2),INDEX(H:H,ROW(K23)/2)),"")</f>
        <v>-12.05</v>
      </c>
      <c r="L23" s="34">
        <f t="array" ref="L23">IF(ROW(L23)&lt;=COUNTA(G:G)*2,IF(MOD(ROW(L23),2)=1,INDEX(G:G,(ROW(L23)+1)/2),INDEX(I:I,ROW(L23)/2)),"")</f>
        <v>112.5</v>
      </c>
      <c r="N23" s="21">
        <f t="shared" si="7"/>
        <v>-27.2</v>
      </c>
      <c r="O23" s="21">
        <f t="shared" si="8"/>
        <v>117.4</v>
      </c>
      <c r="P23" s="21">
        <f t="shared" si="0"/>
        <v>-28.7</v>
      </c>
      <c r="Q23" s="21">
        <f t="shared" si="9"/>
        <v>117.4</v>
      </c>
      <c r="R23" s="21"/>
      <c r="S23" s="21">
        <f t="array" ref="S23">IF(ROW(S23)&lt;=COUNTA(N:N)*2,IF(MOD(ROW(S23),2)=1,INDEX(N:N,(ROW(S23)+1)/2),INDEX(P:P,ROW(S23)/2)),"")</f>
        <v>-12.05</v>
      </c>
      <c r="T23" s="21">
        <f t="array" ref="T23">IF(ROW(T23)&lt;=COUNTA(O:O)*2,IF(MOD(ROW(T23),2)=1,INDEX(O:O,(ROW(T23)+1)/2),INDEX(Q:Q,ROW(T23)/2)),"")</f>
        <v>118</v>
      </c>
      <c r="V23" s="22">
        <f t="shared" si="10"/>
        <v>-27.2</v>
      </c>
      <c r="W23" s="22">
        <f t="shared" si="1"/>
        <v>125.0552</v>
      </c>
      <c r="X23" s="22">
        <f t="shared" si="2"/>
        <v>-28.7</v>
      </c>
      <c r="Y23" s="22">
        <f t="shared" si="3"/>
        <v>125.0552</v>
      </c>
      <c r="Z23" s="22"/>
      <c r="AA23" s="22">
        <f t="array" ref="AA23">IF(ROW(AA23)&lt;=COUNTA(V:V)*2,IF(MOD(ROW(AA23),2)=1,INDEX(V:V,(ROW(AA23)+1)/2),INDEX(X:X,ROW(AA23)/2)),"")</f>
        <v>-12.05</v>
      </c>
      <c r="AB23" s="22">
        <f t="array" ref="AB23">IF(ROW(AB23)&lt;=COUNTA(W:W)*2,IF(MOD(ROW(AB23),2)=1,INDEX(W:W,(ROW(AB23)+1)/2),INDEX(Y:Y,ROW(AB23)/2)),"")</f>
        <v>125.0506</v>
      </c>
    </row>
    <row r="24" spans="1:28" s="2" customFormat="1" x14ac:dyDescent="0.25">
      <c r="A24" s="32"/>
      <c r="B24" s="20"/>
      <c r="C24" s="21"/>
      <c r="D24" s="22"/>
      <c r="E24" s="33"/>
      <c r="F24" s="34">
        <f t="shared" si="11"/>
        <v>-28.7</v>
      </c>
      <c r="G24" s="34">
        <f t="shared" si="4"/>
        <v>112.4</v>
      </c>
      <c r="H24" s="34">
        <f t="shared" si="5"/>
        <v>-30.2</v>
      </c>
      <c r="I24" s="34">
        <f t="shared" si="6"/>
        <v>112.4</v>
      </c>
      <c r="J24" s="34"/>
      <c r="K24" s="34">
        <f t="array" ref="K24">IF(ROW(K24)&lt;=COUNTA(F:F)*2,IF(MOD(ROW(K24),2)=1,INDEX(F:F,(ROW(K24)+1)/2),INDEX(H:H,ROW(K24)/2)),"")</f>
        <v>-13.55</v>
      </c>
      <c r="L24" s="34">
        <f t="array" ref="L24">IF(ROW(L24)&lt;=COUNTA(G:G)*2,IF(MOD(ROW(L24),2)=1,INDEX(G:G,(ROW(L24)+1)/2),INDEX(I:I,ROW(L24)/2)),"")</f>
        <v>112.5</v>
      </c>
      <c r="N24" s="21">
        <f t="shared" si="7"/>
        <v>-28.7</v>
      </c>
      <c r="O24" s="21">
        <f t="shared" si="8"/>
        <v>120</v>
      </c>
      <c r="P24" s="21">
        <f t="shared" si="0"/>
        <v>-30.2</v>
      </c>
      <c r="Q24" s="21">
        <f t="shared" si="9"/>
        <v>120</v>
      </c>
      <c r="R24" s="21"/>
      <c r="S24" s="21">
        <f t="array" ref="S24">IF(ROW(S24)&lt;=COUNTA(N:N)*2,IF(MOD(ROW(S24),2)=1,INDEX(N:N,(ROW(S24)+1)/2),INDEX(P:P,ROW(S24)/2)),"")</f>
        <v>-13.55</v>
      </c>
      <c r="T24" s="21">
        <f t="array" ref="T24">IF(ROW(T24)&lt;=COUNTA(O:O)*2,IF(MOD(ROW(T24),2)=1,INDEX(O:O,(ROW(T24)+1)/2),INDEX(Q:Q,ROW(T24)/2)),"")</f>
        <v>118</v>
      </c>
      <c r="V24" s="22">
        <f t="shared" si="10"/>
        <v>-28.7</v>
      </c>
      <c r="W24" s="22">
        <f t="shared" si="1"/>
        <v>125.0532</v>
      </c>
      <c r="X24" s="22">
        <f t="shared" si="2"/>
        <v>-30.2</v>
      </c>
      <c r="Y24" s="22">
        <f t="shared" si="3"/>
        <v>125.0532</v>
      </c>
      <c r="Z24" s="22"/>
      <c r="AA24" s="22">
        <f t="array" ref="AA24">IF(ROW(AA24)&lt;=COUNTA(V:V)*2,IF(MOD(ROW(AA24),2)=1,INDEX(V:V,(ROW(AA24)+1)/2),INDEX(X:X,ROW(AA24)/2)),"")</f>
        <v>-13.55</v>
      </c>
      <c r="AB24" s="22">
        <f t="array" ref="AB24">IF(ROW(AB24)&lt;=COUNTA(W:W)*2,IF(MOD(ROW(AB24),2)=1,INDEX(W:W,(ROW(AB24)+1)/2),INDEX(Y:Y,ROW(AB24)/2)),"")</f>
        <v>125.0506</v>
      </c>
    </row>
    <row r="25" spans="1:28" s="2" customFormat="1" x14ac:dyDescent="0.25">
      <c r="A25" s="32"/>
      <c r="B25" s="20"/>
      <c r="C25" s="21"/>
      <c r="D25" s="22"/>
      <c r="E25" s="33"/>
      <c r="F25" s="34">
        <f t="shared" si="11"/>
        <v>-30.2</v>
      </c>
      <c r="G25" s="34">
        <f t="shared" si="4"/>
        <v>111.9</v>
      </c>
      <c r="H25" s="34">
        <f t="shared" si="5"/>
        <v>-31.8</v>
      </c>
      <c r="I25" s="34">
        <f t="shared" si="6"/>
        <v>111.9</v>
      </c>
      <c r="J25" s="34"/>
      <c r="K25" s="34">
        <f t="array" ref="K25">IF(ROW(K25)&lt;=COUNTA(F:F)*2,IF(MOD(ROW(K25),2)=1,INDEX(F:F,(ROW(K25)+1)/2),INDEX(H:H,ROW(K25)/2)),"")</f>
        <v>-13.55</v>
      </c>
      <c r="L25" s="34">
        <f t="array" ref="L25">IF(ROW(L25)&lt;=COUNTA(G:G)*2,IF(MOD(ROW(L25),2)=1,INDEX(G:G,(ROW(L25)+1)/2),INDEX(I:I,ROW(L25)/2)),"")</f>
        <v>111.8</v>
      </c>
      <c r="N25" s="21">
        <f t="shared" si="7"/>
        <v>-30.2</v>
      </c>
      <c r="O25" s="21">
        <f t="shared" si="8"/>
        <v>118.4</v>
      </c>
      <c r="P25" s="21">
        <f t="shared" si="0"/>
        <v>-31.8</v>
      </c>
      <c r="Q25" s="21">
        <f t="shared" si="9"/>
        <v>118.4</v>
      </c>
      <c r="R25" s="21"/>
      <c r="S25" s="21">
        <f t="array" ref="S25">IF(ROW(S25)&lt;=COUNTA(N:N)*2,IF(MOD(ROW(S25),2)=1,INDEX(N:N,(ROW(S25)+1)/2),INDEX(P:P,ROW(S25)/2)),"")</f>
        <v>-13.55</v>
      </c>
      <c r="T25" s="21">
        <f t="array" ref="T25">IF(ROW(T25)&lt;=COUNTA(O:O)*2,IF(MOD(ROW(T25),2)=1,INDEX(O:O,(ROW(T25)+1)/2),INDEX(Q:Q,ROW(T25)/2)),"")</f>
        <v>119.4</v>
      </c>
      <c r="V25" s="22">
        <f t="shared" si="10"/>
        <v>-30.2</v>
      </c>
      <c r="W25" s="22">
        <f t="shared" si="1"/>
        <v>125.052425</v>
      </c>
      <c r="X25" s="22">
        <f t="shared" si="2"/>
        <v>-31.8</v>
      </c>
      <c r="Y25" s="22">
        <f t="shared" si="3"/>
        <v>125.052425</v>
      </c>
      <c r="Z25" s="22"/>
      <c r="AA25" s="22">
        <f t="array" ref="AA25">IF(ROW(AA25)&lt;=COUNTA(V:V)*2,IF(MOD(ROW(AA25),2)=1,INDEX(V:V,(ROW(AA25)+1)/2),INDEX(X:X,ROW(AA25)/2)),"")</f>
        <v>-13.55</v>
      </c>
      <c r="AB25" s="22">
        <f t="array" ref="AB25">IF(ROW(AB25)&lt;=COUNTA(W:W)*2,IF(MOD(ROW(AB25),2)=1,INDEX(W:W,(ROW(AB25)+1)/2),INDEX(Y:Y,ROW(AB25)/2)),"")</f>
        <v>125.0506</v>
      </c>
    </row>
    <row r="26" spans="1:28" s="2" customFormat="1" x14ac:dyDescent="0.25">
      <c r="A26" s="32"/>
      <c r="B26" s="20"/>
      <c r="C26" s="21"/>
      <c r="D26" s="22"/>
      <c r="E26" s="33"/>
      <c r="F26" s="34">
        <f t="shared" si="11"/>
        <v>-31.8</v>
      </c>
      <c r="G26" s="34">
        <f t="shared" si="4"/>
        <v>112.4</v>
      </c>
      <c r="H26" s="34">
        <f t="shared" si="5"/>
        <v>-33.4</v>
      </c>
      <c r="I26" s="34">
        <f t="shared" si="6"/>
        <v>112.4</v>
      </c>
      <c r="J26" s="34"/>
      <c r="K26" s="34">
        <f t="array" ref="K26">IF(ROW(K26)&lt;=COUNTA(F:F)*2,IF(MOD(ROW(K26),2)=1,INDEX(F:F,(ROW(K26)+1)/2),INDEX(H:H,ROW(K26)/2)),"")</f>
        <v>-15.05</v>
      </c>
      <c r="L26" s="34">
        <f t="array" ref="L26">IF(ROW(L26)&lt;=COUNTA(G:G)*2,IF(MOD(ROW(L26),2)=1,INDEX(G:G,(ROW(L26)+1)/2),INDEX(I:I,ROW(L26)/2)),"")</f>
        <v>111.8</v>
      </c>
      <c r="N26" s="21">
        <f t="shared" si="7"/>
        <v>-31.8</v>
      </c>
      <c r="O26" s="21">
        <f t="shared" si="8"/>
        <v>118.2</v>
      </c>
      <c r="P26" s="21">
        <f t="shared" si="0"/>
        <v>-33.4</v>
      </c>
      <c r="Q26" s="21">
        <f t="shared" si="9"/>
        <v>118.2</v>
      </c>
      <c r="R26" s="21"/>
      <c r="S26" s="21">
        <f t="array" ref="S26">IF(ROW(S26)&lt;=COUNTA(N:N)*2,IF(MOD(ROW(S26),2)=1,INDEX(N:N,(ROW(S26)+1)/2),INDEX(P:P,ROW(S26)/2)),"")</f>
        <v>-15.05</v>
      </c>
      <c r="T26" s="21">
        <f t="array" ref="T26">IF(ROW(T26)&lt;=COUNTA(O:O)*2,IF(MOD(ROW(T26),2)=1,INDEX(O:O,(ROW(T26)+1)/2),INDEX(Q:Q,ROW(T26)/2)),"")</f>
        <v>119.4</v>
      </c>
      <c r="V26" s="22">
        <f t="shared" si="10"/>
        <v>-31.8</v>
      </c>
      <c r="W26" s="22">
        <f t="shared" si="1"/>
        <v>125.0552</v>
      </c>
      <c r="X26" s="22">
        <f t="shared" si="2"/>
        <v>-33.4</v>
      </c>
      <c r="Y26" s="22">
        <f t="shared" si="3"/>
        <v>125.0552</v>
      </c>
      <c r="Z26" s="22"/>
      <c r="AA26" s="22">
        <f t="array" ref="AA26">IF(ROW(AA26)&lt;=COUNTA(V:V)*2,IF(MOD(ROW(AA26),2)=1,INDEX(V:V,(ROW(AA26)+1)/2),INDEX(X:X,ROW(AA26)/2)),"")</f>
        <v>-15.05</v>
      </c>
      <c r="AB26" s="22">
        <f t="array" ref="AB26">IF(ROW(AB26)&lt;=COUNTA(W:W)*2,IF(MOD(ROW(AB26),2)=1,INDEX(W:W,(ROW(AB26)+1)/2),INDEX(Y:Y,ROW(AB26)/2)),"")</f>
        <v>125.0506</v>
      </c>
    </row>
    <row r="27" spans="1:28" s="2" customFormat="1" x14ac:dyDescent="0.25">
      <c r="A27" s="32"/>
      <c r="B27" s="20"/>
      <c r="C27" s="21"/>
      <c r="D27" s="22"/>
      <c r="E27" s="33"/>
      <c r="F27" s="34">
        <f t="shared" si="11"/>
        <v>-33.4</v>
      </c>
      <c r="G27" s="34">
        <f t="shared" si="4"/>
        <v>112.2</v>
      </c>
      <c r="H27" s="34">
        <f t="shared" si="5"/>
        <v>-34.95</v>
      </c>
      <c r="I27" s="34">
        <f t="shared" si="6"/>
        <v>112.2</v>
      </c>
      <c r="J27" s="34"/>
      <c r="K27" s="34">
        <f t="array" ref="K27">IF(ROW(K27)&lt;=COUNTA(F:F)*2,IF(MOD(ROW(K27),2)=1,INDEX(F:F,(ROW(K27)+1)/2),INDEX(H:H,ROW(K27)/2)),"")</f>
        <v>-15.05</v>
      </c>
      <c r="L27" s="34">
        <f t="array" ref="L27">IF(ROW(L27)&lt;=COUNTA(G:G)*2,IF(MOD(ROW(L27),2)=1,INDEX(G:G,(ROW(L27)+1)/2),INDEX(I:I,ROW(L27)/2)),"")</f>
        <v>111.8</v>
      </c>
      <c r="N27" s="21">
        <f t="shared" si="7"/>
        <v>-33.4</v>
      </c>
      <c r="O27" s="21">
        <f t="shared" si="8"/>
        <v>114.1</v>
      </c>
      <c r="P27" s="21">
        <f t="shared" si="0"/>
        <v>-34.95</v>
      </c>
      <c r="Q27" s="21">
        <f t="shared" si="9"/>
        <v>114.1</v>
      </c>
      <c r="R27" s="21"/>
      <c r="S27" s="21">
        <f t="array" ref="S27">IF(ROW(S27)&lt;=COUNTA(N:N)*2,IF(MOD(ROW(S27),2)=1,INDEX(N:N,(ROW(S27)+1)/2),INDEX(P:P,ROW(S27)/2)),"")</f>
        <v>-15.05</v>
      </c>
      <c r="T27" s="21">
        <f t="array" ref="T27">IF(ROW(T27)&lt;=COUNTA(O:O)*2,IF(MOD(ROW(T27),2)=1,INDEX(O:O,(ROW(T27)+1)/2),INDEX(Q:Q,ROW(T27)/2)),"")</f>
        <v>120.6</v>
      </c>
      <c r="V27" s="22">
        <f t="shared" si="10"/>
        <v>-33.4</v>
      </c>
      <c r="W27" s="22">
        <f t="shared" si="1"/>
        <v>125.0532</v>
      </c>
      <c r="X27" s="22">
        <f t="shared" si="2"/>
        <v>-34.95</v>
      </c>
      <c r="Y27" s="22">
        <f t="shared" si="3"/>
        <v>125.0532</v>
      </c>
      <c r="Z27" s="22"/>
      <c r="AA27" s="22">
        <f t="array" ref="AA27">IF(ROW(AA27)&lt;=COUNTA(V:V)*2,IF(MOD(ROW(AA27),2)=1,INDEX(V:V,(ROW(AA27)+1)/2),INDEX(X:X,ROW(AA27)/2)),"")</f>
        <v>-15.05</v>
      </c>
      <c r="AB27" s="22">
        <f t="array" ref="AB27">IF(ROW(AB27)&lt;=COUNTA(W:W)*2,IF(MOD(ROW(AB27),2)=1,INDEX(W:W,(ROW(AB27)+1)/2),INDEX(Y:Y,ROW(AB27)/2)),"")</f>
        <v>125.0506</v>
      </c>
    </row>
    <row r="28" spans="1:28" s="2" customFormat="1" x14ac:dyDescent="0.25">
      <c r="A28" s="32"/>
      <c r="B28" s="20"/>
      <c r="C28" s="21"/>
      <c r="D28" s="22"/>
      <c r="E28" s="33"/>
      <c r="F28" s="34">
        <f t="shared" si="11"/>
        <v>-34.95</v>
      </c>
      <c r="G28" s="34">
        <f t="shared" si="4"/>
        <v>112.2</v>
      </c>
      <c r="H28" s="34">
        <f t="shared" si="5"/>
        <v>-36.45</v>
      </c>
      <c r="I28" s="34">
        <f t="shared" si="6"/>
        <v>112.2</v>
      </c>
      <c r="J28" s="34"/>
      <c r="K28" s="34">
        <f t="array" ref="K28">IF(ROW(K28)&lt;=COUNTA(F:F)*2,IF(MOD(ROW(K28),2)=1,INDEX(F:F,(ROW(K28)+1)/2),INDEX(H:H,ROW(K28)/2)),"")</f>
        <v>-16.55</v>
      </c>
      <c r="L28" s="34">
        <f t="array" ref="L28">IF(ROW(L28)&lt;=COUNTA(G:G)*2,IF(MOD(ROW(L28),2)=1,INDEX(G:G,(ROW(L28)+1)/2),INDEX(I:I,ROW(L28)/2)),"")</f>
        <v>111.8</v>
      </c>
      <c r="N28" s="21">
        <f t="shared" si="7"/>
        <v>-34.95</v>
      </c>
      <c r="O28" s="21">
        <f t="shared" si="8"/>
        <v>119.8</v>
      </c>
      <c r="P28" s="21">
        <f t="shared" si="0"/>
        <v>-36.45</v>
      </c>
      <c r="Q28" s="21">
        <f t="shared" si="9"/>
        <v>119.8</v>
      </c>
      <c r="R28" s="21"/>
      <c r="S28" s="21">
        <f t="array" ref="S28">IF(ROW(S28)&lt;=COUNTA(N:N)*2,IF(MOD(ROW(S28),2)=1,INDEX(N:N,(ROW(S28)+1)/2),INDEX(P:P,ROW(S28)/2)),"")</f>
        <v>-16.55</v>
      </c>
      <c r="T28" s="21">
        <f t="array" ref="T28">IF(ROW(T28)&lt;=COUNTA(O:O)*2,IF(MOD(ROW(T28),2)=1,INDEX(O:O,(ROW(T28)+1)/2),INDEX(Q:Q,ROW(T28)/2)),"")</f>
        <v>120.6</v>
      </c>
      <c r="V28" s="22">
        <f t="shared" si="10"/>
        <v>-34.95</v>
      </c>
      <c r="W28" s="22">
        <f t="shared" si="1"/>
        <v>125.0532</v>
      </c>
      <c r="X28" s="22">
        <f t="shared" si="2"/>
        <v>-36.45</v>
      </c>
      <c r="Y28" s="22">
        <f t="shared" si="3"/>
        <v>125.0532</v>
      </c>
      <c r="Z28" s="22"/>
      <c r="AA28" s="22">
        <f t="array" ref="AA28">IF(ROW(AA28)&lt;=COUNTA(V:V)*2,IF(MOD(ROW(AA28),2)=1,INDEX(V:V,(ROW(AA28)+1)/2),INDEX(X:X,ROW(AA28)/2)),"")</f>
        <v>-16.55</v>
      </c>
      <c r="AB28" s="22">
        <f t="array" ref="AB28">IF(ROW(AB28)&lt;=COUNTA(W:W)*2,IF(MOD(ROW(AB28),2)=1,INDEX(W:W,(ROW(AB28)+1)/2),INDEX(Y:Y,ROW(AB28)/2)),"")</f>
        <v>125.0506</v>
      </c>
    </row>
    <row r="29" spans="1:28" s="2" customFormat="1" x14ac:dyDescent="0.25">
      <c r="A29" s="32"/>
      <c r="B29" s="20"/>
      <c r="C29" s="21"/>
      <c r="D29" s="22"/>
      <c r="E29" s="33"/>
      <c r="F29" s="34">
        <f t="shared" si="11"/>
        <v>-36.45</v>
      </c>
      <c r="G29" s="34">
        <f t="shared" si="4"/>
        <v>112.4</v>
      </c>
      <c r="H29" s="34">
        <f t="shared" si="5"/>
        <v>-37.95</v>
      </c>
      <c r="I29" s="34">
        <f t="shared" si="6"/>
        <v>112.4</v>
      </c>
      <c r="J29" s="34"/>
      <c r="K29" s="34">
        <f t="array" ref="K29">IF(ROW(K29)&lt;=COUNTA(F:F)*2,IF(MOD(ROW(K29),2)=1,INDEX(F:F,(ROW(K29)+1)/2),INDEX(H:H,ROW(K29)/2)),"")</f>
        <v>-16.55</v>
      </c>
      <c r="L29" s="34">
        <f t="array" ref="L29">IF(ROW(L29)&lt;=COUNTA(G:G)*2,IF(MOD(ROW(L29),2)=1,INDEX(G:G,(ROW(L29)+1)/2),INDEX(I:I,ROW(L29)/2)),"")</f>
        <v>111.8</v>
      </c>
      <c r="N29" s="21">
        <f t="shared" si="7"/>
        <v>-36.45</v>
      </c>
      <c r="O29" s="21">
        <f t="shared" si="8"/>
        <v>113.6</v>
      </c>
      <c r="P29" s="21">
        <f t="shared" si="0"/>
        <v>-37.95</v>
      </c>
      <c r="Q29" s="21">
        <f t="shared" si="9"/>
        <v>113.6</v>
      </c>
      <c r="R29" s="21"/>
      <c r="S29" s="21">
        <f t="array" ref="S29">IF(ROW(S29)&lt;=COUNTA(N:N)*2,IF(MOD(ROW(S29),2)=1,INDEX(N:N,(ROW(S29)+1)/2),INDEX(P:P,ROW(S29)/2)),"")</f>
        <v>-16.55</v>
      </c>
      <c r="T29" s="21">
        <f t="array" ref="T29">IF(ROW(T29)&lt;=COUNTA(O:O)*2,IF(MOD(ROW(T29),2)=1,INDEX(O:O,(ROW(T29)+1)/2),INDEX(Q:Q,ROW(T29)/2)),"")</f>
        <v>121</v>
      </c>
      <c r="V29" s="22">
        <f t="shared" si="10"/>
        <v>-36.45</v>
      </c>
      <c r="W29" s="22">
        <f t="shared" si="1"/>
        <v>125.0532</v>
      </c>
      <c r="X29" s="22">
        <f t="shared" si="2"/>
        <v>-37.95</v>
      </c>
      <c r="Y29" s="22">
        <f t="shared" si="3"/>
        <v>125.0532</v>
      </c>
      <c r="Z29" s="22"/>
      <c r="AA29" s="22">
        <f t="array" ref="AA29">IF(ROW(AA29)&lt;=COUNTA(V:V)*2,IF(MOD(ROW(AA29),2)=1,INDEX(V:V,(ROW(AA29)+1)/2),INDEX(X:X,ROW(AA29)/2)),"")</f>
        <v>-16.55</v>
      </c>
      <c r="AB29" s="22">
        <f t="array" ref="AB29">IF(ROW(AB29)&lt;=COUNTA(W:W)*2,IF(MOD(ROW(AB29),2)=1,INDEX(W:W,(ROW(AB29)+1)/2),INDEX(Y:Y,ROW(AB29)/2)),"")</f>
        <v>125.0506</v>
      </c>
    </row>
    <row r="30" spans="1:28" s="2" customFormat="1" x14ac:dyDescent="0.25">
      <c r="A30" s="32"/>
      <c r="B30" s="20"/>
      <c r="C30" s="21"/>
      <c r="D30" s="22"/>
      <c r="E30" s="33"/>
      <c r="F30" s="34">
        <f t="shared" si="11"/>
        <v>-37.95</v>
      </c>
      <c r="G30" s="34">
        <f t="shared" si="4"/>
        <v>112.4</v>
      </c>
      <c r="H30" s="34">
        <f t="shared" si="5"/>
        <v>-39.45</v>
      </c>
      <c r="I30" s="34">
        <f t="shared" si="6"/>
        <v>112.4</v>
      </c>
      <c r="J30" s="34"/>
      <c r="K30" s="34">
        <f t="array" ref="K30">IF(ROW(K30)&lt;=COUNTA(F:F)*2,IF(MOD(ROW(K30),2)=1,INDEX(F:F,(ROW(K30)+1)/2),INDEX(H:H,ROW(K30)/2)),"")</f>
        <v>-18.05</v>
      </c>
      <c r="L30" s="34">
        <f t="array" ref="L30">IF(ROW(L30)&lt;=COUNTA(G:G)*2,IF(MOD(ROW(L30),2)=1,INDEX(G:G,(ROW(L30)+1)/2),INDEX(I:I,ROW(L30)/2)),"")</f>
        <v>111.8</v>
      </c>
      <c r="N30" s="21">
        <f t="shared" si="7"/>
        <v>-37.95</v>
      </c>
      <c r="O30" s="21">
        <f t="shared" si="8"/>
        <v>118</v>
      </c>
      <c r="P30" s="21">
        <f t="shared" si="0"/>
        <v>-39.45</v>
      </c>
      <c r="Q30" s="21">
        <f t="shared" si="9"/>
        <v>118</v>
      </c>
      <c r="R30" s="21"/>
      <c r="S30" s="21">
        <f t="array" ref="S30">IF(ROW(S30)&lt;=COUNTA(N:N)*2,IF(MOD(ROW(S30),2)=1,INDEX(N:N,(ROW(S30)+1)/2),INDEX(P:P,ROW(S30)/2)),"")</f>
        <v>-18.05</v>
      </c>
      <c r="T30" s="21">
        <f t="array" ref="T30">IF(ROW(T30)&lt;=COUNTA(O:O)*2,IF(MOD(ROW(T30),2)=1,INDEX(O:O,(ROW(T30)+1)/2),INDEX(Q:Q,ROW(T30)/2)),"")</f>
        <v>121</v>
      </c>
      <c r="V30" s="22">
        <f t="shared" si="10"/>
        <v>-37.95</v>
      </c>
      <c r="W30" s="22">
        <f t="shared" si="1"/>
        <v>125.051425</v>
      </c>
      <c r="X30" s="22">
        <f t="shared" si="2"/>
        <v>-39.45</v>
      </c>
      <c r="Y30" s="22">
        <f t="shared" si="3"/>
        <v>125.051425</v>
      </c>
      <c r="Z30" s="22"/>
      <c r="AA30" s="22">
        <f t="array" ref="AA30">IF(ROW(AA30)&lt;=COUNTA(V:V)*2,IF(MOD(ROW(AA30),2)=1,INDEX(V:V,(ROW(AA30)+1)/2),INDEX(X:X,ROW(AA30)/2)),"")</f>
        <v>-18.05</v>
      </c>
      <c r="AB30" s="22">
        <f t="array" ref="AB30">IF(ROW(AB30)&lt;=COUNTA(W:W)*2,IF(MOD(ROW(AB30),2)=1,INDEX(W:W,(ROW(AB30)+1)/2),INDEX(Y:Y,ROW(AB30)/2)),"")</f>
        <v>125.0506</v>
      </c>
    </row>
    <row r="31" spans="1:28" s="2" customFormat="1" x14ac:dyDescent="0.25">
      <c r="A31" s="32"/>
      <c r="B31" s="20"/>
      <c r="C31" s="21"/>
      <c r="D31" s="22"/>
      <c r="E31" s="33"/>
      <c r="F31" s="34">
        <f t="shared" si="11"/>
        <v>-39.45</v>
      </c>
      <c r="G31" s="34">
        <f t="shared" si="4"/>
        <v>111.8</v>
      </c>
      <c r="H31" s="34">
        <f t="shared" si="5"/>
        <v>-40.95</v>
      </c>
      <c r="I31" s="34">
        <f t="shared" si="6"/>
        <v>111.8</v>
      </c>
      <c r="J31" s="34"/>
      <c r="K31" s="34">
        <f t="array" ref="K31">IF(ROW(K31)&lt;=COUNTA(F:F)*2,IF(MOD(ROW(K31),2)=1,INDEX(F:F,(ROW(K31)+1)/2),INDEX(H:H,ROW(K31)/2)),"")</f>
        <v>-18.05</v>
      </c>
      <c r="L31" s="34">
        <f t="array" ref="L31">IF(ROW(L31)&lt;=COUNTA(G:G)*2,IF(MOD(ROW(L31),2)=1,INDEX(G:G,(ROW(L31)+1)/2),INDEX(I:I,ROW(L31)/2)),"")</f>
        <v>112.5</v>
      </c>
      <c r="N31" s="21">
        <f t="shared" si="7"/>
        <v>-39.45</v>
      </c>
      <c r="O31" s="21">
        <f t="shared" si="8"/>
        <v>116.4</v>
      </c>
      <c r="P31" s="21">
        <f t="shared" si="0"/>
        <v>-40.95</v>
      </c>
      <c r="Q31" s="21">
        <f t="shared" si="9"/>
        <v>116.4</v>
      </c>
      <c r="R31" s="21"/>
      <c r="S31" s="21">
        <f t="array" ref="S31">IF(ROW(S31)&lt;=COUNTA(N:N)*2,IF(MOD(ROW(S31),2)=1,INDEX(N:N,(ROW(S31)+1)/2),INDEX(P:P,ROW(S31)/2)),"")</f>
        <v>-18.05</v>
      </c>
      <c r="T31" s="21">
        <f t="array" ref="T31">IF(ROW(T31)&lt;=COUNTA(O:O)*2,IF(MOD(ROW(T31),2)=1,INDEX(O:O,(ROW(T31)+1)/2),INDEX(Q:Q,ROW(T31)/2)),"")</f>
        <v>119.2</v>
      </c>
      <c r="V31" s="22">
        <f t="shared" si="10"/>
        <v>-39.45</v>
      </c>
      <c r="W31" s="22">
        <f t="shared" si="1"/>
        <v>125.0552</v>
      </c>
      <c r="X31" s="22">
        <f t="shared" si="2"/>
        <v>-40.95</v>
      </c>
      <c r="Y31" s="22">
        <f t="shared" si="3"/>
        <v>125.0552</v>
      </c>
      <c r="Z31" s="22"/>
      <c r="AA31" s="22">
        <f t="array" ref="AA31">IF(ROW(AA31)&lt;=COUNTA(V:V)*2,IF(MOD(ROW(AA31),2)=1,INDEX(V:V,(ROW(AA31)+1)/2),INDEX(X:X,ROW(AA31)/2)),"")</f>
        <v>-18.05</v>
      </c>
      <c r="AB31" s="22">
        <f t="array" ref="AB31">IF(ROW(AB31)&lt;=COUNTA(W:W)*2,IF(MOD(ROW(AB31),2)=1,INDEX(W:W,(ROW(AB31)+1)/2),INDEX(Y:Y,ROW(AB31)/2)),"")</f>
        <v>125.0506</v>
      </c>
    </row>
    <row r="32" spans="1:28" s="2" customFormat="1" x14ac:dyDescent="0.25">
      <c r="A32" s="32"/>
      <c r="B32" s="20"/>
      <c r="C32" s="21"/>
      <c r="D32" s="22"/>
      <c r="E32" s="33"/>
      <c r="F32" s="34">
        <f t="shared" si="11"/>
        <v>-40.95</v>
      </c>
      <c r="G32" s="34">
        <f t="shared" si="4"/>
        <v>112.1</v>
      </c>
      <c r="H32" s="34">
        <f t="shared" si="5"/>
        <v>-42.35</v>
      </c>
      <c r="I32" s="34">
        <f t="shared" si="6"/>
        <v>112.1</v>
      </c>
      <c r="J32" s="34"/>
      <c r="K32" s="34">
        <f t="array" ref="K32">IF(ROW(K32)&lt;=COUNTA(F:F)*2,IF(MOD(ROW(K32),2)=1,INDEX(F:F,(ROW(K32)+1)/2),INDEX(H:H,ROW(K32)/2)),"")</f>
        <v>-19.55</v>
      </c>
      <c r="L32" s="34">
        <f t="array" ref="L32">IF(ROW(L32)&lt;=COUNTA(G:G)*2,IF(MOD(ROW(L32),2)=1,INDEX(G:G,(ROW(L32)+1)/2),INDEX(I:I,ROW(L32)/2)),"")</f>
        <v>112.5</v>
      </c>
      <c r="N32" s="21">
        <f t="shared" si="7"/>
        <v>-40.95</v>
      </c>
      <c r="O32" s="21">
        <f t="shared" si="8"/>
        <v>121.6</v>
      </c>
      <c r="P32" s="21">
        <f t="shared" si="0"/>
        <v>-42.35</v>
      </c>
      <c r="Q32" s="21">
        <f t="shared" si="9"/>
        <v>121.6</v>
      </c>
      <c r="R32" s="21"/>
      <c r="S32" s="21">
        <f t="array" ref="S32">IF(ROW(S32)&lt;=COUNTA(N:N)*2,IF(MOD(ROW(S32),2)=1,INDEX(N:N,(ROW(S32)+1)/2),INDEX(P:P,ROW(S32)/2)),"")</f>
        <v>-19.55</v>
      </c>
      <c r="T32" s="21">
        <f t="array" ref="T32">IF(ROW(T32)&lt;=COUNTA(O:O)*2,IF(MOD(ROW(T32),2)=1,INDEX(O:O,(ROW(T32)+1)/2),INDEX(Q:Q,ROW(T32)/2)),"")</f>
        <v>119.2</v>
      </c>
      <c r="V32" s="22">
        <f t="shared" si="10"/>
        <v>-40.95</v>
      </c>
      <c r="W32" s="22">
        <f t="shared" si="1"/>
        <v>125.0552</v>
      </c>
      <c r="X32" s="22">
        <f t="shared" si="2"/>
        <v>-42.35</v>
      </c>
      <c r="Y32" s="22">
        <f t="shared" si="3"/>
        <v>125.0552</v>
      </c>
      <c r="Z32" s="22"/>
      <c r="AA32" s="22">
        <f t="array" ref="AA32">IF(ROW(AA32)&lt;=COUNTA(V:V)*2,IF(MOD(ROW(AA32),2)=1,INDEX(V:V,(ROW(AA32)+1)/2),INDEX(X:X,ROW(AA32)/2)),"")</f>
        <v>-19.55</v>
      </c>
      <c r="AB32" s="22">
        <f t="array" ref="AB32">IF(ROW(AB32)&lt;=COUNTA(W:W)*2,IF(MOD(ROW(AB32),2)=1,INDEX(W:W,(ROW(AB32)+1)/2),INDEX(Y:Y,ROW(AB32)/2)),"")</f>
        <v>125.0506</v>
      </c>
    </row>
    <row r="33" spans="1:28" s="2" customFormat="1" x14ac:dyDescent="0.25">
      <c r="A33" s="32"/>
      <c r="B33" s="20"/>
      <c r="C33" s="21"/>
      <c r="D33" s="22"/>
      <c r="E33" s="33"/>
      <c r="F33" s="34">
        <f t="shared" si="11"/>
        <v>-42.35</v>
      </c>
      <c r="G33" s="34">
        <f t="shared" si="4"/>
        <v>111.9</v>
      </c>
      <c r="H33" s="34">
        <f t="shared" si="5"/>
        <v>-43.95</v>
      </c>
      <c r="I33" s="34">
        <f t="shared" si="6"/>
        <v>111.9</v>
      </c>
      <c r="J33" s="34"/>
      <c r="K33" s="34">
        <f t="array" ref="K33">IF(ROW(K33)&lt;=COUNTA(F:F)*2,IF(MOD(ROW(K33),2)=1,INDEX(F:F,(ROW(K33)+1)/2),INDEX(H:H,ROW(K33)/2)),"")</f>
        <v>-19.55</v>
      </c>
      <c r="L33" s="34">
        <f t="array" ref="L33">IF(ROW(L33)&lt;=COUNTA(G:G)*2,IF(MOD(ROW(L33),2)=1,INDEX(G:G,(ROW(L33)+1)/2),INDEX(I:I,ROW(L33)/2)),"")</f>
        <v>111.5</v>
      </c>
      <c r="N33" s="21">
        <f t="shared" si="7"/>
        <v>-42.35</v>
      </c>
      <c r="O33" s="21">
        <f t="shared" si="8"/>
        <v>119.5</v>
      </c>
      <c r="P33" s="21">
        <f t="shared" si="0"/>
        <v>-43.95</v>
      </c>
      <c r="Q33" s="21">
        <f t="shared" si="9"/>
        <v>119.5</v>
      </c>
      <c r="R33" s="21"/>
      <c r="S33" s="21">
        <f t="array" ref="S33">IF(ROW(S33)&lt;=COUNTA(N:N)*2,IF(MOD(ROW(S33),2)=1,INDEX(N:N,(ROW(S33)+1)/2),INDEX(P:P,ROW(S33)/2)),"")</f>
        <v>-19.55</v>
      </c>
      <c r="T33" s="21">
        <f t="array" ref="T33">IF(ROW(T33)&lt;=COUNTA(O:O)*2,IF(MOD(ROW(T33),2)=1,INDEX(O:O,(ROW(T33)+1)/2),INDEX(Q:Q,ROW(T33)/2)),"")</f>
        <v>118</v>
      </c>
      <c r="V33" s="22">
        <f t="shared" si="10"/>
        <v>-42.35</v>
      </c>
      <c r="W33" s="22">
        <f t="shared" si="1"/>
        <v>125.13435</v>
      </c>
      <c r="X33" s="22">
        <f t="shared" si="2"/>
        <v>-43.95</v>
      </c>
      <c r="Y33" s="22">
        <f t="shared" si="3"/>
        <v>125.13435</v>
      </c>
      <c r="Z33" s="22"/>
      <c r="AA33" s="22">
        <f t="array" ref="AA33">IF(ROW(AA33)&lt;=COUNTA(V:V)*2,IF(MOD(ROW(AA33),2)=1,INDEX(V:V,(ROW(AA33)+1)/2),INDEX(X:X,ROW(AA33)/2)),"")</f>
        <v>-19.55</v>
      </c>
      <c r="AB33" s="22">
        <f t="array" ref="AB33">IF(ROW(AB33)&lt;=COUNTA(W:W)*2,IF(MOD(ROW(AB33),2)=1,INDEX(W:W,(ROW(AB33)+1)/2),INDEX(Y:Y,ROW(AB33)/2)),"")</f>
        <v>125.05465</v>
      </c>
    </row>
    <row r="34" spans="1:28" s="2" customFormat="1" x14ac:dyDescent="0.25">
      <c r="A34" s="32"/>
      <c r="B34" s="20"/>
      <c r="C34" s="21"/>
      <c r="D34" s="22"/>
      <c r="E34" s="33"/>
      <c r="F34" s="34">
        <f t="shared" si="11"/>
        <v>-43.95</v>
      </c>
      <c r="G34" s="34">
        <f t="shared" si="4"/>
        <v>112.5</v>
      </c>
      <c r="H34" s="34">
        <f t="shared" si="5"/>
        <v>-45.45</v>
      </c>
      <c r="I34" s="34">
        <f t="shared" si="6"/>
        <v>112.5</v>
      </c>
      <c r="J34" s="34"/>
      <c r="K34" s="34">
        <f t="array" ref="K34">IF(ROW(K34)&lt;=COUNTA(F:F)*2,IF(MOD(ROW(K34),2)=1,INDEX(F:F,(ROW(K34)+1)/2),INDEX(H:H,ROW(K34)/2)),"")</f>
        <v>-21.05</v>
      </c>
      <c r="L34" s="34">
        <f t="array" ref="L34">IF(ROW(L34)&lt;=COUNTA(G:G)*2,IF(MOD(ROW(L34),2)=1,INDEX(G:G,(ROW(L34)+1)/2),INDEX(I:I,ROW(L34)/2)),"")</f>
        <v>111.5</v>
      </c>
      <c r="N34" s="21">
        <f t="shared" si="7"/>
        <v>-43.95</v>
      </c>
      <c r="O34" s="21">
        <f t="shared" si="8"/>
        <v>118</v>
      </c>
      <c r="P34" s="21">
        <f t="shared" si="0"/>
        <v>-45.45</v>
      </c>
      <c r="Q34" s="21">
        <f t="shared" si="9"/>
        <v>118</v>
      </c>
      <c r="R34" s="21"/>
      <c r="S34" s="21">
        <f t="array" ref="S34">IF(ROW(S34)&lt;=COUNTA(N:N)*2,IF(MOD(ROW(S34),2)=1,INDEX(N:N,(ROW(S34)+1)/2),INDEX(P:P,ROW(S34)/2)),"")</f>
        <v>-21.05</v>
      </c>
      <c r="T34" s="21">
        <f t="array" ref="T34">IF(ROW(T34)&lt;=COUNTA(O:O)*2,IF(MOD(ROW(T34),2)=1,INDEX(O:O,(ROW(T34)+1)/2),INDEX(Q:Q,ROW(T34)/2)),"")</f>
        <v>118</v>
      </c>
      <c r="V34" s="22">
        <f t="shared" si="10"/>
        <v>-43.95</v>
      </c>
      <c r="W34" s="22">
        <f t="shared" si="1"/>
        <v>125.1343575</v>
      </c>
      <c r="X34" s="22">
        <f t="shared" si="2"/>
        <v>-45.45</v>
      </c>
      <c r="Y34" s="22">
        <f t="shared" si="3"/>
        <v>125.1343575</v>
      </c>
      <c r="Z34" s="22"/>
      <c r="AA34" s="22">
        <f t="array" ref="AA34">IF(ROW(AA34)&lt;=COUNTA(V:V)*2,IF(MOD(ROW(AA34),2)=1,INDEX(V:V,(ROW(AA34)+1)/2),INDEX(X:X,ROW(AA34)/2)),"")</f>
        <v>-21.05</v>
      </c>
      <c r="AB34" s="22">
        <f t="array" ref="AB34">IF(ROW(AB34)&lt;=COUNTA(W:W)*2,IF(MOD(ROW(AB34),2)=1,INDEX(W:W,(ROW(AB34)+1)/2),INDEX(Y:Y,ROW(AB34)/2)),"")</f>
        <v>125.05465</v>
      </c>
    </row>
    <row r="35" spans="1:28" s="2" customFormat="1" x14ac:dyDescent="0.25">
      <c r="A35" s="32"/>
      <c r="B35" s="20"/>
      <c r="C35" s="21"/>
      <c r="D35" s="22"/>
      <c r="E35" s="33"/>
      <c r="F35" s="34">
        <f t="shared" si="11"/>
        <v>-45.45</v>
      </c>
      <c r="G35" s="34">
        <f t="shared" si="4"/>
        <v>112.5</v>
      </c>
      <c r="H35" s="34">
        <f t="shared" si="5"/>
        <v>-46.95</v>
      </c>
      <c r="I35" s="34">
        <f t="shared" si="6"/>
        <v>112.5</v>
      </c>
      <c r="J35" s="34"/>
      <c r="K35" s="34">
        <f t="array" ref="K35">IF(ROW(K35)&lt;=COUNTA(F:F)*2,IF(MOD(ROW(K35),2)=1,INDEX(F:F,(ROW(K35)+1)/2),INDEX(H:H,ROW(K35)/2)),"")</f>
        <v>-21.05</v>
      </c>
      <c r="L35" s="34">
        <f t="array" ref="L35">IF(ROW(L35)&lt;=COUNTA(G:G)*2,IF(MOD(ROW(L35),2)=1,INDEX(G:G,(ROW(L35)+1)/2),INDEX(I:I,ROW(L35)/2)),"")</f>
        <v>112.5</v>
      </c>
      <c r="N35" s="21">
        <f t="shared" si="7"/>
        <v>-45.45</v>
      </c>
      <c r="O35" s="21">
        <f t="shared" si="8"/>
        <v>118.9</v>
      </c>
      <c r="P35" s="21">
        <f t="shared" si="0"/>
        <v>-46.95</v>
      </c>
      <c r="Q35" s="21">
        <f t="shared" si="9"/>
        <v>118.9</v>
      </c>
      <c r="R35" s="21"/>
      <c r="S35" s="21">
        <f t="array" ref="S35">IF(ROW(S35)&lt;=COUNTA(N:N)*2,IF(MOD(ROW(S35),2)=1,INDEX(N:N,(ROW(S35)+1)/2),INDEX(P:P,ROW(S35)/2)),"")</f>
        <v>-21.05</v>
      </c>
      <c r="T35" s="21">
        <f t="array" ref="T35">IF(ROW(T35)&lt;=COUNTA(O:O)*2,IF(MOD(ROW(T35),2)=1,INDEX(O:O,(ROW(T35)+1)/2),INDEX(Q:Q,ROW(T35)/2)),"")</f>
        <v>119.7</v>
      </c>
      <c r="V35" s="22">
        <f t="shared" si="10"/>
        <v>-45.45</v>
      </c>
      <c r="W35" s="22">
        <f t="shared" si="1"/>
        <v>125.12695</v>
      </c>
      <c r="X35" s="22">
        <f t="shared" si="2"/>
        <v>-46.95</v>
      </c>
      <c r="Y35" s="22">
        <f t="shared" si="3"/>
        <v>125.12695</v>
      </c>
      <c r="Z35" s="22"/>
      <c r="AA35" s="22">
        <f t="array" ref="AA35">IF(ROW(AA35)&lt;=COUNTA(V:V)*2,IF(MOD(ROW(AA35),2)=1,INDEX(V:V,(ROW(AA35)+1)/2),INDEX(X:X,ROW(AA35)/2)),"")</f>
        <v>-21.05</v>
      </c>
      <c r="AB35" s="22">
        <f t="array" ref="AB35">IF(ROW(AB35)&lt;=COUNTA(W:W)*2,IF(MOD(ROW(AB35),2)=1,INDEX(W:W,(ROW(AB35)+1)/2),INDEX(Y:Y,ROW(AB35)/2)),"")</f>
        <v>125.051875</v>
      </c>
    </row>
    <row r="36" spans="1:28" s="2" customFormat="1" x14ac:dyDescent="0.25">
      <c r="A36" s="32"/>
      <c r="B36" s="20"/>
      <c r="C36" s="21"/>
      <c r="D36" s="22"/>
      <c r="E36" s="33"/>
      <c r="F36" s="34">
        <f t="shared" si="11"/>
        <v>-46.95</v>
      </c>
      <c r="G36" s="34">
        <f t="shared" si="4"/>
        <v>112.5</v>
      </c>
      <c r="H36" s="34">
        <f t="shared" si="5"/>
        <v>-48.45</v>
      </c>
      <c r="I36" s="34">
        <f t="shared" si="6"/>
        <v>112.5</v>
      </c>
      <c r="J36" s="34"/>
      <c r="K36" s="34">
        <f t="array" ref="K36">IF(ROW(K36)&lt;=COUNTA(F:F)*2,IF(MOD(ROW(K36),2)=1,INDEX(F:F,(ROW(K36)+1)/2),INDEX(H:H,ROW(K36)/2)),"")</f>
        <v>-22.55</v>
      </c>
      <c r="L36" s="34">
        <f t="array" ref="L36">IF(ROW(L36)&lt;=COUNTA(G:G)*2,IF(MOD(ROW(L36),2)=1,INDEX(G:G,(ROW(L36)+1)/2),INDEX(I:I,ROW(L36)/2)),"")</f>
        <v>112.5</v>
      </c>
      <c r="N36" s="21">
        <f t="shared" si="7"/>
        <v>-46.95</v>
      </c>
      <c r="O36" s="21">
        <f t="shared" si="8"/>
        <v>122.2</v>
      </c>
      <c r="P36" s="21">
        <f t="shared" si="0"/>
        <v>-48.45</v>
      </c>
      <c r="Q36" s="21">
        <f t="shared" si="9"/>
        <v>122.2</v>
      </c>
      <c r="R36" s="21"/>
      <c r="S36" s="21">
        <f t="array" ref="S36">IF(ROW(S36)&lt;=COUNTA(N:N)*2,IF(MOD(ROW(S36),2)=1,INDEX(N:N,(ROW(S36)+1)/2),INDEX(P:P,ROW(S36)/2)),"")</f>
        <v>-22.55</v>
      </c>
      <c r="T36" s="21">
        <f t="array" ref="T36">IF(ROW(T36)&lt;=COUNTA(O:O)*2,IF(MOD(ROW(T36),2)=1,INDEX(O:O,(ROW(T36)+1)/2),INDEX(Q:Q,ROW(T36)/2)),"")</f>
        <v>119.7</v>
      </c>
      <c r="V36" s="22">
        <f t="shared" si="10"/>
        <v>-46.95</v>
      </c>
      <c r="W36" s="22">
        <f t="shared" si="1"/>
        <v>124.7943</v>
      </c>
      <c r="X36" s="22">
        <f t="shared" si="2"/>
        <v>-48.45</v>
      </c>
      <c r="Y36" s="22">
        <f t="shared" si="3"/>
        <v>124.7943</v>
      </c>
      <c r="Z36" s="22"/>
      <c r="AA36" s="22">
        <f t="array" ref="AA36">IF(ROW(AA36)&lt;=COUNTA(V:V)*2,IF(MOD(ROW(AA36),2)=1,INDEX(V:V,(ROW(AA36)+1)/2),INDEX(X:X,ROW(AA36)/2)),"")</f>
        <v>-22.55</v>
      </c>
      <c r="AB36" s="22">
        <f t="array" ref="AB36">IF(ROW(AB36)&lt;=COUNTA(W:W)*2,IF(MOD(ROW(AB36),2)=1,INDEX(W:W,(ROW(AB36)+1)/2),INDEX(Y:Y,ROW(AB36)/2)),"")</f>
        <v>125.051875</v>
      </c>
    </row>
    <row r="37" spans="1:28" s="2" customFormat="1" x14ac:dyDescent="0.25">
      <c r="A37" s="32"/>
      <c r="B37" s="20"/>
      <c r="C37" s="21"/>
      <c r="D37" s="22"/>
      <c r="E37" s="33"/>
      <c r="F37" s="34">
        <f t="shared" si="11"/>
        <v>-48.45</v>
      </c>
      <c r="G37" s="34">
        <f t="shared" si="4"/>
        <v>112.5</v>
      </c>
      <c r="H37" s="34">
        <f t="shared" si="5"/>
        <v>-49.95</v>
      </c>
      <c r="I37" s="34">
        <f t="shared" si="6"/>
        <v>112.5</v>
      </c>
      <c r="J37" s="34"/>
      <c r="K37" s="34">
        <f t="array" ref="K37">IF(ROW(K37)&lt;=COUNTA(F:F)*2,IF(MOD(ROW(K37),2)=1,INDEX(F:F,(ROW(K37)+1)/2),INDEX(H:H,ROW(K37)/2)),"")</f>
        <v>-22.55</v>
      </c>
      <c r="L37" s="34">
        <f t="array" ref="L37">IF(ROW(L37)&lt;=COUNTA(G:G)*2,IF(MOD(ROW(L37),2)=1,INDEX(G:G,(ROW(L37)+1)/2),INDEX(I:I,ROW(L37)/2)),"")</f>
        <v>112.4</v>
      </c>
      <c r="N37" s="21">
        <f t="shared" si="7"/>
        <v>-48.45</v>
      </c>
      <c r="O37" s="21">
        <f t="shared" si="8"/>
        <v>121.4</v>
      </c>
      <c r="P37" s="21">
        <f t="shared" si="0"/>
        <v>-49.95</v>
      </c>
      <c r="Q37" s="21">
        <f t="shared" si="9"/>
        <v>121.4</v>
      </c>
      <c r="R37" s="21"/>
      <c r="S37" s="21">
        <f t="array" ref="S37">IF(ROW(S37)&lt;=COUNTA(N:N)*2,IF(MOD(ROW(S37),2)=1,INDEX(N:N,(ROW(S37)+1)/2),INDEX(P:P,ROW(S37)/2)),"")</f>
        <v>-22.55</v>
      </c>
      <c r="T37" s="21">
        <f t="array" ref="T37">IF(ROW(T37)&lt;=COUNTA(O:O)*2,IF(MOD(ROW(T37),2)=1,INDEX(O:O,(ROW(T37)+1)/2),INDEX(Q:Q,ROW(T37)/2)),"")</f>
        <v>117</v>
      </c>
      <c r="V37" s="22">
        <f t="shared" si="10"/>
        <v>-48.45</v>
      </c>
      <c r="W37" s="22">
        <f t="shared" si="1"/>
        <v>125.173875</v>
      </c>
      <c r="X37" s="22">
        <f t="shared" si="2"/>
        <v>-49.95</v>
      </c>
      <c r="Y37" s="22">
        <f t="shared" si="3"/>
        <v>125.173875</v>
      </c>
      <c r="Z37" s="22"/>
      <c r="AA37" s="22">
        <f t="array" ref="AA37">IF(ROW(AA37)&lt;=COUNTA(V:V)*2,IF(MOD(ROW(AA37),2)=1,INDEX(V:V,(ROW(AA37)+1)/2),INDEX(X:X,ROW(AA37)/2)),"")</f>
        <v>-22.55</v>
      </c>
      <c r="AB37" s="22">
        <f t="array" ref="AB37">IF(ROW(AB37)&lt;=COUNTA(W:W)*2,IF(MOD(ROW(AB37),2)=1,INDEX(W:W,(ROW(AB37)+1)/2),INDEX(Y:Y,ROW(AB37)/2)),"")</f>
        <v>125.0532</v>
      </c>
    </row>
    <row r="38" spans="1:28" s="2" customFormat="1" x14ac:dyDescent="0.25">
      <c r="A38" s="32"/>
      <c r="B38" s="20"/>
      <c r="C38" s="21"/>
      <c r="D38" s="22"/>
      <c r="E38" s="33"/>
      <c r="F38" s="34">
        <f t="shared" si="11"/>
        <v>-49.95</v>
      </c>
      <c r="G38" s="34">
        <f t="shared" si="4"/>
        <v>112.5</v>
      </c>
      <c r="H38" s="34">
        <f t="shared" si="5"/>
        <v>-51.45</v>
      </c>
      <c r="I38" s="34">
        <f t="shared" si="6"/>
        <v>112.5</v>
      </c>
      <c r="J38" s="34"/>
      <c r="K38" s="34">
        <f t="array" ref="K38">IF(ROW(K38)&lt;=COUNTA(F:F)*2,IF(MOD(ROW(K38),2)=1,INDEX(F:F,(ROW(K38)+1)/2),INDEX(H:H,ROW(K38)/2)),"")</f>
        <v>-24.05</v>
      </c>
      <c r="L38" s="34">
        <f t="array" ref="L38">IF(ROW(L38)&lt;=COUNTA(G:G)*2,IF(MOD(ROW(L38),2)=1,INDEX(G:G,(ROW(L38)+1)/2),INDEX(I:I,ROW(L38)/2)),"")</f>
        <v>112.4</v>
      </c>
      <c r="N38" s="21">
        <f t="shared" si="7"/>
        <v>-49.95</v>
      </c>
      <c r="O38" s="21">
        <f t="shared" si="8"/>
        <v>119</v>
      </c>
      <c r="P38" s="21">
        <f t="shared" si="0"/>
        <v>-51.45</v>
      </c>
      <c r="Q38" s="21">
        <f t="shared" si="9"/>
        <v>119</v>
      </c>
      <c r="R38" s="21"/>
      <c r="S38" s="21">
        <f t="array" ref="S38">IF(ROW(S38)&lt;=COUNTA(N:N)*2,IF(MOD(ROW(S38),2)=1,INDEX(N:N,(ROW(S38)+1)/2),INDEX(P:P,ROW(S38)/2)),"")</f>
        <v>-24.05</v>
      </c>
      <c r="T38" s="21">
        <f t="array" ref="T38">IF(ROW(T38)&lt;=COUNTA(O:O)*2,IF(MOD(ROW(T38),2)=1,INDEX(O:O,(ROW(T38)+1)/2),INDEX(Q:Q,ROW(T38)/2)),"")</f>
        <v>117</v>
      </c>
      <c r="V38" s="22">
        <f t="shared" si="10"/>
        <v>-49.95</v>
      </c>
      <c r="W38" s="22">
        <f t="shared" si="1"/>
        <v>125.13385</v>
      </c>
      <c r="X38" s="22">
        <f t="shared" si="2"/>
        <v>-51.45</v>
      </c>
      <c r="Y38" s="22">
        <f t="shared" si="3"/>
        <v>125.13385</v>
      </c>
      <c r="Z38" s="22"/>
      <c r="AA38" s="22">
        <f t="array" ref="AA38">IF(ROW(AA38)&lt;=COUNTA(V:V)*2,IF(MOD(ROW(AA38),2)=1,INDEX(V:V,(ROW(AA38)+1)/2),INDEX(X:X,ROW(AA38)/2)),"")</f>
        <v>-24.05</v>
      </c>
      <c r="AB38" s="22">
        <f t="array" ref="AB38">IF(ROW(AB38)&lt;=COUNTA(W:W)*2,IF(MOD(ROW(AB38),2)=1,INDEX(W:W,(ROW(AB38)+1)/2),INDEX(Y:Y,ROW(AB38)/2)),"")</f>
        <v>125.0532</v>
      </c>
    </row>
    <row r="39" spans="1:28" s="2" customFormat="1" x14ac:dyDescent="0.25">
      <c r="A39" s="32"/>
      <c r="B39" s="20"/>
      <c r="C39" s="21"/>
      <c r="D39" s="22"/>
      <c r="E39" s="33"/>
      <c r="F39" s="34">
        <f t="shared" si="11"/>
        <v>-51.45</v>
      </c>
      <c r="G39" s="34">
        <f t="shared" si="4"/>
        <v>112.5</v>
      </c>
      <c r="H39" s="34">
        <f t="shared" si="5"/>
        <v>-52.95</v>
      </c>
      <c r="I39" s="34">
        <f t="shared" si="6"/>
        <v>112.5</v>
      </c>
      <c r="J39" s="34"/>
      <c r="K39" s="34">
        <f t="array" ref="K39">IF(ROW(K39)&lt;=COUNTA(F:F)*2,IF(MOD(ROW(K39),2)=1,INDEX(F:F,(ROW(K39)+1)/2),INDEX(H:H,ROW(K39)/2)),"")</f>
        <v>-24.05</v>
      </c>
      <c r="L39" s="34">
        <f t="array" ref="L39">IF(ROW(L39)&lt;=COUNTA(G:G)*2,IF(MOD(ROW(L39),2)=1,INDEX(G:G,(ROW(L39)+1)/2),INDEX(I:I,ROW(L39)/2)),"")</f>
        <v>112.3</v>
      </c>
      <c r="N39" s="21">
        <f t="shared" si="7"/>
        <v>-51.45</v>
      </c>
      <c r="O39" s="21">
        <f t="shared" si="8"/>
        <v>121.4</v>
      </c>
      <c r="P39" s="21">
        <f t="shared" si="0"/>
        <v>-52.95</v>
      </c>
      <c r="Q39" s="21">
        <f t="shared" si="9"/>
        <v>121.4</v>
      </c>
      <c r="R39" s="21"/>
      <c r="S39" s="21">
        <f t="array" ref="S39">IF(ROW(S39)&lt;=COUNTA(N:N)*2,IF(MOD(ROW(S39),2)=1,INDEX(N:N,(ROW(S39)+1)/2),INDEX(P:P,ROW(S39)/2)),"")</f>
        <v>-24.05</v>
      </c>
      <c r="T39" s="21">
        <f t="array" ref="T39">IF(ROW(T39)&lt;=COUNTA(O:O)*2,IF(MOD(ROW(T39),2)=1,INDEX(O:O,(ROW(T39)+1)/2),INDEX(Q:Q,ROW(T39)/2)),"")</f>
        <v>122.2</v>
      </c>
      <c r="V39" s="22">
        <f t="shared" si="10"/>
        <v>-51.45</v>
      </c>
      <c r="W39" s="22">
        <f t="shared" si="1"/>
        <v>125.06875</v>
      </c>
      <c r="X39" s="22">
        <f t="shared" si="2"/>
        <v>-52.95</v>
      </c>
      <c r="Y39" s="22">
        <f t="shared" si="3"/>
        <v>125.06875</v>
      </c>
      <c r="Z39" s="22"/>
      <c r="AA39" s="22">
        <f t="array" ref="AA39">IF(ROW(AA39)&lt;=COUNTA(V:V)*2,IF(MOD(ROW(AA39),2)=1,INDEX(V:V,(ROW(AA39)+1)/2),INDEX(X:X,ROW(AA39)/2)),"")</f>
        <v>-24.05</v>
      </c>
      <c r="AB39" s="22">
        <f t="array" ref="AB39">IF(ROW(AB39)&lt;=COUNTA(W:W)*2,IF(MOD(ROW(AB39),2)=1,INDEX(W:W,(ROW(AB39)+1)/2),INDEX(Y:Y,ROW(AB39)/2)),"")</f>
        <v>125.0532</v>
      </c>
    </row>
    <row r="40" spans="1:28" s="2" customFormat="1" x14ac:dyDescent="0.25">
      <c r="A40" s="32"/>
      <c r="B40" s="20"/>
      <c r="C40" s="21"/>
      <c r="D40" s="22"/>
      <c r="E40" s="33"/>
      <c r="F40" s="34">
        <f t="shared" si="11"/>
        <v>-52.95</v>
      </c>
      <c r="G40" s="34">
        <f t="shared" si="4"/>
        <v>111.8</v>
      </c>
      <c r="H40" s="34">
        <f t="shared" si="5"/>
        <v>-54.45</v>
      </c>
      <c r="I40" s="34">
        <f t="shared" si="6"/>
        <v>111.8</v>
      </c>
      <c r="J40" s="34"/>
      <c r="K40" s="34">
        <f t="array" ref="K40">IF(ROW(K40)&lt;=COUNTA(F:F)*2,IF(MOD(ROW(K40),2)=1,INDEX(F:F,(ROW(K40)+1)/2),INDEX(H:H,ROW(K40)/2)),"")</f>
        <v>-24.9</v>
      </c>
      <c r="L40" s="34">
        <f t="array" ref="L40">IF(ROW(L40)&lt;=COUNTA(G:G)*2,IF(MOD(ROW(L40),2)=1,INDEX(G:G,(ROW(L40)+1)/2),INDEX(I:I,ROW(L40)/2)),"")</f>
        <v>112.3</v>
      </c>
      <c r="N40" s="21">
        <f t="shared" si="7"/>
        <v>-52.95</v>
      </c>
      <c r="O40" s="21">
        <f t="shared" si="8"/>
        <v>121.1</v>
      </c>
      <c r="P40" s="21">
        <f t="shared" si="0"/>
        <v>-54.45</v>
      </c>
      <c r="Q40" s="21">
        <f t="shared" si="9"/>
        <v>121.1</v>
      </c>
      <c r="R40" s="21"/>
      <c r="S40" s="21">
        <f t="array" ref="S40">IF(ROW(S40)&lt;=COUNTA(N:N)*2,IF(MOD(ROW(S40),2)=1,INDEX(N:N,(ROW(S40)+1)/2),INDEX(P:P,ROW(S40)/2)),"")</f>
        <v>-24.9</v>
      </c>
      <c r="T40" s="21">
        <f t="array" ref="T40">IF(ROW(T40)&lt;=COUNTA(O:O)*2,IF(MOD(ROW(T40),2)=1,INDEX(O:O,(ROW(T40)+1)/2),INDEX(Q:Q,ROW(T40)/2)),"")</f>
        <v>122.2</v>
      </c>
      <c r="V40" s="22">
        <f t="shared" si="10"/>
        <v>-52.95</v>
      </c>
      <c r="W40" s="22">
        <f t="shared" si="1"/>
        <v>125.1027</v>
      </c>
      <c r="X40" s="22">
        <f t="shared" si="2"/>
        <v>-54.45</v>
      </c>
      <c r="Y40" s="22">
        <f t="shared" si="3"/>
        <v>125.1027</v>
      </c>
      <c r="Z40" s="22"/>
      <c r="AA40" s="22">
        <f t="array" ref="AA40">IF(ROW(AA40)&lt;=COUNTA(V:V)*2,IF(MOD(ROW(AA40),2)=1,INDEX(V:V,(ROW(AA40)+1)/2),INDEX(X:X,ROW(AA40)/2)),"")</f>
        <v>-24.9</v>
      </c>
      <c r="AB40" s="22">
        <f t="array" ref="AB40">IF(ROW(AB40)&lt;=COUNTA(W:W)*2,IF(MOD(ROW(AB40),2)=1,INDEX(W:W,(ROW(AB40)+1)/2),INDEX(Y:Y,ROW(AB40)/2)),"")</f>
        <v>125.0532</v>
      </c>
    </row>
    <row r="41" spans="1:28" s="2" customFormat="1" x14ac:dyDescent="0.25">
      <c r="A41" s="32"/>
      <c r="B41" s="20"/>
      <c r="C41" s="21"/>
      <c r="D41" s="22"/>
      <c r="E41" s="33"/>
      <c r="F41" s="34">
        <f t="shared" si="11"/>
        <v>-54.45</v>
      </c>
      <c r="G41" s="34">
        <f t="shared" si="4"/>
        <v>112.4</v>
      </c>
      <c r="H41" s="34">
        <f t="shared" si="5"/>
        <v>-55.95</v>
      </c>
      <c r="I41" s="34">
        <f t="shared" si="6"/>
        <v>112.4</v>
      </c>
      <c r="J41" s="34"/>
      <c r="K41" s="34">
        <f t="array" ref="K41">IF(ROW(K41)&lt;=COUNTA(F:F)*2,IF(MOD(ROW(K41),2)=1,INDEX(F:F,(ROW(K41)+1)/2),INDEX(H:H,ROW(K41)/2)),"")</f>
        <v>-24.9</v>
      </c>
      <c r="L41" s="34">
        <f t="array" ref="L41">IF(ROW(L41)&lt;=COUNTA(G:G)*2,IF(MOD(ROW(L41),2)=1,INDEX(G:G,(ROW(L41)+1)/2),INDEX(I:I,ROW(L41)/2)),"")</f>
        <v>112.4</v>
      </c>
      <c r="N41" s="21">
        <f t="shared" si="7"/>
        <v>-54.45</v>
      </c>
      <c r="O41" s="21">
        <f t="shared" si="8"/>
        <v>119.2</v>
      </c>
      <c r="P41" s="21">
        <f t="shared" si="0"/>
        <v>-55.95</v>
      </c>
      <c r="Q41" s="21">
        <f t="shared" si="9"/>
        <v>119.2</v>
      </c>
      <c r="R41" s="21"/>
      <c r="S41" s="21">
        <f t="array" ref="S41">IF(ROW(S41)&lt;=COUNTA(N:N)*2,IF(MOD(ROW(S41),2)=1,INDEX(N:N,(ROW(S41)+1)/2),INDEX(P:P,ROW(S41)/2)),"")</f>
        <v>-24.9</v>
      </c>
      <c r="T41" s="21">
        <f t="array" ref="T41">IF(ROW(T41)&lt;=COUNTA(O:O)*2,IF(MOD(ROW(T41),2)=1,INDEX(O:O,(ROW(T41)+1)/2),INDEX(Q:Q,ROW(T41)/2)),"")</f>
        <v>117.4</v>
      </c>
      <c r="V41" s="22">
        <f t="shared" si="10"/>
        <v>-54.45</v>
      </c>
      <c r="W41" s="22">
        <f t="shared" si="1"/>
        <v>125.137075</v>
      </c>
      <c r="X41" s="22">
        <f t="shared" si="2"/>
        <v>-55.95</v>
      </c>
      <c r="Y41" s="22">
        <f t="shared" si="3"/>
        <v>125.137075</v>
      </c>
      <c r="Z41" s="22"/>
      <c r="AA41" s="22">
        <f t="array" ref="AA41">IF(ROW(AA41)&lt;=COUNTA(V:V)*2,IF(MOD(ROW(AA41),2)=1,INDEX(V:V,(ROW(AA41)+1)/2),INDEX(X:X,ROW(AA41)/2)),"")</f>
        <v>-24.9</v>
      </c>
      <c r="AB41" s="22">
        <f t="array" ref="AB41">IF(ROW(AB41)&lt;=COUNTA(W:W)*2,IF(MOD(ROW(AB41),2)=1,INDEX(W:W,(ROW(AB41)+1)/2),INDEX(Y:Y,ROW(AB41)/2)),"")</f>
        <v>125.0552</v>
      </c>
    </row>
    <row r="42" spans="1:28" s="2" customFormat="1" x14ac:dyDescent="0.25">
      <c r="A42" s="32"/>
      <c r="B42" s="20"/>
      <c r="C42" s="21"/>
      <c r="D42" s="22"/>
      <c r="E42" s="33"/>
      <c r="F42" s="34">
        <f t="shared" si="11"/>
        <v>-55.95</v>
      </c>
      <c r="G42" s="34">
        <f t="shared" si="4"/>
        <v>112</v>
      </c>
      <c r="H42" s="34">
        <f t="shared" si="5"/>
        <v>-57.45</v>
      </c>
      <c r="I42" s="34">
        <f t="shared" si="6"/>
        <v>112</v>
      </c>
      <c r="J42" s="34"/>
      <c r="K42" s="34">
        <f t="array" ref="K42">IF(ROW(K42)&lt;=COUNTA(F:F)*2,IF(MOD(ROW(K42),2)=1,INDEX(F:F,(ROW(K42)+1)/2),INDEX(H:H,ROW(K42)/2)),"")</f>
        <v>-26.05</v>
      </c>
      <c r="L42" s="34">
        <f t="array" ref="L42">IF(ROW(L42)&lt;=COUNTA(G:G)*2,IF(MOD(ROW(L42),2)=1,INDEX(G:G,(ROW(L42)+1)/2),INDEX(I:I,ROW(L42)/2)),"")</f>
        <v>112.4</v>
      </c>
      <c r="N42" s="21">
        <f t="shared" si="7"/>
        <v>-55.95</v>
      </c>
      <c r="O42" s="21">
        <f t="shared" si="8"/>
        <v>120.6</v>
      </c>
      <c r="P42" s="21">
        <f t="shared" si="0"/>
        <v>-57.45</v>
      </c>
      <c r="Q42" s="21">
        <f t="shared" si="9"/>
        <v>120.6</v>
      </c>
      <c r="R42" s="21"/>
      <c r="S42" s="21">
        <f t="array" ref="S42">IF(ROW(S42)&lt;=COUNTA(N:N)*2,IF(MOD(ROW(S42),2)=1,INDEX(N:N,(ROW(S42)+1)/2),INDEX(P:P,ROW(S42)/2)),"")</f>
        <v>-26.05</v>
      </c>
      <c r="T42" s="21">
        <f t="array" ref="T42">IF(ROW(T42)&lt;=COUNTA(O:O)*2,IF(MOD(ROW(T42),2)=1,INDEX(O:O,(ROW(T42)+1)/2),INDEX(Q:Q,ROW(T42)/2)),"")</f>
        <v>117.4</v>
      </c>
      <c r="V42" s="22">
        <f t="shared" si="10"/>
        <v>-55.95</v>
      </c>
      <c r="W42" s="22">
        <f t="shared" si="1"/>
        <v>125.154675</v>
      </c>
      <c r="X42" s="22">
        <f t="shared" si="2"/>
        <v>-57.45</v>
      </c>
      <c r="Y42" s="22">
        <f t="shared" si="3"/>
        <v>125.154675</v>
      </c>
      <c r="Z42" s="22"/>
      <c r="AA42" s="22">
        <f t="array" ref="AA42">IF(ROW(AA42)&lt;=COUNTA(V:V)*2,IF(MOD(ROW(AA42),2)=1,INDEX(V:V,(ROW(AA42)+1)/2),INDEX(X:X,ROW(AA42)/2)),"")</f>
        <v>-26.05</v>
      </c>
      <c r="AB42" s="22">
        <f t="array" ref="AB42">IF(ROW(AB42)&lt;=COUNTA(W:W)*2,IF(MOD(ROW(AB42),2)=1,INDEX(W:W,(ROW(AB42)+1)/2),INDEX(Y:Y,ROW(AB42)/2)),"")</f>
        <v>125.0552</v>
      </c>
    </row>
    <row r="43" spans="1:28" s="2" customFormat="1" x14ac:dyDescent="0.25">
      <c r="A43" s="32"/>
      <c r="B43" s="20"/>
      <c r="C43" s="21"/>
      <c r="D43" s="22"/>
      <c r="E43" s="33"/>
      <c r="F43" s="34">
        <f t="shared" si="11"/>
        <v>-57.45</v>
      </c>
      <c r="G43" s="34">
        <f t="shared" si="4"/>
        <v>112.2</v>
      </c>
      <c r="H43" s="34">
        <f t="shared" si="5"/>
        <v>-58.95</v>
      </c>
      <c r="I43" s="34">
        <f t="shared" si="6"/>
        <v>112.2</v>
      </c>
      <c r="J43" s="34"/>
      <c r="K43" s="34">
        <f t="array" ref="K43">IF(ROW(K43)&lt;=COUNTA(F:F)*2,IF(MOD(ROW(K43),2)=1,INDEX(F:F,(ROW(K43)+1)/2),INDEX(H:H,ROW(K43)/2)),"")</f>
        <v>-26.05</v>
      </c>
      <c r="L43" s="34">
        <f t="array" ref="L43">IF(ROW(L43)&lt;=COUNTA(G:G)*2,IF(MOD(ROW(L43),2)=1,INDEX(G:G,(ROW(L43)+1)/2),INDEX(I:I,ROW(L43)/2)),"")</f>
        <v>112.4</v>
      </c>
      <c r="N43" s="21">
        <f t="shared" si="7"/>
        <v>-57.45</v>
      </c>
      <c r="O43" s="21">
        <f t="shared" si="8"/>
        <v>122</v>
      </c>
      <c r="P43" s="21">
        <f t="shared" si="0"/>
        <v>-58.95</v>
      </c>
      <c r="Q43" s="21">
        <f t="shared" si="9"/>
        <v>122</v>
      </c>
      <c r="R43" s="21"/>
      <c r="S43" s="21">
        <f t="array" ref="S43">IF(ROW(S43)&lt;=COUNTA(N:N)*2,IF(MOD(ROW(S43),2)=1,INDEX(N:N,(ROW(S43)+1)/2),INDEX(P:P,ROW(S43)/2)),"")</f>
        <v>-26.05</v>
      </c>
      <c r="T43" s="21">
        <f t="array" ref="T43">IF(ROW(T43)&lt;=COUNTA(O:O)*2,IF(MOD(ROW(T43),2)=1,INDEX(O:O,(ROW(T43)+1)/2),INDEX(Q:Q,ROW(T43)/2)),"")</f>
        <v>117.4</v>
      </c>
      <c r="V43" s="22">
        <f t="shared" si="10"/>
        <v>-57.45</v>
      </c>
      <c r="W43" s="22">
        <f t="shared" si="1"/>
        <v>125.154675</v>
      </c>
      <c r="X43" s="22">
        <f t="shared" si="2"/>
        <v>-58.95</v>
      </c>
      <c r="Y43" s="22">
        <f t="shared" si="3"/>
        <v>125.154675</v>
      </c>
      <c r="Z43" s="22"/>
      <c r="AA43" s="22">
        <f t="array" ref="AA43">IF(ROW(AA43)&lt;=COUNTA(V:V)*2,IF(MOD(ROW(AA43),2)=1,INDEX(V:V,(ROW(AA43)+1)/2),INDEX(X:X,ROW(AA43)/2)),"")</f>
        <v>-26.05</v>
      </c>
      <c r="AB43" s="22">
        <f t="array" ref="AB43">IF(ROW(AB43)&lt;=COUNTA(W:W)*2,IF(MOD(ROW(AB43),2)=1,INDEX(W:W,(ROW(AB43)+1)/2),INDEX(Y:Y,ROW(AB43)/2)),"")</f>
        <v>125.0532</v>
      </c>
    </row>
    <row r="44" spans="1:28" s="2" customFormat="1" x14ac:dyDescent="0.25">
      <c r="A44" s="32"/>
      <c r="B44" s="20"/>
      <c r="C44" s="21"/>
      <c r="D44" s="22"/>
      <c r="E44" s="33"/>
      <c r="F44" s="34">
        <f t="shared" si="11"/>
        <v>-58.95</v>
      </c>
      <c r="G44" s="34">
        <f t="shared" si="4"/>
        <v>112.4</v>
      </c>
      <c r="H44" s="34">
        <f t="shared" si="5"/>
        <v>-60.45</v>
      </c>
      <c r="I44" s="34">
        <f t="shared" si="6"/>
        <v>112.4</v>
      </c>
      <c r="J44" s="34"/>
      <c r="K44" s="34">
        <f t="array" ref="K44">IF(ROW(K44)&lt;=COUNTA(F:F)*2,IF(MOD(ROW(K44),2)=1,INDEX(F:F,(ROW(K44)+1)/2),INDEX(H:H,ROW(K44)/2)),"")</f>
        <v>-27.2</v>
      </c>
      <c r="L44" s="34">
        <f t="array" ref="L44">IF(ROW(L44)&lt;=COUNTA(G:G)*2,IF(MOD(ROW(L44),2)=1,INDEX(G:G,(ROW(L44)+1)/2),INDEX(I:I,ROW(L44)/2)),"")</f>
        <v>112.4</v>
      </c>
      <c r="N44" s="21">
        <f t="shared" si="7"/>
        <v>-58.95</v>
      </c>
      <c r="O44" s="21">
        <f t="shared" si="8"/>
        <v>116.7</v>
      </c>
      <c r="P44" s="21">
        <f t="shared" si="0"/>
        <v>-60.45</v>
      </c>
      <c r="Q44" s="21">
        <f t="shared" si="9"/>
        <v>116.7</v>
      </c>
      <c r="R44" s="21"/>
      <c r="S44" s="21">
        <f t="array" ref="S44">IF(ROW(S44)&lt;=COUNTA(N:N)*2,IF(MOD(ROW(S44),2)=1,INDEX(N:N,(ROW(S44)+1)/2),INDEX(P:P,ROW(S44)/2)),"")</f>
        <v>-27.2</v>
      </c>
      <c r="T44" s="21">
        <f t="array" ref="T44">IF(ROW(T44)&lt;=COUNTA(O:O)*2,IF(MOD(ROW(T44),2)=1,INDEX(O:O,(ROW(T44)+1)/2),INDEX(Q:Q,ROW(T44)/2)),"")</f>
        <v>117.4</v>
      </c>
      <c r="V44" s="22">
        <f t="shared" si="10"/>
        <v>-58.95</v>
      </c>
      <c r="W44" s="22">
        <f t="shared" si="1"/>
        <v>125.112625</v>
      </c>
      <c r="X44" s="22">
        <f t="shared" si="2"/>
        <v>-60.45</v>
      </c>
      <c r="Y44" s="22">
        <f t="shared" si="3"/>
        <v>125.112625</v>
      </c>
      <c r="Z44" s="22"/>
      <c r="AA44" s="22">
        <f t="array" ref="AA44">IF(ROW(AA44)&lt;=COUNTA(V:V)*2,IF(MOD(ROW(AA44),2)=1,INDEX(V:V,(ROW(AA44)+1)/2),INDEX(X:X,ROW(AA44)/2)),"")</f>
        <v>-27.2</v>
      </c>
      <c r="AB44" s="22">
        <f t="array" ref="AB44">IF(ROW(AB44)&lt;=COUNTA(W:W)*2,IF(MOD(ROW(AB44),2)=1,INDEX(W:W,(ROW(AB44)+1)/2),INDEX(Y:Y,ROW(AB44)/2)),"")</f>
        <v>125.0532</v>
      </c>
    </row>
    <row r="45" spans="1:28" s="2" customFormat="1" x14ac:dyDescent="0.25">
      <c r="A45" s="32"/>
      <c r="B45" s="20"/>
      <c r="C45" s="21"/>
      <c r="D45" s="22"/>
      <c r="E45" s="33"/>
      <c r="F45" s="34">
        <f t="shared" si="11"/>
        <v>-60.45</v>
      </c>
      <c r="G45" s="34">
        <f t="shared" si="4"/>
        <v>112</v>
      </c>
      <c r="H45" s="34">
        <f t="shared" si="5"/>
        <v>-61.95</v>
      </c>
      <c r="I45" s="34">
        <f t="shared" si="6"/>
        <v>112</v>
      </c>
      <c r="J45" s="34"/>
      <c r="K45" s="34">
        <f t="array" ref="K45">IF(ROW(K45)&lt;=COUNTA(F:F)*2,IF(MOD(ROW(K45),2)=1,INDEX(F:F,(ROW(K45)+1)/2),INDEX(H:H,ROW(K45)/2)),"")</f>
        <v>-27.2</v>
      </c>
      <c r="L45" s="34">
        <f t="array" ref="L45">IF(ROW(L45)&lt;=COUNTA(G:G)*2,IF(MOD(ROW(L45),2)=1,INDEX(G:G,(ROW(L45)+1)/2),INDEX(I:I,ROW(L45)/2)),"")</f>
        <v>112.4</v>
      </c>
      <c r="N45" s="21">
        <f t="shared" si="7"/>
        <v>-60.45</v>
      </c>
      <c r="O45" s="21">
        <f t="shared" si="8"/>
        <v>118.7</v>
      </c>
      <c r="P45" s="21">
        <f t="shared" si="0"/>
        <v>-61.95</v>
      </c>
      <c r="Q45" s="21">
        <f t="shared" si="9"/>
        <v>118.7</v>
      </c>
      <c r="R45" s="21"/>
      <c r="S45" s="21">
        <f t="array" ref="S45">IF(ROW(S45)&lt;=COUNTA(N:N)*2,IF(MOD(ROW(S45),2)=1,INDEX(N:N,(ROW(S45)+1)/2),INDEX(P:P,ROW(S45)/2)),"")</f>
        <v>-27.2</v>
      </c>
      <c r="T45" s="21">
        <f t="array" ref="T45">IF(ROW(T45)&lt;=COUNTA(O:O)*2,IF(MOD(ROW(T45),2)=1,INDEX(O:O,(ROW(T45)+1)/2),INDEX(Q:Q,ROW(T45)/2)),"")</f>
        <v>117.4</v>
      </c>
      <c r="V45" s="22">
        <f t="shared" si="10"/>
        <v>-60.45</v>
      </c>
      <c r="W45" s="22">
        <f t="shared" si="1"/>
        <v>125.112625</v>
      </c>
      <c r="X45" s="22">
        <f t="shared" si="2"/>
        <v>-61.95</v>
      </c>
      <c r="Y45" s="22">
        <f t="shared" si="3"/>
        <v>125.112625</v>
      </c>
      <c r="Z45" s="22"/>
      <c r="AA45" s="22">
        <f t="array" ref="AA45">IF(ROW(AA45)&lt;=COUNTA(V:V)*2,IF(MOD(ROW(AA45),2)=1,INDEX(V:V,(ROW(AA45)+1)/2),INDEX(X:X,ROW(AA45)/2)),"")</f>
        <v>-27.2</v>
      </c>
      <c r="AB45" s="22">
        <f t="array" ref="AB45">IF(ROW(AB45)&lt;=COUNTA(W:W)*2,IF(MOD(ROW(AB45),2)=1,INDEX(W:W,(ROW(AB45)+1)/2),INDEX(Y:Y,ROW(AB45)/2)),"")</f>
        <v>125.0552</v>
      </c>
    </row>
    <row r="46" spans="1:28" s="2" customFormat="1" x14ac:dyDescent="0.25">
      <c r="A46" s="32"/>
      <c r="B46" s="20"/>
      <c r="C46" s="21"/>
      <c r="D46" s="22"/>
      <c r="E46" s="33"/>
      <c r="F46" s="34">
        <f t="shared" si="11"/>
        <v>-61.95</v>
      </c>
      <c r="G46" s="34">
        <f t="shared" si="4"/>
        <v>111.7</v>
      </c>
      <c r="H46" s="34">
        <f t="shared" si="5"/>
        <v>-63.45</v>
      </c>
      <c r="I46" s="34">
        <f t="shared" si="6"/>
        <v>111.7</v>
      </c>
      <c r="J46" s="34"/>
      <c r="K46" s="34">
        <f t="array" ref="K46">IF(ROW(K46)&lt;=COUNTA(F:F)*2,IF(MOD(ROW(K46),2)=1,INDEX(F:F,(ROW(K46)+1)/2),INDEX(H:H,ROW(K46)/2)),"")</f>
        <v>-28.7</v>
      </c>
      <c r="L46" s="34">
        <f t="array" ref="L46">IF(ROW(L46)&lt;=COUNTA(G:G)*2,IF(MOD(ROW(L46),2)=1,INDEX(G:G,(ROW(L46)+1)/2),INDEX(I:I,ROW(L46)/2)),"")</f>
        <v>112.4</v>
      </c>
      <c r="N46" s="21">
        <f t="shared" si="7"/>
        <v>-61.95</v>
      </c>
      <c r="O46" s="21">
        <f t="shared" si="8"/>
        <v>115.7</v>
      </c>
      <c r="P46" s="21">
        <f t="shared" si="0"/>
        <v>-63.45</v>
      </c>
      <c r="Q46" s="21">
        <f t="shared" si="9"/>
        <v>115.7</v>
      </c>
      <c r="R46" s="21"/>
      <c r="S46" s="21">
        <f t="array" ref="S46">IF(ROW(S46)&lt;=COUNTA(N:N)*2,IF(MOD(ROW(S46),2)=1,INDEX(N:N,(ROW(S46)+1)/2),INDEX(P:P,ROW(S46)/2)),"")</f>
        <v>-28.7</v>
      </c>
      <c r="T46" s="21">
        <f t="array" ref="T46">IF(ROW(T46)&lt;=COUNTA(O:O)*2,IF(MOD(ROW(T46),2)=1,INDEX(O:O,(ROW(T46)+1)/2),INDEX(Q:Q,ROW(T46)/2)),"")</f>
        <v>117.4</v>
      </c>
      <c r="V46" s="22">
        <f t="shared" si="10"/>
        <v>-61.95</v>
      </c>
      <c r="W46" s="22">
        <f t="shared" si="1"/>
        <v>125.2234</v>
      </c>
      <c r="X46" s="22">
        <f t="shared" si="2"/>
        <v>-63.45</v>
      </c>
      <c r="Y46" s="22">
        <f t="shared" si="3"/>
        <v>125.2234</v>
      </c>
      <c r="Z46" s="22"/>
      <c r="AA46" s="22">
        <f t="array" ref="AA46">IF(ROW(AA46)&lt;=COUNTA(V:V)*2,IF(MOD(ROW(AA46),2)=1,INDEX(V:V,(ROW(AA46)+1)/2),INDEX(X:X,ROW(AA46)/2)),"")</f>
        <v>-28.7</v>
      </c>
      <c r="AB46" s="22">
        <f t="array" ref="AB46">IF(ROW(AB46)&lt;=COUNTA(W:W)*2,IF(MOD(ROW(AB46),2)=1,INDEX(W:W,(ROW(AB46)+1)/2),INDEX(Y:Y,ROW(AB46)/2)),"")</f>
        <v>125.0552</v>
      </c>
    </row>
    <row r="47" spans="1:28" s="2" customFormat="1" x14ac:dyDescent="0.25">
      <c r="A47" s="32"/>
      <c r="B47" s="20"/>
      <c r="C47" s="21"/>
      <c r="D47" s="22"/>
      <c r="E47" s="33"/>
      <c r="F47" s="34">
        <f t="shared" si="11"/>
        <v>-63.45</v>
      </c>
      <c r="G47" s="34">
        <f t="shared" si="4"/>
        <v>110.8</v>
      </c>
      <c r="H47" s="34">
        <f t="shared" si="5"/>
        <v>-64.95</v>
      </c>
      <c r="I47" s="34">
        <f t="shared" si="6"/>
        <v>110.8</v>
      </c>
      <c r="J47" s="34"/>
      <c r="K47" s="34">
        <f t="array" ref="K47">IF(ROW(K47)&lt;=COUNTA(F:F)*2,IF(MOD(ROW(K47),2)=1,INDEX(F:F,(ROW(K47)+1)/2),INDEX(H:H,ROW(K47)/2)),"")</f>
        <v>-28.7</v>
      </c>
      <c r="L47" s="34">
        <f t="array" ref="L47">IF(ROW(L47)&lt;=COUNTA(G:G)*2,IF(MOD(ROW(L47),2)=1,INDEX(G:G,(ROW(L47)+1)/2),INDEX(I:I,ROW(L47)/2)),"")</f>
        <v>112.4</v>
      </c>
      <c r="N47" s="21">
        <f t="shared" si="7"/>
        <v>-63.45</v>
      </c>
      <c r="O47" s="21">
        <f t="shared" si="8"/>
        <v>117.9</v>
      </c>
      <c r="P47" s="21">
        <f t="shared" si="0"/>
        <v>-64.95</v>
      </c>
      <c r="Q47" s="21">
        <f t="shared" si="9"/>
        <v>117.9</v>
      </c>
      <c r="R47" s="21"/>
      <c r="S47" s="21">
        <f t="array" ref="S47">IF(ROW(S47)&lt;=COUNTA(N:N)*2,IF(MOD(ROW(S47),2)=1,INDEX(N:N,(ROW(S47)+1)/2),INDEX(P:P,ROW(S47)/2)),"")</f>
        <v>-28.7</v>
      </c>
      <c r="T47" s="21">
        <f t="array" ref="T47">IF(ROW(T47)&lt;=COUNTA(O:O)*2,IF(MOD(ROW(T47),2)=1,INDEX(O:O,(ROW(T47)+1)/2),INDEX(Q:Q,ROW(T47)/2)),"")</f>
        <v>120</v>
      </c>
      <c r="V47" s="22">
        <f t="shared" si="10"/>
        <v>-63.45</v>
      </c>
      <c r="W47" s="22">
        <f t="shared" si="1"/>
        <v>125.1002</v>
      </c>
      <c r="X47" s="22">
        <f t="shared" si="2"/>
        <v>-64.95</v>
      </c>
      <c r="Y47" s="22">
        <f t="shared" si="3"/>
        <v>125.1002</v>
      </c>
      <c r="Z47" s="22"/>
      <c r="AA47" s="22">
        <f t="array" ref="AA47">IF(ROW(AA47)&lt;=COUNTA(V:V)*2,IF(MOD(ROW(AA47),2)=1,INDEX(V:V,(ROW(AA47)+1)/2),INDEX(X:X,ROW(AA47)/2)),"")</f>
        <v>-28.7</v>
      </c>
      <c r="AB47" s="22">
        <f t="array" ref="AB47">IF(ROW(AB47)&lt;=COUNTA(W:W)*2,IF(MOD(ROW(AB47),2)=1,INDEX(W:W,(ROW(AB47)+1)/2),INDEX(Y:Y,ROW(AB47)/2)),"")</f>
        <v>125.0532</v>
      </c>
    </row>
    <row r="48" spans="1:28" s="2" customFormat="1" x14ac:dyDescent="0.25">
      <c r="A48" s="32"/>
      <c r="B48" s="20"/>
      <c r="C48" s="21"/>
      <c r="D48" s="22"/>
      <c r="E48" s="33"/>
      <c r="F48" s="34">
        <f t="shared" si="11"/>
        <v>-64.95</v>
      </c>
      <c r="G48" s="34">
        <f t="shared" si="4"/>
        <v>112</v>
      </c>
      <c r="H48" s="34">
        <f t="shared" si="5"/>
        <v>-66.45</v>
      </c>
      <c r="I48" s="34">
        <f t="shared" si="6"/>
        <v>112</v>
      </c>
      <c r="J48" s="34"/>
      <c r="K48" s="34">
        <f t="array" ref="K48">IF(ROW(K48)&lt;=COUNTA(F:F)*2,IF(MOD(ROW(K48),2)=1,INDEX(F:F,(ROW(K48)+1)/2),INDEX(H:H,ROW(K48)/2)),"")</f>
        <v>-30.2</v>
      </c>
      <c r="L48" s="34">
        <f t="array" ref="L48">IF(ROW(L48)&lt;=COUNTA(G:G)*2,IF(MOD(ROW(L48),2)=1,INDEX(G:G,(ROW(L48)+1)/2),INDEX(I:I,ROW(L48)/2)),"")</f>
        <v>112.4</v>
      </c>
      <c r="N48" s="21">
        <f t="shared" si="7"/>
        <v>-64.95</v>
      </c>
      <c r="O48" s="21">
        <f t="shared" si="8"/>
        <v>117.3</v>
      </c>
      <c r="P48" s="21">
        <f t="shared" si="0"/>
        <v>-66.45</v>
      </c>
      <c r="Q48" s="21">
        <f t="shared" si="9"/>
        <v>117.3</v>
      </c>
      <c r="R48" s="21"/>
      <c r="S48" s="21">
        <f t="array" ref="S48">IF(ROW(S48)&lt;=COUNTA(N:N)*2,IF(MOD(ROW(S48),2)=1,INDEX(N:N,(ROW(S48)+1)/2),INDEX(P:P,ROW(S48)/2)),"")</f>
        <v>-30.2</v>
      </c>
      <c r="T48" s="21">
        <f t="array" ref="T48">IF(ROW(T48)&lt;=COUNTA(O:O)*2,IF(MOD(ROW(T48),2)=1,INDEX(O:O,(ROW(T48)+1)/2),INDEX(Q:Q,ROW(T48)/2)),"")</f>
        <v>120</v>
      </c>
      <c r="V48" s="22">
        <f t="shared" si="10"/>
        <v>-64.95</v>
      </c>
      <c r="W48" s="22">
        <f t="shared" si="1"/>
        <v>125.08275</v>
      </c>
      <c r="X48" s="22">
        <f t="shared" si="2"/>
        <v>-66.45</v>
      </c>
      <c r="Y48" s="22">
        <f t="shared" si="3"/>
        <v>125.08275</v>
      </c>
      <c r="Z48" s="22"/>
      <c r="AA48" s="22">
        <f t="array" ref="AA48">IF(ROW(AA48)&lt;=COUNTA(V:V)*2,IF(MOD(ROW(AA48),2)=1,INDEX(V:V,(ROW(AA48)+1)/2),INDEX(X:X,ROW(AA48)/2)),"")</f>
        <v>-30.2</v>
      </c>
      <c r="AB48" s="22">
        <f t="array" ref="AB48">IF(ROW(AB48)&lt;=COUNTA(W:W)*2,IF(MOD(ROW(AB48),2)=1,INDEX(W:W,(ROW(AB48)+1)/2),INDEX(Y:Y,ROW(AB48)/2)),"")</f>
        <v>125.0532</v>
      </c>
    </row>
    <row r="49" spans="1:28" s="2" customFormat="1" x14ac:dyDescent="0.25">
      <c r="A49" s="32"/>
      <c r="B49" s="20"/>
      <c r="C49" s="21"/>
      <c r="D49" s="22"/>
      <c r="E49" s="33"/>
      <c r="F49" s="34">
        <f t="shared" si="11"/>
        <v>-66.45</v>
      </c>
      <c r="G49" s="34">
        <f t="shared" si="4"/>
        <v>111.5</v>
      </c>
      <c r="H49" s="34">
        <f t="shared" si="5"/>
        <v>-67.95</v>
      </c>
      <c r="I49" s="34">
        <f t="shared" si="6"/>
        <v>111.5</v>
      </c>
      <c r="J49" s="34"/>
      <c r="K49" s="34">
        <f t="array" ref="K49">IF(ROW(K49)&lt;=COUNTA(F:F)*2,IF(MOD(ROW(K49),2)=1,INDEX(F:F,(ROW(K49)+1)/2),INDEX(H:H,ROW(K49)/2)),"")</f>
        <v>-30.2</v>
      </c>
      <c r="L49" s="34">
        <f t="array" ref="L49">IF(ROW(L49)&lt;=COUNTA(G:G)*2,IF(MOD(ROW(L49),2)=1,INDEX(G:G,(ROW(L49)+1)/2),INDEX(I:I,ROW(L49)/2)),"")</f>
        <v>111.9</v>
      </c>
      <c r="N49" s="21">
        <f t="shared" si="7"/>
        <v>-66.45</v>
      </c>
      <c r="O49" s="21">
        <f t="shared" si="8"/>
        <v>118.8</v>
      </c>
      <c r="P49" s="21">
        <f t="shared" si="0"/>
        <v>-67.95</v>
      </c>
      <c r="Q49" s="21">
        <f t="shared" si="9"/>
        <v>118.8</v>
      </c>
      <c r="R49" s="21"/>
      <c r="S49" s="21">
        <f t="array" ref="S49">IF(ROW(S49)&lt;=COUNTA(N:N)*2,IF(MOD(ROW(S49),2)=1,INDEX(N:N,(ROW(S49)+1)/2),INDEX(P:P,ROW(S49)/2)),"")</f>
        <v>-30.2</v>
      </c>
      <c r="T49" s="21">
        <f t="array" ref="T49">IF(ROW(T49)&lt;=COUNTA(O:O)*2,IF(MOD(ROW(T49),2)=1,INDEX(O:O,(ROW(T49)+1)/2),INDEX(Q:Q,ROW(T49)/2)),"")</f>
        <v>118.4</v>
      </c>
      <c r="V49" s="22">
        <f t="shared" si="10"/>
        <v>-66.45</v>
      </c>
      <c r="W49" s="22">
        <f t="shared" si="1"/>
        <v>125.089525</v>
      </c>
      <c r="X49" s="22">
        <f t="shared" si="2"/>
        <v>-67.95</v>
      </c>
      <c r="Y49" s="22">
        <f t="shared" si="3"/>
        <v>125.089525</v>
      </c>
      <c r="Z49" s="22"/>
      <c r="AA49" s="22">
        <f t="array" ref="AA49">IF(ROW(AA49)&lt;=COUNTA(V:V)*2,IF(MOD(ROW(AA49),2)=1,INDEX(V:V,(ROW(AA49)+1)/2),INDEX(X:X,ROW(AA49)/2)),"")</f>
        <v>-30.2</v>
      </c>
      <c r="AB49" s="22">
        <f t="array" ref="AB49">IF(ROW(AB49)&lt;=COUNTA(W:W)*2,IF(MOD(ROW(AB49),2)=1,INDEX(W:W,(ROW(AB49)+1)/2),INDEX(Y:Y,ROW(AB49)/2)),"")</f>
        <v>125.052425</v>
      </c>
    </row>
    <row r="50" spans="1:28" s="2" customFormat="1" x14ac:dyDescent="0.25">
      <c r="A50" s="32"/>
      <c r="B50" s="20"/>
      <c r="C50" s="21"/>
      <c r="D50" s="22"/>
      <c r="E50" s="33"/>
      <c r="F50" s="34">
        <f t="shared" si="11"/>
        <v>-67.95</v>
      </c>
      <c r="G50" s="34">
        <f t="shared" si="4"/>
        <v>112.5</v>
      </c>
      <c r="H50" s="34">
        <f t="shared" si="5"/>
        <v>-69.45</v>
      </c>
      <c r="I50" s="34">
        <f t="shared" si="6"/>
        <v>112.5</v>
      </c>
      <c r="J50" s="34"/>
      <c r="K50" s="34">
        <f t="array" ref="K50">IF(ROW(K50)&lt;=COUNTA(F:F)*2,IF(MOD(ROW(K50),2)=1,INDEX(F:F,(ROW(K50)+1)/2),INDEX(H:H,ROW(K50)/2)),"")</f>
        <v>-31.8</v>
      </c>
      <c r="L50" s="34">
        <f t="array" ref="L50">IF(ROW(L50)&lt;=COUNTA(G:G)*2,IF(MOD(ROW(L50),2)=1,INDEX(G:G,(ROW(L50)+1)/2),INDEX(I:I,ROW(L50)/2)),"")</f>
        <v>111.9</v>
      </c>
      <c r="N50" s="21">
        <f t="shared" si="7"/>
        <v>-67.95</v>
      </c>
      <c r="O50" s="21">
        <f t="shared" si="8"/>
        <v>119.4</v>
      </c>
      <c r="P50" s="21">
        <f t="shared" si="0"/>
        <v>-69.45</v>
      </c>
      <c r="Q50" s="21">
        <f t="shared" si="9"/>
        <v>119.4</v>
      </c>
      <c r="R50" s="21"/>
      <c r="S50" s="21">
        <f t="array" ref="S50">IF(ROW(S50)&lt;=COUNTA(N:N)*2,IF(MOD(ROW(S50),2)=1,INDEX(N:N,(ROW(S50)+1)/2),INDEX(P:P,ROW(S50)/2)),"")</f>
        <v>-31.8</v>
      </c>
      <c r="T50" s="21">
        <f t="array" ref="T50">IF(ROW(T50)&lt;=COUNTA(O:O)*2,IF(MOD(ROW(T50),2)=1,INDEX(O:O,(ROW(T50)+1)/2),INDEX(Q:Q,ROW(T50)/2)),"")</f>
        <v>118.4</v>
      </c>
      <c r="V50" s="22">
        <f t="shared" si="10"/>
        <v>-67.95</v>
      </c>
      <c r="W50" s="22">
        <f t="shared" si="1"/>
        <v>125.1033</v>
      </c>
      <c r="X50" s="22">
        <f t="shared" si="2"/>
        <v>-69.45</v>
      </c>
      <c r="Y50" s="22">
        <f t="shared" si="3"/>
        <v>125.1033</v>
      </c>
      <c r="Z50" s="22"/>
      <c r="AA50" s="22">
        <f t="array" ref="AA50">IF(ROW(AA50)&lt;=COUNTA(V:V)*2,IF(MOD(ROW(AA50),2)=1,INDEX(V:V,(ROW(AA50)+1)/2),INDEX(X:X,ROW(AA50)/2)),"")</f>
        <v>-31.8</v>
      </c>
      <c r="AB50" s="22">
        <f t="array" ref="AB50">IF(ROW(AB50)&lt;=COUNTA(W:W)*2,IF(MOD(ROW(AB50),2)=1,INDEX(W:W,(ROW(AB50)+1)/2),INDEX(Y:Y,ROW(AB50)/2)),"")</f>
        <v>125.052425</v>
      </c>
    </row>
    <row r="51" spans="1:28" s="2" customFormat="1" x14ac:dyDescent="0.25">
      <c r="A51" s="32"/>
      <c r="B51" s="20"/>
      <c r="C51" s="21"/>
      <c r="D51" s="22"/>
      <c r="E51" s="33"/>
      <c r="F51" s="34">
        <f t="shared" si="11"/>
        <v>-69.45</v>
      </c>
      <c r="G51" s="34">
        <f t="shared" si="4"/>
        <v>111.2</v>
      </c>
      <c r="H51" s="34">
        <f t="shared" si="5"/>
        <v>-70.95</v>
      </c>
      <c r="I51" s="34">
        <f t="shared" si="6"/>
        <v>111.2</v>
      </c>
      <c r="J51" s="34"/>
      <c r="K51" s="34">
        <f t="array" ref="K51">IF(ROW(K51)&lt;=COUNTA(F:F)*2,IF(MOD(ROW(K51),2)=1,INDEX(F:F,(ROW(K51)+1)/2),INDEX(H:H,ROW(K51)/2)),"")</f>
        <v>-31.8</v>
      </c>
      <c r="L51" s="34">
        <f t="array" ref="L51">IF(ROW(L51)&lt;=COUNTA(G:G)*2,IF(MOD(ROW(L51),2)=1,INDEX(G:G,(ROW(L51)+1)/2),INDEX(I:I,ROW(L51)/2)),"")</f>
        <v>112.4</v>
      </c>
      <c r="N51" s="21">
        <f t="shared" si="7"/>
        <v>-69.45</v>
      </c>
      <c r="O51" s="21">
        <f t="shared" si="8"/>
        <v>120.8</v>
      </c>
      <c r="P51" s="21">
        <f t="shared" si="0"/>
        <v>-70.95</v>
      </c>
      <c r="Q51" s="21">
        <f t="shared" si="9"/>
        <v>120.8</v>
      </c>
      <c r="R51" s="21"/>
      <c r="S51" s="21">
        <f t="array" ref="S51">IF(ROW(S51)&lt;=COUNTA(N:N)*2,IF(MOD(ROW(S51),2)=1,INDEX(N:N,(ROW(S51)+1)/2),INDEX(P:P,ROW(S51)/2)),"")</f>
        <v>-31.8</v>
      </c>
      <c r="T51" s="21">
        <f t="array" ref="T51">IF(ROW(T51)&lt;=COUNTA(O:O)*2,IF(MOD(ROW(T51),2)=1,INDEX(O:O,(ROW(T51)+1)/2),INDEX(Q:Q,ROW(T51)/2)),"")</f>
        <v>118.2</v>
      </c>
      <c r="V51" s="22">
        <f t="shared" si="10"/>
        <v>-69.45</v>
      </c>
      <c r="W51" s="22">
        <f t="shared" si="1"/>
        <v>125.089525</v>
      </c>
      <c r="X51" s="22">
        <f t="shared" si="2"/>
        <v>-70.95</v>
      </c>
      <c r="Y51" s="22">
        <f t="shared" si="3"/>
        <v>125.089525</v>
      </c>
      <c r="Z51" s="22"/>
      <c r="AA51" s="22">
        <f t="array" ref="AA51">IF(ROW(AA51)&lt;=COUNTA(V:V)*2,IF(MOD(ROW(AA51),2)=1,INDEX(V:V,(ROW(AA51)+1)/2),INDEX(X:X,ROW(AA51)/2)),"")</f>
        <v>-31.8</v>
      </c>
      <c r="AB51" s="22">
        <f t="array" ref="AB51">IF(ROW(AB51)&lt;=COUNTA(W:W)*2,IF(MOD(ROW(AB51),2)=1,INDEX(W:W,(ROW(AB51)+1)/2),INDEX(Y:Y,ROW(AB51)/2)),"")</f>
        <v>125.0552</v>
      </c>
    </row>
    <row r="52" spans="1:28" s="2" customFormat="1" x14ac:dyDescent="0.25">
      <c r="A52" s="32"/>
      <c r="B52" s="20"/>
      <c r="C52" s="21"/>
      <c r="D52" s="22"/>
      <c r="E52" s="33"/>
      <c r="F52" s="34">
        <f t="shared" si="11"/>
        <v>-70.95</v>
      </c>
      <c r="G52" s="34">
        <f t="shared" si="4"/>
        <v>112.5</v>
      </c>
      <c r="H52" s="34">
        <f t="shared" si="5"/>
        <v>-72.45</v>
      </c>
      <c r="I52" s="34">
        <f t="shared" si="6"/>
        <v>112.5</v>
      </c>
      <c r="J52" s="34"/>
      <c r="K52" s="34">
        <f t="array" ref="K52">IF(ROW(K52)&lt;=COUNTA(F:F)*2,IF(MOD(ROW(K52),2)=1,INDEX(F:F,(ROW(K52)+1)/2),INDEX(H:H,ROW(K52)/2)),"")</f>
        <v>-33.4</v>
      </c>
      <c r="L52" s="34">
        <f t="array" ref="L52">IF(ROW(L52)&lt;=COUNTA(G:G)*2,IF(MOD(ROW(L52),2)=1,INDEX(G:G,(ROW(L52)+1)/2),INDEX(I:I,ROW(L52)/2)),"")</f>
        <v>112.4</v>
      </c>
      <c r="N52" s="21">
        <f t="shared" si="7"/>
        <v>-70.95</v>
      </c>
      <c r="O52" s="21">
        <f t="shared" si="8"/>
        <v>120.1</v>
      </c>
      <c r="P52" s="21">
        <f t="shared" si="0"/>
        <v>-72.45</v>
      </c>
      <c r="Q52" s="21">
        <f t="shared" si="9"/>
        <v>120.1</v>
      </c>
      <c r="R52" s="21"/>
      <c r="S52" s="21">
        <f t="array" ref="S52">IF(ROW(S52)&lt;=COUNTA(N:N)*2,IF(MOD(ROW(S52),2)=1,INDEX(N:N,(ROW(S52)+1)/2),INDEX(P:P,ROW(S52)/2)),"")</f>
        <v>-33.4</v>
      </c>
      <c r="T52" s="21">
        <f t="array" ref="T52">IF(ROW(T52)&lt;=COUNTA(O:O)*2,IF(MOD(ROW(T52),2)=1,INDEX(O:O,(ROW(T52)+1)/2),INDEX(Q:Q,ROW(T52)/2)),"")</f>
        <v>118.2</v>
      </c>
      <c r="V52" s="22">
        <f t="shared" si="10"/>
        <v>-70.95</v>
      </c>
      <c r="W52" s="22">
        <f t="shared" si="1"/>
        <v>125.089525</v>
      </c>
      <c r="X52" s="22">
        <f t="shared" si="2"/>
        <v>-72.45</v>
      </c>
      <c r="Y52" s="22">
        <f t="shared" si="3"/>
        <v>125.089525</v>
      </c>
      <c r="Z52" s="22"/>
      <c r="AA52" s="22">
        <f t="array" ref="AA52">IF(ROW(AA52)&lt;=COUNTA(V:V)*2,IF(MOD(ROW(AA52),2)=1,INDEX(V:V,(ROW(AA52)+1)/2),INDEX(X:X,ROW(AA52)/2)),"")</f>
        <v>-33.4</v>
      </c>
      <c r="AB52" s="22">
        <f t="array" ref="AB52">IF(ROW(AB52)&lt;=COUNTA(W:W)*2,IF(MOD(ROW(AB52),2)=1,INDEX(W:W,(ROW(AB52)+1)/2),INDEX(Y:Y,ROW(AB52)/2)),"")</f>
        <v>125.0552</v>
      </c>
    </row>
    <row r="53" spans="1:28" s="2" customFormat="1" x14ac:dyDescent="0.25">
      <c r="A53" s="32"/>
      <c r="B53" s="20"/>
      <c r="C53" s="21"/>
      <c r="D53" s="22"/>
      <c r="E53" s="33"/>
      <c r="F53" s="34">
        <f t="shared" si="11"/>
        <v>-72.45</v>
      </c>
      <c r="G53" s="34">
        <f t="shared" si="4"/>
        <v>112.5</v>
      </c>
      <c r="H53" s="34">
        <f t="shared" si="5"/>
        <v>-73.95</v>
      </c>
      <c r="I53" s="34">
        <f t="shared" si="6"/>
        <v>112.5</v>
      </c>
      <c r="J53" s="34"/>
      <c r="K53" s="34">
        <f t="array" ref="K53">IF(ROW(K53)&lt;=COUNTA(F:F)*2,IF(MOD(ROW(K53),2)=1,INDEX(F:F,(ROW(K53)+1)/2),INDEX(H:H,ROW(K53)/2)),"")</f>
        <v>-33.4</v>
      </c>
      <c r="L53" s="34">
        <f t="array" ref="L53">IF(ROW(L53)&lt;=COUNTA(G:G)*2,IF(MOD(ROW(L53),2)=1,INDEX(G:G,(ROW(L53)+1)/2),INDEX(I:I,ROW(L53)/2)),"")</f>
        <v>112.2</v>
      </c>
      <c r="N53" s="21">
        <f t="shared" si="7"/>
        <v>-72.45</v>
      </c>
      <c r="O53" s="21">
        <f t="shared" si="8"/>
        <v>120</v>
      </c>
      <c r="P53" s="21">
        <f t="shared" si="0"/>
        <v>-73.95</v>
      </c>
      <c r="Q53" s="21">
        <f t="shared" si="9"/>
        <v>120</v>
      </c>
      <c r="R53" s="21"/>
      <c r="S53" s="21">
        <f t="array" ref="S53">IF(ROW(S53)&lt;=COUNTA(N:N)*2,IF(MOD(ROW(S53),2)=1,INDEX(N:N,(ROW(S53)+1)/2),INDEX(P:P,ROW(S53)/2)),"")</f>
        <v>-33.4</v>
      </c>
      <c r="T53" s="21">
        <f t="array" ref="T53">IF(ROW(T53)&lt;=COUNTA(O:O)*2,IF(MOD(ROW(T53),2)=1,INDEX(O:O,(ROW(T53)+1)/2),INDEX(Q:Q,ROW(T53)/2)),"")</f>
        <v>114.1</v>
      </c>
      <c r="V53" s="22">
        <f t="shared" si="10"/>
        <v>-72.45</v>
      </c>
      <c r="W53" s="22">
        <f t="shared" si="1"/>
        <v>125.084375</v>
      </c>
      <c r="X53" s="22">
        <f t="shared" si="2"/>
        <v>-73.95</v>
      </c>
      <c r="Y53" s="22">
        <f t="shared" si="3"/>
        <v>125.084375</v>
      </c>
      <c r="Z53" s="22"/>
      <c r="AA53" s="22">
        <f t="array" ref="AA53">IF(ROW(AA53)&lt;=COUNTA(V:V)*2,IF(MOD(ROW(AA53),2)=1,INDEX(V:V,(ROW(AA53)+1)/2),INDEX(X:X,ROW(AA53)/2)),"")</f>
        <v>-33.4</v>
      </c>
      <c r="AB53" s="22">
        <f t="array" ref="AB53">IF(ROW(AB53)&lt;=COUNTA(W:W)*2,IF(MOD(ROW(AB53),2)=1,INDEX(W:W,(ROW(AB53)+1)/2),INDEX(Y:Y,ROW(AB53)/2)),"")</f>
        <v>125.0532</v>
      </c>
    </row>
    <row r="54" spans="1:28" s="2" customFormat="1" x14ac:dyDescent="0.25">
      <c r="A54" s="32"/>
      <c r="B54" s="20"/>
      <c r="C54" s="21"/>
      <c r="D54" s="22"/>
      <c r="E54" s="33"/>
      <c r="F54" s="34">
        <f t="shared" si="11"/>
        <v>-73.95</v>
      </c>
      <c r="G54" s="34">
        <f t="shared" si="4"/>
        <v>112.5</v>
      </c>
      <c r="H54" s="34">
        <f t="shared" si="5"/>
        <v>-75.45</v>
      </c>
      <c r="I54" s="34">
        <f t="shared" si="6"/>
        <v>112.5</v>
      </c>
      <c r="J54" s="34"/>
      <c r="K54" s="34">
        <f t="array" ref="K54">IF(ROW(K54)&lt;=COUNTA(F:F)*2,IF(MOD(ROW(K54),2)=1,INDEX(F:F,(ROW(K54)+1)/2),INDEX(H:H,ROW(K54)/2)),"")</f>
        <v>-34.95</v>
      </c>
      <c r="L54" s="34">
        <f t="array" ref="L54">IF(ROW(L54)&lt;=COUNTA(G:G)*2,IF(MOD(ROW(L54),2)=1,INDEX(G:G,(ROW(L54)+1)/2),INDEX(I:I,ROW(L54)/2)),"")</f>
        <v>112.2</v>
      </c>
      <c r="N54" s="21">
        <f t="shared" si="7"/>
        <v>-73.95</v>
      </c>
      <c r="O54" s="21">
        <f t="shared" si="8"/>
        <v>117.8</v>
      </c>
      <c r="P54" s="21">
        <f t="shared" si="0"/>
        <v>-75.45</v>
      </c>
      <c r="Q54" s="21">
        <f t="shared" si="9"/>
        <v>117.8</v>
      </c>
      <c r="R54" s="21"/>
      <c r="S54" s="21">
        <f t="array" ref="S54">IF(ROW(S54)&lt;=COUNTA(N:N)*2,IF(MOD(ROW(S54),2)=1,INDEX(N:N,(ROW(S54)+1)/2),INDEX(P:P,ROW(S54)/2)),"")</f>
        <v>-34.95</v>
      </c>
      <c r="T54" s="21">
        <f t="array" ref="T54">IF(ROW(T54)&lt;=COUNTA(O:O)*2,IF(MOD(ROW(T54),2)=1,INDEX(O:O,(ROW(T54)+1)/2),INDEX(Q:Q,ROW(T54)/2)),"")</f>
        <v>114.1</v>
      </c>
      <c r="V54" s="22">
        <f t="shared" si="10"/>
        <v>-73.95</v>
      </c>
      <c r="W54" s="22">
        <f t="shared" si="1"/>
        <v>125.089525</v>
      </c>
      <c r="X54" s="22">
        <f t="shared" si="2"/>
        <v>-75.45</v>
      </c>
      <c r="Y54" s="22">
        <f t="shared" si="3"/>
        <v>125.089525</v>
      </c>
      <c r="Z54" s="22"/>
      <c r="AA54" s="22">
        <f t="array" ref="AA54">IF(ROW(AA54)&lt;=COUNTA(V:V)*2,IF(MOD(ROW(AA54),2)=1,INDEX(V:V,(ROW(AA54)+1)/2),INDEX(X:X,ROW(AA54)/2)),"")</f>
        <v>-34.95</v>
      </c>
      <c r="AB54" s="22">
        <f t="array" ref="AB54">IF(ROW(AB54)&lt;=COUNTA(W:W)*2,IF(MOD(ROW(AB54),2)=1,INDEX(W:W,(ROW(AB54)+1)/2),INDEX(Y:Y,ROW(AB54)/2)),"")</f>
        <v>125.0532</v>
      </c>
    </row>
    <row r="55" spans="1:28" s="2" customFormat="1" x14ac:dyDescent="0.25">
      <c r="A55" s="32"/>
      <c r="B55" s="20"/>
      <c r="C55" s="21"/>
      <c r="D55" s="22"/>
      <c r="E55" s="33"/>
      <c r="F55" s="34">
        <f t="shared" si="11"/>
        <v>-75.45</v>
      </c>
      <c r="G55" s="34">
        <f t="shared" si="4"/>
        <v>112.5</v>
      </c>
      <c r="H55" s="34">
        <f t="shared" si="5"/>
        <v>-76.95</v>
      </c>
      <c r="I55" s="34">
        <f t="shared" si="6"/>
        <v>112.5</v>
      </c>
      <c r="J55" s="34"/>
      <c r="K55" s="34">
        <f t="array" ref="K55">IF(ROW(K55)&lt;=COUNTA(F:F)*2,IF(MOD(ROW(K55),2)=1,INDEX(F:F,(ROW(K55)+1)/2),INDEX(H:H,ROW(K55)/2)),"")</f>
        <v>-34.95</v>
      </c>
      <c r="L55" s="34">
        <f t="array" ref="L55">IF(ROW(L55)&lt;=COUNTA(G:G)*2,IF(MOD(ROW(L55),2)=1,INDEX(G:G,(ROW(L55)+1)/2),INDEX(I:I,ROW(L55)/2)),"")</f>
        <v>112.2</v>
      </c>
      <c r="N55" s="21">
        <f t="shared" si="7"/>
        <v>-75.45</v>
      </c>
      <c r="O55" s="21">
        <f t="shared" si="8"/>
        <v>120.5</v>
      </c>
      <c r="P55" s="21">
        <f t="shared" si="0"/>
        <v>-76.95</v>
      </c>
      <c r="Q55" s="21">
        <f t="shared" si="9"/>
        <v>120.5</v>
      </c>
      <c r="R55" s="21"/>
      <c r="S55" s="21">
        <f t="array" ref="S55">IF(ROW(S55)&lt;=COUNTA(N:N)*2,IF(MOD(ROW(S55),2)=1,INDEX(N:N,(ROW(S55)+1)/2),INDEX(P:P,ROW(S55)/2)),"")</f>
        <v>-34.95</v>
      </c>
      <c r="T55" s="21">
        <f t="array" ref="T55">IF(ROW(T55)&lt;=COUNTA(O:O)*2,IF(MOD(ROW(T55),2)=1,INDEX(O:O,(ROW(T55)+1)/2),INDEX(Q:Q,ROW(T55)/2)),"")</f>
        <v>119.8</v>
      </c>
      <c r="V55" s="22">
        <f t="shared" si="10"/>
        <v>-75.45</v>
      </c>
      <c r="W55" s="22">
        <f t="shared" si="1"/>
        <v>125.089525</v>
      </c>
      <c r="X55" s="22">
        <f t="shared" si="2"/>
        <v>-76.95</v>
      </c>
      <c r="Y55" s="22">
        <f t="shared" si="3"/>
        <v>125.089525</v>
      </c>
      <c r="Z55" s="22"/>
      <c r="AA55" s="22">
        <f t="array" ref="AA55">IF(ROW(AA55)&lt;=COUNTA(V:V)*2,IF(MOD(ROW(AA55),2)=1,INDEX(V:V,(ROW(AA55)+1)/2),INDEX(X:X,ROW(AA55)/2)),"")</f>
        <v>-34.95</v>
      </c>
      <c r="AB55" s="22">
        <f t="array" ref="AB55">IF(ROW(AB55)&lt;=COUNTA(W:W)*2,IF(MOD(ROW(AB55),2)=1,INDEX(W:W,(ROW(AB55)+1)/2),INDEX(Y:Y,ROW(AB55)/2)),"")</f>
        <v>125.0532</v>
      </c>
    </row>
    <row r="56" spans="1:28" s="2" customFormat="1" x14ac:dyDescent="0.25">
      <c r="A56" s="32"/>
      <c r="B56" s="20"/>
      <c r="C56" s="21"/>
      <c r="D56" s="22"/>
      <c r="E56" s="33"/>
      <c r="F56" s="34">
        <f t="shared" si="11"/>
        <v>-76.95</v>
      </c>
      <c r="G56" s="34">
        <f t="shared" si="4"/>
        <v>112.5</v>
      </c>
      <c r="H56" s="34">
        <f t="shared" si="5"/>
        <v>-78.45</v>
      </c>
      <c r="I56" s="34">
        <f t="shared" si="6"/>
        <v>112.5</v>
      </c>
      <c r="J56" s="34"/>
      <c r="K56" s="34">
        <f t="array" ref="K56">IF(ROW(K56)&lt;=COUNTA(F:F)*2,IF(MOD(ROW(K56),2)=1,INDEX(F:F,(ROW(K56)+1)/2),INDEX(H:H,ROW(K56)/2)),"")</f>
        <v>-36.45</v>
      </c>
      <c r="L56" s="34">
        <f t="array" ref="L56">IF(ROW(L56)&lt;=COUNTA(G:G)*2,IF(MOD(ROW(L56),2)=1,INDEX(G:G,(ROW(L56)+1)/2),INDEX(I:I,ROW(L56)/2)),"")</f>
        <v>112.2</v>
      </c>
      <c r="N56" s="21">
        <f t="shared" si="7"/>
        <v>-76.95</v>
      </c>
      <c r="O56" s="21">
        <f t="shared" si="8"/>
        <v>119.6</v>
      </c>
      <c r="P56" s="21">
        <f t="shared" si="0"/>
        <v>-78.45</v>
      </c>
      <c r="Q56" s="21">
        <f t="shared" si="9"/>
        <v>119.6</v>
      </c>
      <c r="R56" s="21"/>
      <c r="S56" s="21">
        <f t="array" ref="S56">IF(ROW(S56)&lt;=COUNTA(N:N)*2,IF(MOD(ROW(S56),2)=1,INDEX(N:N,(ROW(S56)+1)/2),INDEX(P:P,ROW(S56)/2)),"")</f>
        <v>-36.45</v>
      </c>
      <c r="T56" s="21">
        <f t="array" ref="T56">IF(ROW(T56)&lt;=COUNTA(O:O)*2,IF(MOD(ROW(T56),2)=1,INDEX(O:O,(ROW(T56)+1)/2),INDEX(Q:Q,ROW(T56)/2)),"")</f>
        <v>119.8</v>
      </c>
      <c r="V56" s="22">
        <f t="shared" si="10"/>
        <v>-76.95</v>
      </c>
      <c r="W56" s="22">
        <f t="shared" si="1"/>
        <v>125.089525</v>
      </c>
      <c r="X56" s="22">
        <f t="shared" si="2"/>
        <v>-78.45</v>
      </c>
      <c r="Y56" s="22">
        <f t="shared" si="3"/>
        <v>125.089525</v>
      </c>
      <c r="Z56" s="22"/>
      <c r="AA56" s="22">
        <f t="array" ref="AA56">IF(ROW(AA56)&lt;=COUNTA(V:V)*2,IF(MOD(ROW(AA56),2)=1,INDEX(V:V,(ROW(AA56)+1)/2),INDEX(X:X,ROW(AA56)/2)),"")</f>
        <v>-36.45</v>
      </c>
      <c r="AB56" s="22">
        <f t="array" ref="AB56">IF(ROW(AB56)&lt;=COUNTA(W:W)*2,IF(MOD(ROW(AB56),2)=1,INDEX(W:W,(ROW(AB56)+1)/2),INDEX(Y:Y,ROW(AB56)/2)),"")</f>
        <v>125.0532</v>
      </c>
    </row>
    <row r="57" spans="1:28" s="2" customFormat="1" x14ac:dyDescent="0.25">
      <c r="A57" s="32"/>
      <c r="B57" s="20"/>
      <c r="C57" s="21"/>
      <c r="D57" s="22"/>
      <c r="E57" s="33"/>
      <c r="F57" s="34">
        <f t="shared" si="11"/>
        <v>-78.45</v>
      </c>
      <c r="G57" s="34">
        <f t="shared" si="4"/>
        <v>112.5</v>
      </c>
      <c r="H57" s="34">
        <f t="shared" si="5"/>
        <v>-79.95</v>
      </c>
      <c r="I57" s="34">
        <f t="shared" si="6"/>
        <v>112.5</v>
      </c>
      <c r="J57" s="34"/>
      <c r="K57" s="34">
        <f t="array" ref="K57">IF(ROW(K57)&lt;=COUNTA(F:F)*2,IF(MOD(ROW(K57),2)=1,INDEX(F:F,(ROW(K57)+1)/2),INDEX(H:H,ROW(K57)/2)),"")</f>
        <v>-36.45</v>
      </c>
      <c r="L57" s="34">
        <f t="array" ref="L57">IF(ROW(L57)&lt;=COUNTA(G:G)*2,IF(MOD(ROW(L57),2)=1,INDEX(G:G,(ROW(L57)+1)/2),INDEX(I:I,ROW(L57)/2)),"")</f>
        <v>112.4</v>
      </c>
      <c r="N57" s="21">
        <f t="shared" si="7"/>
        <v>-78.45</v>
      </c>
      <c r="O57" s="21">
        <f t="shared" si="8"/>
        <v>120</v>
      </c>
      <c r="P57" s="21">
        <f t="shared" si="0"/>
        <v>-79.95</v>
      </c>
      <c r="Q57" s="21">
        <f t="shared" si="9"/>
        <v>120</v>
      </c>
      <c r="R57" s="21"/>
      <c r="S57" s="21">
        <f t="array" ref="S57">IF(ROW(S57)&lt;=COUNTA(N:N)*2,IF(MOD(ROW(S57),2)=1,INDEX(N:N,(ROW(S57)+1)/2),INDEX(P:P,ROW(S57)/2)),"")</f>
        <v>-36.45</v>
      </c>
      <c r="T57" s="21">
        <f t="array" ref="T57">IF(ROW(T57)&lt;=COUNTA(O:O)*2,IF(MOD(ROW(T57),2)=1,INDEX(O:O,(ROW(T57)+1)/2),INDEX(Q:Q,ROW(T57)/2)),"")</f>
        <v>113.6</v>
      </c>
      <c r="V57" s="22">
        <f t="shared" si="10"/>
        <v>-78.45</v>
      </c>
      <c r="W57" s="22">
        <f t="shared" si="1"/>
        <v>125.089525</v>
      </c>
      <c r="X57" s="22">
        <f t="shared" si="2"/>
        <v>-79.95</v>
      </c>
      <c r="Y57" s="22">
        <f t="shared" si="3"/>
        <v>125.089525</v>
      </c>
      <c r="Z57" s="22"/>
      <c r="AA57" s="22">
        <f t="array" ref="AA57">IF(ROW(AA57)&lt;=COUNTA(V:V)*2,IF(MOD(ROW(AA57),2)=1,INDEX(V:V,(ROW(AA57)+1)/2),INDEX(X:X,ROW(AA57)/2)),"")</f>
        <v>-36.45</v>
      </c>
      <c r="AB57" s="22">
        <f t="array" ref="AB57">IF(ROW(AB57)&lt;=COUNTA(W:W)*2,IF(MOD(ROW(AB57),2)=1,INDEX(W:W,(ROW(AB57)+1)/2),INDEX(Y:Y,ROW(AB57)/2)),"")</f>
        <v>125.0532</v>
      </c>
    </row>
    <row r="58" spans="1:28" s="2" customFormat="1" x14ac:dyDescent="0.25">
      <c r="A58" s="32"/>
      <c r="B58" s="20"/>
      <c r="C58" s="21"/>
      <c r="D58" s="22"/>
      <c r="E58" s="33"/>
      <c r="F58" s="34">
        <f t="shared" si="11"/>
        <v>-79.95</v>
      </c>
      <c r="G58" s="34">
        <f t="shared" si="4"/>
        <v>112.5</v>
      </c>
      <c r="H58" s="34">
        <f t="shared" si="5"/>
        <v>-81.45</v>
      </c>
      <c r="I58" s="34">
        <f t="shared" si="6"/>
        <v>112.5</v>
      </c>
      <c r="J58" s="34"/>
      <c r="K58" s="34">
        <f t="array" ref="K58">IF(ROW(K58)&lt;=COUNTA(F:F)*2,IF(MOD(ROW(K58),2)=1,INDEX(F:F,(ROW(K58)+1)/2),INDEX(H:H,ROW(K58)/2)),"")</f>
        <v>-37.95</v>
      </c>
      <c r="L58" s="34">
        <f t="array" ref="L58">IF(ROW(L58)&lt;=COUNTA(G:G)*2,IF(MOD(ROW(L58),2)=1,INDEX(G:G,(ROW(L58)+1)/2),INDEX(I:I,ROW(L58)/2)),"")</f>
        <v>112.4</v>
      </c>
      <c r="N58" s="21">
        <f t="shared" si="7"/>
        <v>-79.95</v>
      </c>
      <c r="O58" s="21">
        <f t="shared" si="8"/>
        <v>119</v>
      </c>
      <c r="P58" s="21">
        <f t="shared" si="0"/>
        <v>-81.45</v>
      </c>
      <c r="Q58" s="21">
        <f t="shared" si="9"/>
        <v>119</v>
      </c>
      <c r="R58" s="21"/>
      <c r="S58" s="21">
        <f t="array" ref="S58">IF(ROW(S58)&lt;=COUNTA(N:N)*2,IF(MOD(ROW(S58),2)=1,INDEX(N:N,(ROW(S58)+1)/2),INDEX(P:P,ROW(S58)/2)),"")</f>
        <v>-37.95</v>
      </c>
      <c r="T58" s="21">
        <f t="array" ref="T58">IF(ROW(T58)&lt;=COUNTA(O:O)*2,IF(MOD(ROW(T58),2)=1,INDEX(O:O,(ROW(T58)+1)/2),INDEX(Q:Q,ROW(T58)/2)),"")</f>
        <v>113.6</v>
      </c>
      <c r="V58" s="22">
        <f t="shared" si="10"/>
        <v>-79.95</v>
      </c>
      <c r="W58" s="22">
        <f t="shared" si="1"/>
        <v>125.1033</v>
      </c>
      <c r="X58" s="22">
        <f t="shared" si="2"/>
        <v>-81.45</v>
      </c>
      <c r="Y58" s="22">
        <f t="shared" si="3"/>
        <v>125.1033</v>
      </c>
      <c r="Z58" s="22"/>
      <c r="AA58" s="22">
        <f t="array" ref="AA58">IF(ROW(AA58)&lt;=COUNTA(V:V)*2,IF(MOD(ROW(AA58),2)=1,INDEX(V:V,(ROW(AA58)+1)/2),INDEX(X:X,ROW(AA58)/2)),"")</f>
        <v>-37.95</v>
      </c>
      <c r="AB58" s="22">
        <f t="array" ref="AB58">IF(ROW(AB58)&lt;=COUNTA(W:W)*2,IF(MOD(ROW(AB58),2)=1,INDEX(W:W,(ROW(AB58)+1)/2),INDEX(Y:Y,ROW(AB58)/2)),"")</f>
        <v>125.0532</v>
      </c>
    </row>
    <row r="59" spans="1:28" s="2" customFormat="1" x14ac:dyDescent="0.25">
      <c r="A59" s="32"/>
      <c r="B59" s="20"/>
      <c r="C59" s="21"/>
      <c r="D59" s="22"/>
      <c r="E59" s="33"/>
      <c r="F59" s="34">
        <f t="shared" si="11"/>
        <v>-81.45</v>
      </c>
      <c r="G59" s="34">
        <f t="shared" si="4"/>
        <v>112.5</v>
      </c>
      <c r="H59" s="34">
        <f t="shared" si="5"/>
        <v>-82.95</v>
      </c>
      <c r="I59" s="34">
        <f t="shared" si="6"/>
        <v>112.5</v>
      </c>
      <c r="J59" s="34"/>
      <c r="K59" s="34">
        <f t="array" ref="K59">IF(ROW(K59)&lt;=COUNTA(F:F)*2,IF(MOD(ROW(K59),2)=1,INDEX(F:F,(ROW(K59)+1)/2),INDEX(H:H,ROW(K59)/2)),"")</f>
        <v>-37.95</v>
      </c>
      <c r="L59" s="34">
        <f t="array" ref="L59">IF(ROW(L59)&lt;=COUNTA(G:G)*2,IF(MOD(ROW(L59),2)=1,INDEX(G:G,(ROW(L59)+1)/2),INDEX(I:I,ROW(L59)/2)),"")</f>
        <v>112.4</v>
      </c>
      <c r="N59" s="21">
        <f t="shared" si="7"/>
        <v>-81.45</v>
      </c>
      <c r="O59" s="21">
        <f t="shared" si="8"/>
        <v>118.4</v>
      </c>
      <c r="P59" s="21">
        <f t="shared" si="0"/>
        <v>-82.95</v>
      </c>
      <c r="Q59" s="21">
        <f t="shared" si="9"/>
        <v>118.4</v>
      </c>
      <c r="R59" s="21"/>
      <c r="S59" s="21">
        <f t="array" ref="S59">IF(ROW(S59)&lt;=COUNTA(N:N)*2,IF(MOD(ROW(S59),2)=1,INDEX(N:N,(ROW(S59)+1)/2),INDEX(P:P,ROW(S59)/2)),"")</f>
        <v>-37.95</v>
      </c>
      <c r="T59" s="21">
        <f t="array" ref="T59">IF(ROW(T59)&lt;=COUNTA(O:O)*2,IF(MOD(ROW(T59),2)=1,INDEX(O:O,(ROW(T59)+1)/2),INDEX(Q:Q,ROW(T59)/2)),"")</f>
        <v>118</v>
      </c>
      <c r="V59" s="22">
        <f t="shared" si="10"/>
        <v>-81.45</v>
      </c>
      <c r="W59" s="22">
        <f t="shared" si="1"/>
        <v>125.089525</v>
      </c>
      <c r="X59" s="22">
        <f t="shared" si="2"/>
        <v>-82.95</v>
      </c>
      <c r="Y59" s="22">
        <f t="shared" si="3"/>
        <v>125.089525</v>
      </c>
      <c r="Z59" s="22"/>
      <c r="AA59" s="22">
        <f t="array" ref="AA59">IF(ROW(AA59)&lt;=COUNTA(V:V)*2,IF(MOD(ROW(AA59),2)=1,INDEX(V:V,(ROW(AA59)+1)/2),INDEX(X:X,ROW(AA59)/2)),"")</f>
        <v>-37.95</v>
      </c>
      <c r="AB59" s="22">
        <f t="array" ref="AB59">IF(ROW(AB59)&lt;=COUNTA(W:W)*2,IF(MOD(ROW(AB59),2)=1,INDEX(W:W,(ROW(AB59)+1)/2),INDEX(Y:Y,ROW(AB59)/2)),"")</f>
        <v>125.051425</v>
      </c>
    </row>
    <row r="60" spans="1:28" s="2" customFormat="1" x14ac:dyDescent="0.25">
      <c r="A60" s="32"/>
      <c r="B60" s="20"/>
      <c r="C60" s="21"/>
      <c r="D60" s="22"/>
      <c r="E60" s="33"/>
      <c r="F60" s="34">
        <f t="shared" si="11"/>
        <v>-82.95</v>
      </c>
      <c r="G60" s="34">
        <f t="shared" si="4"/>
        <v>112.5</v>
      </c>
      <c r="H60" s="34">
        <f t="shared" si="5"/>
        <v>-84.45</v>
      </c>
      <c r="I60" s="34">
        <f t="shared" si="6"/>
        <v>112.5</v>
      </c>
      <c r="J60" s="34"/>
      <c r="K60" s="34">
        <f t="array" ref="K60">IF(ROW(K60)&lt;=COUNTA(F:F)*2,IF(MOD(ROW(K60),2)=1,INDEX(F:F,(ROW(K60)+1)/2),INDEX(H:H,ROW(K60)/2)),"")</f>
        <v>-39.45</v>
      </c>
      <c r="L60" s="34">
        <f t="array" ref="L60">IF(ROW(L60)&lt;=COUNTA(G:G)*2,IF(MOD(ROW(L60),2)=1,INDEX(G:G,(ROW(L60)+1)/2),INDEX(I:I,ROW(L60)/2)),"")</f>
        <v>112.4</v>
      </c>
      <c r="N60" s="21">
        <f t="shared" si="7"/>
        <v>-82.95</v>
      </c>
      <c r="O60" s="21">
        <f t="shared" si="8"/>
        <v>117.7</v>
      </c>
      <c r="P60" s="21">
        <f t="shared" si="0"/>
        <v>-84.45</v>
      </c>
      <c r="Q60" s="21">
        <f t="shared" si="9"/>
        <v>117.7</v>
      </c>
      <c r="R60" s="21"/>
      <c r="S60" s="21">
        <f t="array" ref="S60">IF(ROW(S60)&lt;=COUNTA(N:N)*2,IF(MOD(ROW(S60),2)=1,INDEX(N:N,(ROW(S60)+1)/2),INDEX(P:P,ROW(S60)/2)),"")</f>
        <v>-39.45</v>
      </c>
      <c r="T60" s="21">
        <f t="array" ref="T60">IF(ROW(T60)&lt;=COUNTA(O:O)*2,IF(MOD(ROW(T60),2)=1,INDEX(O:O,(ROW(T60)+1)/2),INDEX(Q:Q,ROW(T60)/2)),"")</f>
        <v>118</v>
      </c>
      <c r="V60" s="22">
        <f t="shared" si="10"/>
        <v>-82.95</v>
      </c>
      <c r="W60" s="22">
        <f t="shared" si="1"/>
        <v>125.089525</v>
      </c>
      <c r="X60" s="22">
        <f t="shared" si="2"/>
        <v>-84.45</v>
      </c>
      <c r="Y60" s="22">
        <f t="shared" si="3"/>
        <v>125.089525</v>
      </c>
      <c r="Z60" s="22"/>
      <c r="AA60" s="22">
        <f t="array" ref="AA60">IF(ROW(AA60)&lt;=COUNTA(V:V)*2,IF(MOD(ROW(AA60),2)=1,INDEX(V:V,(ROW(AA60)+1)/2),INDEX(X:X,ROW(AA60)/2)),"")</f>
        <v>-39.45</v>
      </c>
      <c r="AB60" s="22">
        <f t="array" ref="AB60">IF(ROW(AB60)&lt;=COUNTA(W:W)*2,IF(MOD(ROW(AB60),2)=1,INDEX(W:W,(ROW(AB60)+1)/2),INDEX(Y:Y,ROW(AB60)/2)),"")</f>
        <v>125.051425</v>
      </c>
    </row>
    <row r="61" spans="1:28" s="2" customFormat="1" x14ac:dyDescent="0.25">
      <c r="A61" s="35"/>
      <c r="B61" s="20"/>
      <c r="C61" s="21"/>
      <c r="D61" s="22"/>
      <c r="E61" s="33"/>
      <c r="F61" s="34">
        <f t="shared" si="11"/>
        <v>-84.45</v>
      </c>
      <c r="G61" s="34">
        <f t="shared" si="4"/>
        <v>112.5</v>
      </c>
      <c r="H61" s="34">
        <f t="shared" si="5"/>
        <v>-85.95</v>
      </c>
      <c r="I61" s="34">
        <f t="shared" si="6"/>
        <v>112.5</v>
      </c>
      <c r="J61" s="34"/>
      <c r="K61" s="34">
        <f t="array" ref="K61">IF(ROW(K61)&lt;=COUNTA(F:F)*2,IF(MOD(ROW(K61),2)=1,INDEX(F:F,(ROW(K61)+1)/2),INDEX(H:H,ROW(K61)/2)),"")</f>
        <v>-39.45</v>
      </c>
      <c r="L61" s="34">
        <f t="array" ref="L61">IF(ROW(L61)&lt;=COUNTA(G:G)*2,IF(MOD(ROW(L61),2)=1,INDEX(G:G,(ROW(L61)+1)/2),INDEX(I:I,ROW(L61)/2)),"")</f>
        <v>111.8</v>
      </c>
      <c r="N61" s="21">
        <f t="shared" si="7"/>
        <v>-84.45</v>
      </c>
      <c r="O61" s="21">
        <f t="shared" si="8"/>
        <v>117.9</v>
      </c>
      <c r="P61" s="21">
        <f t="shared" si="0"/>
        <v>-85.95</v>
      </c>
      <c r="Q61" s="21">
        <f t="shared" si="9"/>
        <v>117.9</v>
      </c>
      <c r="R61" s="21"/>
      <c r="S61" s="21">
        <f t="array" ref="S61">IF(ROW(S61)&lt;=COUNTA(N:N)*2,IF(MOD(ROW(S61),2)=1,INDEX(N:N,(ROW(S61)+1)/2),INDEX(P:P,ROW(S61)/2)),"")</f>
        <v>-39.45</v>
      </c>
      <c r="T61" s="21">
        <f t="array" ref="T61">IF(ROW(T61)&lt;=COUNTA(O:O)*2,IF(MOD(ROW(T61),2)=1,INDEX(O:O,(ROW(T61)+1)/2),INDEX(Q:Q,ROW(T61)/2)),"")</f>
        <v>116.4</v>
      </c>
      <c r="V61" s="22">
        <f t="shared" si="10"/>
        <v>-84.45</v>
      </c>
      <c r="W61" s="22">
        <f t="shared" si="1"/>
        <v>125.1033</v>
      </c>
      <c r="X61" s="22">
        <f t="shared" si="2"/>
        <v>-85.95</v>
      </c>
      <c r="Y61" s="22">
        <f t="shared" si="3"/>
        <v>125.1033</v>
      </c>
      <c r="Z61" s="22"/>
      <c r="AA61" s="22">
        <f t="array" ref="AA61">IF(ROW(AA61)&lt;=COUNTA(V:V)*2,IF(MOD(ROW(AA61),2)=1,INDEX(V:V,(ROW(AA61)+1)/2),INDEX(X:X,ROW(AA61)/2)),"")</f>
        <v>-39.45</v>
      </c>
      <c r="AB61" s="22">
        <f t="array" ref="AB61">IF(ROW(AB61)&lt;=COUNTA(W:W)*2,IF(MOD(ROW(AB61),2)=1,INDEX(W:W,(ROW(AB61)+1)/2),INDEX(Y:Y,ROW(AB61)/2)),"")</f>
        <v>125.0552</v>
      </c>
    </row>
    <row r="62" spans="1:28" s="2" customFormat="1" x14ac:dyDescent="0.25">
      <c r="A62" s="35"/>
      <c r="B62" s="20"/>
      <c r="C62" s="21"/>
      <c r="D62" s="22"/>
      <c r="E62" s="33"/>
      <c r="F62" s="34">
        <f t="shared" si="11"/>
        <v>-85.95</v>
      </c>
      <c r="G62" s="34">
        <f t="shared" si="4"/>
        <v>112.5</v>
      </c>
      <c r="H62" s="34">
        <f t="shared" si="5"/>
        <v>-87.45</v>
      </c>
      <c r="I62" s="34">
        <f t="shared" si="6"/>
        <v>112.5</v>
      </c>
      <c r="J62" s="34"/>
      <c r="K62" s="34">
        <f t="array" ref="K62">IF(ROW(K62)&lt;=COUNTA(F:F)*2,IF(MOD(ROW(K62),2)=1,INDEX(F:F,(ROW(K62)+1)/2),INDEX(H:H,ROW(K62)/2)),"")</f>
        <v>-40.95</v>
      </c>
      <c r="L62" s="34">
        <f t="array" ref="L62">IF(ROW(L62)&lt;=COUNTA(G:G)*2,IF(MOD(ROW(L62),2)=1,INDEX(G:G,(ROW(L62)+1)/2),INDEX(I:I,ROW(L62)/2)),"")</f>
        <v>111.8</v>
      </c>
      <c r="N62" s="21">
        <f t="shared" si="7"/>
        <v>-85.95</v>
      </c>
      <c r="O62" s="21">
        <f t="shared" si="8"/>
        <v>119.5</v>
      </c>
      <c r="P62" s="21">
        <f t="shared" si="0"/>
        <v>-87.45</v>
      </c>
      <c r="Q62" s="21">
        <f t="shared" si="9"/>
        <v>119.5</v>
      </c>
      <c r="R62" s="21"/>
      <c r="S62" s="21">
        <f t="array" ref="S62">IF(ROW(S62)&lt;=COUNTA(N:N)*2,IF(MOD(ROW(S62),2)=1,INDEX(N:N,(ROW(S62)+1)/2),INDEX(P:P,ROW(S62)/2)),"")</f>
        <v>-40.95</v>
      </c>
      <c r="T62" s="21">
        <f t="array" ref="T62">IF(ROW(T62)&lt;=COUNTA(O:O)*2,IF(MOD(ROW(T62),2)=1,INDEX(O:O,(ROW(T62)+1)/2),INDEX(Q:Q,ROW(T62)/2)),"")</f>
        <v>116.4</v>
      </c>
      <c r="V62" s="22">
        <f t="shared" si="10"/>
        <v>-85.95</v>
      </c>
      <c r="W62" s="22">
        <f t="shared" si="1"/>
        <v>125.1033</v>
      </c>
      <c r="X62" s="22">
        <f t="shared" si="2"/>
        <v>-87.45</v>
      </c>
      <c r="Y62" s="22">
        <f t="shared" si="3"/>
        <v>125.1033</v>
      </c>
      <c r="Z62" s="22"/>
      <c r="AA62" s="22">
        <f t="array" ref="AA62">IF(ROW(AA62)&lt;=COUNTA(V:V)*2,IF(MOD(ROW(AA62),2)=1,INDEX(V:V,(ROW(AA62)+1)/2),INDEX(X:X,ROW(AA62)/2)),"")</f>
        <v>-40.95</v>
      </c>
      <c r="AB62" s="22">
        <f t="array" ref="AB62">IF(ROW(AB62)&lt;=COUNTA(W:W)*2,IF(MOD(ROW(AB62),2)=1,INDEX(W:W,(ROW(AB62)+1)/2),INDEX(Y:Y,ROW(AB62)/2)),"")</f>
        <v>125.0552</v>
      </c>
    </row>
    <row r="63" spans="1:28" s="2" customFormat="1" x14ac:dyDescent="0.25">
      <c r="A63" s="35"/>
      <c r="B63" s="20"/>
      <c r="C63" s="21"/>
      <c r="D63" s="22"/>
      <c r="E63" s="33"/>
      <c r="F63" s="34">
        <f t="shared" si="11"/>
        <v>-87.45</v>
      </c>
      <c r="G63" s="34">
        <f t="shared" si="4"/>
        <v>112.5</v>
      </c>
      <c r="H63" s="34">
        <f t="shared" si="5"/>
        <v>-88.95</v>
      </c>
      <c r="I63" s="34">
        <f t="shared" si="6"/>
        <v>112.5</v>
      </c>
      <c r="J63" s="34"/>
      <c r="K63" s="34">
        <f t="array" ref="K63">IF(ROW(K63)&lt;=COUNTA(F:F)*2,IF(MOD(ROW(K63),2)=1,INDEX(F:F,(ROW(K63)+1)/2),INDEX(H:H,ROW(K63)/2)),"")</f>
        <v>-40.95</v>
      </c>
      <c r="L63" s="34">
        <f t="array" ref="L63">IF(ROW(L63)&lt;=COUNTA(G:G)*2,IF(MOD(ROW(L63),2)=1,INDEX(G:G,(ROW(L63)+1)/2),INDEX(I:I,ROW(L63)/2)),"")</f>
        <v>112.1</v>
      </c>
      <c r="N63" s="21">
        <f t="shared" si="7"/>
        <v>-87.45</v>
      </c>
      <c r="O63" s="21">
        <f t="shared" si="8"/>
        <v>116.9</v>
      </c>
      <c r="P63" s="21">
        <f t="shared" si="0"/>
        <v>-88.95</v>
      </c>
      <c r="Q63" s="21">
        <f t="shared" si="9"/>
        <v>116.9</v>
      </c>
      <c r="R63" s="21"/>
      <c r="S63" s="21">
        <f t="array" ref="S63">IF(ROW(S63)&lt;=COUNTA(N:N)*2,IF(MOD(ROW(S63),2)=1,INDEX(N:N,(ROW(S63)+1)/2),INDEX(P:P,ROW(S63)/2)),"")</f>
        <v>-40.95</v>
      </c>
      <c r="T63" s="21">
        <f t="array" ref="T63">IF(ROW(T63)&lt;=COUNTA(O:O)*2,IF(MOD(ROW(T63),2)=1,INDEX(O:O,(ROW(T63)+1)/2),INDEX(Q:Q,ROW(T63)/2)),"")</f>
        <v>121.6</v>
      </c>
      <c r="V63" s="22">
        <f t="shared" si="10"/>
        <v>-87.45</v>
      </c>
      <c r="W63" s="22">
        <f t="shared" si="1"/>
        <v>125.1033</v>
      </c>
      <c r="X63" s="22">
        <f t="shared" si="2"/>
        <v>-88.95</v>
      </c>
      <c r="Y63" s="22">
        <f t="shared" si="3"/>
        <v>125.1033</v>
      </c>
      <c r="Z63" s="22"/>
      <c r="AA63" s="22">
        <f t="array" ref="AA63">IF(ROW(AA63)&lt;=COUNTA(V:V)*2,IF(MOD(ROW(AA63),2)=1,INDEX(V:V,(ROW(AA63)+1)/2),INDEX(X:X,ROW(AA63)/2)),"")</f>
        <v>-40.95</v>
      </c>
      <c r="AB63" s="22">
        <f t="array" ref="AB63">IF(ROW(AB63)&lt;=COUNTA(W:W)*2,IF(MOD(ROW(AB63),2)=1,INDEX(W:W,(ROW(AB63)+1)/2),INDEX(Y:Y,ROW(AB63)/2)),"")</f>
        <v>125.0552</v>
      </c>
    </row>
    <row r="64" spans="1:28" s="2" customFormat="1" x14ac:dyDescent="0.25">
      <c r="A64" s="35"/>
      <c r="B64" s="20"/>
      <c r="C64" s="21"/>
      <c r="D64" s="22"/>
      <c r="E64" s="33"/>
      <c r="F64" s="34">
        <f t="shared" si="11"/>
        <v>-88.95</v>
      </c>
      <c r="G64" s="34">
        <f t="shared" si="4"/>
        <v>112.5</v>
      </c>
      <c r="H64" s="34">
        <f t="shared" si="5"/>
        <v>-90.45</v>
      </c>
      <c r="I64" s="34">
        <f t="shared" si="6"/>
        <v>112.5</v>
      </c>
      <c r="J64" s="34"/>
      <c r="K64" s="34">
        <f t="array" ref="K64">IF(ROW(K64)&lt;=COUNTA(F:F)*2,IF(MOD(ROW(K64),2)=1,INDEX(F:F,(ROW(K64)+1)/2),INDEX(H:H,ROW(K64)/2)),"")</f>
        <v>-42.35</v>
      </c>
      <c r="L64" s="34">
        <f t="array" ref="L64">IF(ROW(L64)&lt;=COUNTA(G:G)*2,IF(MOD(ROW(L64),2)=1,INDEX(G:G,(ROW(L64)+1)/2),INDEX(I:I,ROW(L64)/2)),"")</f>
        <v>112.1</v>
      </c>
      <c r="N64" s="21">
        <f t="shared" si="7"/>
        <v>-88.95</v>
      </c>
      <c r="O64" s="21">
        <f t="shared" si="8"/>
        <v>118.8</v>
      </c>
      <c r="P64" s="21">
        <f t="shared" si="0"/>
        <v>-90.45</v>
      </c>
      <c r="Q64" s="21">
        <f t="shared" si="9"/>
        <v>118.8</v>
      </c>
      <c r="R64" s="21"/>
      <c r="S64" s="21">
        <f t="array" ref="S64">IF(ROW(S64)&lt;=COUNTA(N:N)*2,IF(MOD(ROW(S64),2)=1,INDEX(N:N,(ROW(S64)+1)/2),INDEX(P:P,ROW(S64)/2)),"")</f>
        <v>-42.35</v>
      </c>
      <c r="T64" s="21">
        <f t="array" ref="T64">IF(ROW(T64)&lt;=COUNTA(O:O)*2,IF(MOD(ROW(T64),2)=1,INDEX(O:O,(ROW(T64)+1)/2),INDEX(Q:Q,ROW(T64)/2)),"")</f>
        <v>121.6</v>
      </c>
      <c r="V64" s="22">
        <f t="shared" si="10"/>
        <v>-88.95</v>
      </c>
      <c r="W64" s="22">
        <f t="shared" si="1"/>
        <v>125.103275</v>
      </c>
      <c r="X64" s="22">
        <f t="shared" si="2"/>
        <v>-90.45</v>
      </c>
      <c r="Y64" s="22">
        <f t="shared" si="3"/>
        <v>125.103275</v>
      </c>
      <c r="Z64" s="22"/>
      <c r="AA64" s="22">
        <f t="array" ref="AA64">IF(ROW(AA64)&lt;=COUNTA(V:V)*2,IF(MOD(ROW(AA64),2)=1,INDEX(V:V,(ROW(AA64)+1)/2),INDEX(X:X,ROW(AA64)/2)),"")</f>
        <v>-42.35</v>
      </c>
      <c r="AB64" s="22">
        <f t="array" ref="AB64">IF(ROW(AB64)&lt;=COUNTA(W:W)*2,IF(MOD(ROW(AB64),2)=1,INDEX(W:W,(ROW(AB64)+1)/2),INDEX(Y:Y,ROW(AB64)/2)),"")</f>
        <v>125.0552</v>
      </c>
    </row>
    <row r="65" spans="1:28" s="2" customFormat="1" x14ac:dyDescent="0.25">
      <c r="A65" s="35"/>
      <c r="B65" s="20"/>
      <c r="C65" s="21"/>
      <c r="D65" s="22"/>
      <c r="E65" s="33"/>
      <c r="F65" s="34">
        <f t="shared" si="11"/>
        <v>-90.45</v>
      </c>
      <c r="G65" s="34">
        <f t="shared" si="4"/>
        <v>112.5</v>
      </c>
      <c r="H65" s="34">
        <f t="shared" si="5"/>
        <v>-91.95</v>
      </c>
      <c r="I65" s="34">
        <f t="shared" si="6"/>
        <v>112.5</v>
      </c>
      <c r="J65" s="34"/>
      <c r="K65" s="34">
        <f t="array" ref="K65">IF(ROW(K65)&lt;=COUNTA(F:F)*2,IF(MOD(ROW(K65),2)=1,INDEX(F:F,(ROW(K65)+1)/2),INDEX(H:H,ROW(K65)/2)),"")</f>
        <v>-42.35</v>
      </c>
      <c r="L65" s="34">
        <f t="array" ref="L65">IF(ROW(L65)&lt;=COUNTA(G:G)*2,IF(MOD(ROW(L65),2)=1,INDEX(G:G,(ROW(L65)+1)/2),INDEX(I:I,ROW(L65)/2)),"")</f>
        <v>111.9</v>
      </c>
      <c r="N65" s="21">
        <f t="shared" si="7"/>
        <v>-90.45</v>
      </c>
      <c r="O65" s="21">
        <f t="shared" si="8"/>
        <v>119.2</v>
      </c>
      <c r="P65" s="21">
        <f t="shared" si="0"/>
        <v>-91.95</v>
      </c>
      <c r="Q65" s="21">
        <f t="shared" si="9"/>
        <v>119.2</v>
      </c>
      <c r="R65" s="21"/>
      <c r="S65" s="21">
        <f t="array" ref="S65">IF(ROW(S65)&lt;=COUNTA(N:N)*2,IF(MOD(ROW(S65),2)=1,INDEX(N:N,(ROW(S65)+1)/2),INDEX(P:P,ROW(S65)/2)),"")</f>
        <v>-42.35</v>
      </c>
      <c r="T65" s="21">
        <f t="array" ref="T65">IF(ROW(T65)&lt;=COUNTA(O:O)*2,IF(MOD(ROW(T65),2)=1,INDEX(O:O,(ROW(T65)+1)/2),INDEX(Q:Q,ROW(T65)/2)),"")</f>
        <v>119.5</v>
      </c>
      <c r="V65" s="22">
        <f t="shared" si="10"/>
        <v>-90.45</v>
      </c>
      <c r="W65" s="22">
        <f t="shared" si="1"/>
        <v>125.0511</v>
      </c>
      <c r="X65" s="22">
        <f t="shared" si="2"/>
        <v>-91.95</v>
      </c>
      <c r="Y65" s="22">
        <f t="shared" si="3"/>
        <v>125.0511</v>
      </c>
      <c r="Z65" s="22"/>
      <c r="AA65" s="22">
        <f t="array" ref="AA65">IF(ROW(AA65)&lt;=COUNTA(V:V)*2,IF(MOD(ROW(AA65),2)=1,INDEX(V:V,(ROW(AA65)+1)/2),INDEX(X:X,ROW(AA65)/2)),"")</f>
        <v>-42.35</v>
      </c>
      <c r="AB65" s="22">
        <f t="array" ref="AB65">IF(ROW(AB65)&lt;=COUNTA(W:W)*2,IF(MOD(ROW(AB65),2)=1,INDEX(W:W,(ROW(AB65)+1)/2),INDEX(Y:Y,ROW(AB65)/2)),"")</f>
        <v>125.13435</v>
      </c>
    </row>
    <row r="66" spans="1:28" s="2" customFormat="1" x14ac:dyDescent="0.25">
      <c r="A66" s="35"/>
      <c r="B66" s="20"/>
      <c r="C66" s="21"/>
      <c r="D66" s="22"/>
      <c r="E66" s="33"/>
      <c r="F66" s="34">
        <f t="shared" si="11"/>
        <v>-91.95</v>
      </c>
      <c r="G66" s="34">
        <f t="shared" si="4"/>
        <v>112.3</v>
      </c>
      <c r="H66" s="34">
        <f t="shared" si="5"/>
        <v>-93.45</v>
      </c>
      <c r="I66" s="34">
        <f t="shared" si="6"/>
        <v>112.3</v>
      </c>
      <c r="J66" s="34"/>
      <c r="K66" s="34">
        <f t="array" ref="K66">IF(ROW(K66)&lt;=COUNTA(F:F)*2,IF(MOD(ROW(K66),2)=1,INDEX(F:F,(ROW(K66)+1)/2),INDEX(H:H,ROW(K66)/2)),"")</f>
        <v>-43.95</v>
      </c>
      <c r="L66" s="34">
        <f t="array" ref="L66">IF(ROW(L66)&lt;=COUNTA(G:G)*2,IF(MOD(ROW(L66),2)=1,INDEX(G:G,(ROW(L66)+1)/2),INDEX(I:I,ROW(L66)/2)),"")</f>
        <v>111.9</v>
      </c>
      <c r="N66" s="21">
        <f t="shared" si="7"/>
        <v>-91.95</v>
      </c>
      <c r="O66" s="21">
        <f t="shared" si="8"/>
        <v>121.2</v>
      </c>
      <c r="P66" s="21">
        <f t="shared" si="0"/>
        <v>-93.45</v>
      </c>
      <c r="Q66" s="21">
        <f t="shared" si="9"/>
        <v>121.2</v>
      </c>
      <c r="R66" s="21"/>
      <c r="S66" s="21">
        <f t="array" ref="S66">IF(ROW(S66)&lt;=COUNTA(N:N)*2,IF(MOD(ROW(S66),2)=1,INDEX(N:N,(ROW(S66)+1)/2),INDEX(P:P,ROW(S66)/2)),"")</f>
        <v>-43.95</v>
      </c>
      <c r="T66" s="21">
        <f t="array" ref="T66">IF(ROW(T66)&lt;=COUNTA(O:O)*2,IF(MOD(ROW(T66),2)=1,INDEX(O:O,(ROW(T66)+1)/2),INDEX(Q:Q,ROW(T66)/2)),"")</f>
        <v>119.5</v>
      </c>
      <c r="V66" s="22">
        <f t="shared" si="10"/>
        <v>-91.95</v>
      </c>
      <c r="W66" s="22">
        <f t="shared" si="1"/>
        <v>125.0511</v>
      </c>
      <c r="X66" s="22">
        <f t="shared" si="2"/>
        <v>-93.45</v>
      </c>
      <c r="Y66" s="22">
        <f t="shared" si="3"/>
        <v>125.0511</v>
      </c>
      <c r="Z66" s="22"/>
      <c r="AA66" s="22">
        <f t="array" ref="AA66">IF(ROW(AA66)&lt;=COUNTA(V:V)*2,IF(MOD(ROW(AA66),2)=1,INDEX(V:V,(ROW(AA66)+1)/2),INDEX(X:X,ROW(AA66)/2)),"")</f>
        <v>-43.95</v>
      </c>
      <c r="AB66" s="22">
        <f t="array" ref="AB66">IF(ROW(AB66)&lt;=COUNTA(W:W)*2,IF(MOD(ROW(AB66),2)=1,INDEX(W:W,(ROW(AB66)+1)/2),INDEX(Y:Y,ROW(AB66)/2)),"")</f>
        <v>125.13435</v>
      </c>
    </row>
    <row r="67" spans="1:28" s="2" customFormat="1" x14ac:dyDescent="0.25">
      <c r="A67" s="35"/>
      <c r="B67" s="20"/>
      <c r="C67" s="21"/>
      <c r="D67" s="22"/>
      <c r="E67" s="33"/>
      <c r="F67" s="34">
        <f t="shared" si="11"/>
        <v>-93.45</v>
      </c>
      <c r="G67" s="34">
        <f t="shared" si="4"/>
        <v>112.4</v>
      </c>
      <c r="H67" s="34">
        <f t="shared" ref="H67:H130" si="12">0-A67</f>
        <v>-94.95</v>
      </c>
      <c r="I67" s="34">
        <f t="shared" si="6"/>
        <v>112.4</v>
      </c>
      <c r="J67" s="34"/>
      <c r="K67" s="34">
        <f t="array" ref="K67">IF(ROW(K67)&lt;=COUNTA(F:F)*2,IF(MOD(ROW(K67),2)=1,INDEX(F:F,(ROW(K67)+1)/2),INDEX(H:H,ROW(K67)/2)),"")</f>
        <v>-43.95</v>
      </c>
      <c r="L67" s="34">
        <f t="array" ref="L67">IF(ROW(L67)&lt;=COUNTA(G:G)*2,IF(MOD(ROW(L67),2)=1,INDEX(G:G,(ROW(L67)+1)/2),INDEX(I:I,ROW(L67)/2)),"")</f>
        <v>112.5</v>
      </c>
      <c r="N67" s="21">
        <f t="shared" si="7"/>
        <v>-93.45</v>
      </c>
      <c r="O67" s="21">
        <f t="shared" si="8"/>
        <v>122</v>
      </c>
      <c r="P67" s="21">
        <f t="shared" ref="P67:P130" si="13">0-A67</f>
        <v>-94.95</v>
      </c>
      <c r="Q67" s="21">
        <f t="shared" si="9"/>
        <v>122</v>
      </c>
      <c r="R67" s="21"/>
      <c r="S67" s="21">
        <f t="array" ref="S67">IF(ROW(S67)&lt;=COUNTA(N:N)*2,IF(MOD(ROW(S67),2)=1,INDEX(N:N,(ROW(S67)+1)/2),INDEX(P:P,ROW(S67)/2)),"")</f>
        <v>-43.95</v>
      </c>
      <c r="T67" s="21">
        <f t="array" ref="T67">IF(ROW(T67)&lt;=COUNTA(O:O)*2,IF(MOD(ROW(T67),2)=1,INDEX(O:O,(ROW(T67)+1)/2),INDEX(Q:Q,ROW(T67)/2)),"")</f>
        <v>118</v>
      </c>
      <c r="V67" s="22">
        <f t="shared" si="10"/>
        <v>-93.45</v>
      </c>
      <c r="W67" s="22">
        <f t="shared" ref="W67:W130" si="14">(49+(D67)*4/4)*2.5</f>
        <v>125.05095</v>
      </c>
      <c r="X67" s="22">
        <f t="shared" ref="X67:X130" si="15">0-A67</f>
        <v>-94.95</v>
      </c>
      <c r="Y67" s="22">
        <f t="shared" ref="Y67:Y130" si="16">(49+(D67)*4/4)*2.5</f>
        <v>125.05095</v>
      </c>
      <c r="Z67" s="22"/>
      <c r="AA67" s="22">
        <f t="array" ref="AA67">IF(ROW(AA67)&lt;=COUNTA(V:V)*2,IF(MOD(ROW(AA67),2)=1,INDEX(V:V,(ROW(AA67)+1)/2),INDEX(X:X,ROW(AA67)/2)),"")</f>
        <v>-43.95</v>
      </c>
      <c r="AB67" s="22">
        <f t="array" ref="AB67">IF(ROW(AB67)&lt;=COUNTA(W:W)*2,IF(MOD(ROW(AB67),2)=1,INDEX(W:W,(ROW(AB67)+1)/2),INDEX(Y:Y,ROW(AB67)/2)),"")</f>
        <v>125.1343575</v>
      </c>
    </row>
    <row r="68" spans="1:28" s="2" customFormat="1" x14ac:dyDescent="0.25">
      <c r="A68" s="35"/>
      <c r="B68" s="20"/>
      <c r="C68" s="21"/>
      <c r="D68" s="22"/>
      <c r="E68" s="33"/>
      <c r="F68" s="34">
        <f t="shared" ref="F68:F131" si="17">0-A67</f>
        <v>-94.95</v>
      </c>
      <c r="G68" s="34">
        <f t="shared" ref="G68:G131" si="18">(41+(B68/100)*4)*2.5</f>
        <v>112.4</v>
      </c>
      <c r="H68" s="34">
        <f t="shared" si="12"/>
        <v>-96.45</v>
      </c>
      <c r="I68" s="34">
        <f t="shared" ref="I68:I131" si="19">(41+(B68/100)*4)*2.5</f>
        <v>112.4</v>
      </c>
      <c r="J68" s="34"/>
      <c r="K68" s="34">
        <f t="array" ref="K68">IF(ROW(K68)&lt;=COUNTA(F:F)*2,IF(MOD(ROW(K68),2)=1,INDEX(F:F,(ROW(K68)+1)/2),INDEX(H:H,ROW(K68)/2)),"")</f>
        <v>-45.45</v>
      </c>
      <c r="L68" s="34">
        <f t="array" ref="L68">IF(ROW(L68)&lt;=COUNTA(G:G)*2,IF(MOD(ROW(L68),2)=1,INDEX(G:G,(ROW(L68)+1)/2),INDEX(I:I,ROW(L68)/2)),"")</f>
        <v>112.5</v>
      </c>
      <c r="N68" s="21">
        <f t="shared" ref="N68:N131" si="20">0-A67</f>
        <v>-94.95</v>
      </c>
      <c r="O68" s="21">
        <f t="shared" ref="O68:O131" si="21">(45+(C68/100)*4)*2.5</f>
        <v>121.6</v>
      </c>
      <c r="P68" s="21">
        <f t="shared" si="13"/>
        <v>-96.45</v>
      </c>
      <c r="Q68" s="21">
        <f t="shared" ref="Q68:Q131" si="22">(45+(C68/100)*4)*2.5</f>
        <v>121.6</v>
      </c>
      <c r="R68" s="21"/>
      <c r="S68" s="21">
        <f t="array" ref="S68">IF(ROW(S68)&lt;=COUNTA(N:N)*2,IF(MOD(ROW(S68),2)=1,INDEX(N:N,(ROW(S68)+1)/2),INDEX(P:P,ROW(S68)/2)),"")</f>
        <v>-45.45</v>
      </c>
      <c r="T68" s="21">
        <f t="array" ref="T68">IF(ROW(T68)&lt;=COUNTA(O:O)*2,IF(MOD(ROW(T68),2)=1,INDEX(O:O,(ROW(T68)+1)/2),INDEX(Q:Q,ROW(T68)/2)),"")</f>
        <v>118</v>
      </c>
      <c r="V68" s="22">
        <f t="shared" ref="V68:V131" si="23">0-A67</f>
        <v>-94.95</v>
      </c>
      <c r="W68" s="22">
        <f t="shared" si="14"/>
        <v>125.0514</v>
      </c>
      <c r="X68" s="22">
        <f t="shared" si="15"/>
        <v>-96.45</v>
      </c>
      <c r="Y68" s="22">
        <f t="shared" si="16"/>
        <v>125.0514</v>
      </c>
      <c r="Z68" s="22"/>
      <c r="AA68" s="22">
        <f t="array" ref="AA68">IF(ROW(AA68)&lt;=COUNTA(V:V)*2,IF(MOD(ROW(AA68),2)=1,INDEX(V:V,(ROW(AA68)+1)/2),INDEX(X:X,ROW(AA68)/2)),"")</f>
        <v>-45.45</v>
      </c>
      <c r="AB68" s="22">
        <f t="array" ref="AB68">IF(ROW(AB68)&lt;=COUNTA(W:W)*2,IF(MOD(ROW(AB68),2)=1,INDEX(W:W,(ROW(AB68)+1)/2),INDEX(Y:Y,ROW(AB68)/2)),"")</f>
        <v>125.1343575</v>
      </c>
    </row>
    <row r="69" spans="1:28" s="2" customFormat="1" x14ac:dyDescent="0.25">
      <c r="A69" s="35"/>
      <c r="B69" s="20"/>
      <c r="C69" s="21"/>
      <c r="D69" s="22"/>
      <c r="E69" s="33"/>
      <c r="F69" s="34">
        <f t="shared" si="17"/>
        <v>-96.45</v>
      </c>
      <c r="G69" s="34">
        <f t="shared" si="18"/>
        <v>112.2</v>
      </c>
      <c r="H69" s="34">
        <f t="shared" si="12"/>
        <v>-97.95</v>
      </c>
      <c r="I69" s="34">
        <f t="shared" si="19"/>
        <v>112.2</v>
      </c>
      <c r="J69" s="34"/>
      <c r="K69" s="34">
        <f t="array" ref="K69">IF(ROW(K69)&lt;=COUNTA(F:F)*2,IF(MOD(ROW(K69),2)=1,INDEX(F:F,(ROW(K69)+1)/2),INDEX(H:H,ROW(K69)/2)),"")</f>
        <v>-45.45</v>
      </c>
      <c r="L69" s="34">
        <f t="array" ref="L69">IF(ROW(L69)&lt;=COUNTA(G:G)*2,IF(MOD(ROW(L69),2)=1,INDEX(G:G,(ROW(L69)+1)/2),INDEX(I:I,ROW(L69)/2)),"")</f>
        <v>112.5</v>
      </c>
      <c r="N69" s="21">
        <f t="shared" si="20"/>
        <v>-96.45</v>
      </c>
      <c r="O69" s="21">
        <f t="shared" si="21"/>
        <v>115.7</v>
      </c>
      <c r="P69" s="21">
        <f t="shared" si="13"/>
        <v>-97.95</v>
      </c>
      <c r="Q69" s="21">
        <f t="shared" si="22"/>
        <v>115.7</v>
      </c>
      <c r="R69" s="21"/>
      <c r="S69" s="21">
        <f t="array" ref="S69">IF(ROW(S69)&lt;=COUNTA(N:N)*2,IF(MOD(ROW(S69),2)=1,INDEX(N:N,(ROW(S69)+1)/2),INDEX(P:P,ROW(S69)/2)),"")</f>
        <v>-45.45</v>
      </c>
      <c r="T69" s="21">
        <f t="array" ref="T69">IF(ROW(T69)&lt;=COUNTA(O:O)*2,IF(MOD(ROW(T69),2)=1,INDEX(O:O,(ROW(T69)+1)/2),INDEX(Q:Q,ROW(T69)/2)),"")</f>
        <v>118.9</v>
      </c>
      <c r="V69" s="22">
        <f t="shared" si="23"/>
        <v>-96.45</v>
      </c>
      <c r="W69" s="22">
        <f t="shared" si="14"/>
        <v>125.0511</v>
      </c>
      <c r="X69" s="22">
        <f t="shared" si="15"/>
        <v>-97.95</v>
      </c>
      <c r="Y69" s="22">
        <f t="shared" si="16"/>
        <v>125.0511</v>
      </c>
      <c r="Z69" s="22"/>
      <c r="AA69" s="22">
        <f t="array" ref="AA69">IF(ROW(AA69)&lt;=COUNTA(V:V)*2,IF(MOD(ROW(AA69),2)=1,INDEX(V:V,(ROW(AA69)+1)/2),INDEX(X:X,ROW(AA69)/2)),"")</f>
        <v>-45.45</v>
      </c>
      <c r="AB69" s="22">
        <f t="array" ref="AB69">IF(ROW(AB69)&lt;=COUNTA(W:W)*2,IF(MOD(ROW(AB69),2)=1,INDEX(W:W,(ROW(AB69)+1)/2),INDEX(Y:Y,ROW(AB69)/2)),"")</f>
        <v>125.12695</v>
      </c>
    </row>
    <row r="70" spans="1:28" s="2" customFormat="1" x14ac:dyDescent="0.25">
      <c r="A70" s="35"/>
      <c r="B70" s="20"/>
      <c r="C70" s="21"/>
      <c r="D70" s="22"/>
      <c r="E70" s="33"/>
      <c r="F70" s="34">
        <f t="shared" si="17"/>
        <v>-97.95</v>
      </c>
      <c r="G70" s="34">
        <f t="shared" si="18"/>
        <v>112.4</v>
      </c>
      <c r="H70" s="34">
        <f t="shared" si="12"/>
        <v>-99.45</v>
      </c>
      <c r="I70" s="34">
        <f t="shared" si="19"/>
        <v>112.4</v>
      </c>
      <c r="J70" s="34"/>
      <c r="K70" s="34">
        <f t="array" ref="K70">IF(ROW(K70)&lt;=COUNTA(F:F)*2,IF(MOD(ROW(K70),2)=1,INDEX(F:F,(ROW(K70)+1)/2),INDEX(H:H,ROW(K70)/2)),"")</f>
        <v>-46.95</v>
      </c>
      <c r="L70" s="34">
        <f t="array" ref="L70">IF(ROW(L70)&lt;=COUNTA(G:G)*2,IF(MOD(ROW(L70),2)=1,INDEX(G:G,(ROW(L70)+1)/2),INDEX(I:I,ROW(L70)/2)),"")</f>
        <v>112.5</v>
      </c>
      <c r="N70" s="21">
        <f t="shared" si="20"/>
        <v>-97.95</v>
      </c>
      <c r="O70" s="21">
        <f t="shared" si="21"/>
        <v>118</v>
      </c>
      <c r="P70" s="21">
        <f t="shared" si="13"/>
        <v>-99.45</v>
      </c>
      <c r="Q70" s="21">
        <f t="shared" si="22"/>
        <v>118</v>
      </c>
      <c r="R70" s="21"/>
      <c r="S70" s="21">
        <f t="array" ref="S70">IF(ROW(S70)&lt;=COUNTA(N:N)*2,IF(MOD(ROW(S70),2)=1,INDEX(N:N,(ROW(S70)+1)/2),INDEX(P:P,ROW(S70)/2)),"")</f>
        <v>-46.95</v>
      </c>
      <c r="T70" s="21">
        <f t="array" ref="T70">IF(ROW(T70)&lt;=COUNTA(O:O)*2,IF(MOD(ROW(T70),2)=1,INDEX(O:O,(ROW(T70)+1)/2),INDEX(Q:Q,ROW(T70)/2)),"")</f>
        <v>118.9</v>
      </c>
      <c r="V70" s="22">
        <f t="shared" si="23"/>
        <v>-97.95</v>
      </c>
      <c r="W70" s="22">
        <f t="shared" si="14"/>
        <v>125.0524</v>
      </c>
      <c r="X70" s="22">
        <f t="shared" si="15"/>
        <v>-99.45</v>
      </c>
      <c r="Y70" s="22">
        <f t="shared" si="16"/>
        <v>125.0524</v>
      </c>
      <c r="Z70" s="22"/>
      <c r="AA70" s="22">
        <f t="array" ref="AA70">IF(ROW(AA70)&lt;=COUNTA(V:V)*2,IF(MOD(ROW(AA70),2)=1,INDEX(V:V,(ROW(AA70)+1)/2),INDEX(X:X,ROW(AA70)/2)),"")</f>
        <v>-46.95</v>
      </c>
      <c r="AB70" s="22">
        <f t="array" ref="AB70">IF(ROW(AB70)&lt;=COUNTA(W:W)*2,IF(MOD(ROW(AB70),2)=1,INDEX(W:W,(ROW(AB70)+1)/2),INDEX(Y:Y,ROW(AB70)/2)),"")</f>
        <v>125.12695</v>
      </c>
    </row>
    <row r="71" spans="1:28" s="2" customFormat="1" x14ac:dyDescent="0.25">
      <c r="A71" s="32"/>
      <c r="B71" s="20"/>
      <c r="C71" s="21"/>
      <c r="D71" s="22"/>
      <c r="E71" s="33"/>
      <c r="F71" s="34">
        <f t="shared" si="17"/>
        <v>-99.45</v>
      </c>
      <c r="G71" s="34">
        <f t="shared" si="18"/>
        <v>112.3</v>
      </c>
      <c r="H71" s="34">
        <f t="shared" si="12"/>
        <v>-100.95</v>
      </c>
      <c r="I71" s="34">
        <f t="shared" si="19"/>
        <v>112.3</v>
      </c>
      <c r="J71" s="34"/>
      <c r="K71" s="34">
        <f t="array" ref="K71">IF(ROW(K71)&lt;=COUNTA(F:F)*2,IF(MOD(ROW(K71),2)=1,INDEX(F:F,(ROW(K71)+1)/2),INDEX(H:H,ROW(K71)/2)),"")</f>
        <v>-46.95</v>
      </c>
      <c r="L71" s="34">
        <f t="array" ref="L71">IF(ROW(L71)&lt;=COUNTA(G:G)*2,IF(MOD(ROW(L71),2)=1,INDEX(G:G,(ROW(L71)+1)/2),INDEX(I:I,ROW(L71)/2)),"")</f>
        <v>112.5</v>
      </c>
      <c r="N71" s="21">
        <f t="shared" si="20"/>
        <v>-99.45</v>
      </c>
      <c r="O71" s="21">
        <f t="shared" si="21"/>
        <v>116.6</v>
      </c>
      <c r="P71" s="21">
        <f t="shared" si="13"/>
        <v>-100.95</v>
      </c>
      <c r="Q71" s="21">
        <f t="shared" si="22"/>
        <v>116.6</v>
      </c>
      <c r="R71" s="21"/>
      <c r="S71" s="21">
        <f t="array" ref="S71">IF(ROW(S71)&lt;=COUNTA(N:N)*2,IF(MOD(ROW(S71),2)=1,INDEX(N:N,(ROW(S71)+1)/2),INDEX(P:P,ROW(S71)/2)),"")</f>
        <v>-46.95</v>
      </c>
      <c r="T71" s="21">
        <f t="array" ref="T71">IF(ROW(T71)&lt;=COUNTA(O:O)*2,IF(MOD(ROW(T71),2)=1,INDEX(O:O,(ROW(T71)+1)/2),INDEX(Q:Q,ROW(T71)/2)),"")</f>
        <v>122.2</v>
      </c>
      <c r="V71" s="22">
        <f t="shared" si="23"/>
        <v>-99.45</v>
      </c>
      <c r="W71" s="22">
        <f t="shared" si="14"/>
        <v>125.0524</v>
      </c>
      <c r="X71" s="22">
        <f t="shared" si="15"/>
        <v>-100.95</v>
      </c>
      <c r="Y71" s="22">
        <f t="shared" si="16"/>
        <v>125.0524</v>
      </c>
      <c r="Z71" s="22"/>
      <c r="AA71" s="22">
        <f t="array" ref="AA71">IF(ROW(AA71)&lt;=COUNTA(V:V)*2,IF(MOD(ROW(AA71),2)=1,INDEX(V:V,(ROW(AA71)+1)/2),INDEX(X:X,ROW(AA71)/2)),"")</f>
        <v>-46.95</v>
      </c>
      <c r="AB71" s="22">
        <f t="array" ref="AB71">IF(ROW(AB71)&lt;=COUNTA(W:W)*2,IF(MOD(ROW(AB71),2)=1,INDEX(W:W,(ROW(AB71)+1)/2),INDEX(Y:Y,ROW(AB71)/2)),"")</f>
        <v>124.7943</v>
      </c>
    </row>
    <row r="72" spans="1:28" s="2" customFormat="1" x14ac:dyDescent="0.25">
      <c r="A72" s="32"/>
      <c r="B72" s="20"/>
      <c r="C72" s="21"/>
      <c r="D72" s="22"/>
      <c r="E72" s="33"/>
      <c r="F72" s="34">
        <f t="shared" si="17"/>
        <v>-100.95</v>
      </c>
      <c r="G72" s="34">
        <f t="shared" si="18"/>
        <v>112.4</v>
      </c>
      <c r="H72" s="34">
        <f t="shared" si="12"/>
        <v>-102.45</v>
      </c>
      <c r="I72" s="34">
        <f t="shared" si="19"/>
        <v>112.4</v>
      </c>
      <c r="J72" s="34"/>
      <c r="K72" s="34">
        <f t="array" ref="K72">IF(ROW(K72)&lt;=COUNTA(F:F)*2,IF(MOD(ROW(K72),2)=1,INDEX(F:F,(ROW(K72)+1)/2),INDEX(H:H,ROW(K72)/2)),"")</f>
        <v>-48.45</v>
      </c>
      <c r="L72" s="34">
        <f t="array" ref="L72">IF(ROW(L72)&lt;=COUNTA(G:G)*2,IF(MOD(ROW(L72),2)=1,INDEX(G:G,(ROW(L72)+1)/2),INDEX(I:I,ROW(L72)/2)),"")</f>
        <v>112.5</v>
      </c>
      <c r="N72" s="21">
        <f t="shared" si="20"/>
        <v>-100.95</v>
      </c>
      <c r="O72" s="21">
        <f t="shared" si="21"/>
        <v>118.8</v>
      </c>
      <c r="P72" s="21">
        <f t="shared" si="13"/>
        <v>-102.45</v>
      </c>
      <c r="Q72" s="21">
        <f t="shared" si="22"/>
        <v>118.8</v>
      </c>
      <c r="R72" s="21"/>
      <c r="S72" s="21">
        <f t="array" ref="S72">IF(ROW(S72)&lt;=COUNTA(N:N)*2,IF(MOD(ROW(S72),2)=1,INDEX(N:N,(ROW(S72)+1)/2),INDEX(P:P,ROW(S72)/2)),"")</f>
        <v>-48.45</v>
      </c>
      <c r="T72" s="21">
        <f t="array" ref="T72">IF(ROW(T72)&lt;=COUNTA(O:O)*2,IF(MOD(ROW(T72),2)=1,INDEX(O:O,(ROW(T72)+1)/2),INDEX(Q:Q,ROW(T72)/2)),"")</f>
        <v>122.2</v>
      </c>
      <c r="V72" s="22">
        <f t="shared" si="23"/>
        <v>-100.95</v>
      </c>
      <c r="W72" s="22">
        <f t="shared" si="14"/>
        <v>125.0524</v>
      </c>
      <c r="X72" s="22">
        <f t="shared" si="15"/>
        <v>-102.45</v>
      </c>
      <c r="Y72" s="22">
        <f t="shared" si="16"/>
        <v>125.0524</v>
      </c>
      <c r="Z72" s="22"/>
      <c r="AA72" s="22">
        <f t="array" ref="AA72">IF(ROW(AA72)&lt;=COUNTA(V:V)*2,IF(MOD(ROW(AA72),2)=1,INDEX(V:V,(ROW(AA72)+1)/2),INDEX(X:X,ROW(AA72)/2)),"")</f>
        <v>-48.45</v>
      </c>
      <c r="AB72" s="22">
        <f t="array" ref="AB72">IF(ROW(AB72)&lt;=COUNTA(W:W)*2,IF(MOD(ROW(AB72),2)=1,INDEX(W:W,(ROW(AB72)+1)/2),INDEX(Y:Y,ROW(AB72)/2)),"")</f>
        <v>124.7943</v>
      </c>
    </row>
    <row r="73" spans="1:28" s="2" customFormat="1" x14ac:dyDescent="0.25">
      <c r="A73" s="32"/>
      <c r="B73" s="20"/>
      <c r="C73" s="21"/>
      <c r="D73" s="22"/>
      <c r="E73" s="33"/>
      <c r="F73" s="34">
        <f t="shared" si="17"/>
        <v>-102.45</v>
      </c>
      <c r="G73" s="34">
        <f t="shared" si="18"/>
        <v>111.8</v>
      </c>
      <c r="H73" s="34">
        <f t="shared" si="12"/>
        <v>-103.95</v>
      </c>
      <c r="I73" s="34">
        <f t="shared" si="19"/>
        <v>111.8</v>
      </c>
      <c r="J73" s="34"/>
      <c r="K73" s="34">
        <f t="array" ref="K73">IF(ROW(K73)&lt;=COUNTA(F:F)*2,IF(MOD(ROW(K73),2)=1,INDEX(F:F,(ROW(K73)+1)/2),INDEX(H:H,ROW(K73)/2)),"")</f>
        <v>-48.45</v>
      </c>
      <c r="L73" s="34">
        <f t="array" ref="L73">IF(ROW(L73)&lt;=COUNTA(G:G)*2,IF(MOD(ROW(L73),2)=1,INDEX(G:G,(ROW(L73)+1)/2),INDEX(I:I,ROW(L73)/2)),"")</f>
        <v>112.5</v>
      </c>
      <c r="N73" s="21">
        <f t="shared" si="20"/>
        <v>-102.45</v>
      </c>
      <c r="O73" s="21">
        <f t="shared" si="21"/>
        <v>117.6</v>
      </c>
      <c r="P73" s="21">
        <f t="shared" si="13"/>
        <v>-103.95</v>
      </c>
      <c r="Q73" s="21">
        <f t="shared" si="22"/>
        <v>117.6</v>
      </c>
      <c r="R73" s="21"/>
      <c r="S73" s="21">
        <f t="array" ref="S73">IF(ROW(S73)&lt;=COUNTA(N:N)*2,IF(MOD(ROW(S73),2)=1,INDEX(N:N,(ROW(S73)+1)/2),INDEX(P:P,ROW(S73)/2)),"")</f>
        <v>-48.45</v>
      </c>
      <c r="T73" s="21">
        <f t="array" ref="T73">IF(ROW(T73)&lt;=COUNTA(O:O)*2,IF(MOD(ROW(T73),2)=1,INDEX(O:O,(ROW(T73)+1)/2),INDEX(Q:Q,ROW(T73)/2)),"")</f>
        <v>121.4</v>
      </c>
      <c r="V73" s="22">
        <f t="shared" si="23"/>
        <v>-102.45</v>
      </c>
      <c r="W73" s="22">
        <f t="shared" si="14"/>
        <v>125.0524</v>
      </c>
      <c r="X73" s="22">
        <f t="shared" si="15"/>
        <v>-103.95</v>
      </c>
      <c r="Y73" s="22">
        <f t="shared" si="16"/>
        <v>125.0524</v>
      </c>
      <c r="Z73" s="22"/>
      <c r="AA73" s="22">
        <f t="array" ref="AA73">IF(ROW(AA73)&lt;=COUNTA(V:V)*2,IF(MOD(ROW(AA73),2)=1,INDEX(V:V,(ROW(AA73)+1)/2),INDEX(X:X,ROW(AA73)/2)),"")</f>
        <v>-48.45</v>
      </c>
      <c r="AB73" s="22">
        <f t="array" ref="AB73">IF(ROW(AB73)&lt;=COUNTA(W:W)*2,IF(MOD(ROW(AB73),2)=1,INDEX(W:W,(ROW(AB73)+1)/2),INDEX(Y:Y,ROW(AB73)/2)),"")</f>
        <v>125.173875</v>
      </c>
    </row>
    <row r="74" spans="1:28" s="2" customFormat="1" x14ac:dyDescent="0.25">
      <c r="A74" s="32"/>
      <c r="B74" s="20"/>
      <c r="C74" s="21"/>
      <c r="D74" s="22"/>
      <c r="E74" s="33"/>
      <c r="F74" s="34">
        <f t="shared" si="17"/>
        <v>-103.95</v>
      </c>
      <c r="G74" s="34">
        <f t="shared" si="18"/>
        <v>112.4</v>
      </c>
      <c r="H74" s="34">
        <f t="shared" si="12"/>
        <v>-105.55</v>
      </c>
      <c r="I74" s="34">
        <f t="shared" si="19"/>
        <v>112.4</v>
      </c>
      <c r="J74" s="34"/>
      <c r="K74" s="34">
        <f t="array" ref="K74">IF(ROW(K74)&lt;=COUNTA(F:F)*2,IF(MOD(ROW(K74),2)=1,INDEX(F:F,(ROW(K74)+1)/2),INDEX(H:H,ROW(K74)/2)),"")</f>
        <v>-49.95</v>
      </c>
      <c r="L74" s="34">
        <f t="array" ref="L74">IF(ROW(L74)&lt;=COUNTA(G:G)*2,IF(MOD(ROW(L74),2)=1,INDEX(G:G,(ROW(L74)+1)/2),INDEX(I:I,ROW(L74)/2)),"")</f>
        <v>112.5</v>
      </c>
      <c r="N74" s="21">
        <f t="shared" si="20"/>
        <v>-103.95</v>
      </c>
      <c r="O74" s="21">
        <f t="shared" si="21"/>
        <v>113.8</v>
      </c>
      <c r="P74" s="21">
        <f t="shared" si="13"/>
        <v>-105.55</v>
      </c>
      <c r="Q74" s="21">
        <f t="shared" si="22"/>
        <v>113.8</v>
      </c>
      <c r="R74" s="21"/>
      <c r="S74" s="21">
        <f t="array" ref="S74">IF(ROW(S74)&lt;=COUNTA(N:N)*2,IF(MOD(ROW(S74),2)=1,INDEX(N:N,(ROW(S74)+1)/2),INDEX(P:P,ROW(S74)/2)),"")</f>
        <v>-49.95</v>
      </c>
      <c r="T74" s="21">
        <f t="array" ref="T74">IF(ROW(T74)&lt;=COUNTA(O:O)*2,IF(MOD(ROW(T74),2)=1,INDEX(O:O,(ROW(T74)+1)/2),INDEX(Q:Q,ROW(T74)/2)),"")</f>
        <v>121.4</v>
      </c>
      <c r="V74" s="22">
        <f t="shared" si="23"/>
        <v>-103.95</v>
      </c>
      <c r="W74" s="22">
        <f t="shared" si="14"/>
        <v>125.05095</v>
      </c>
      <c r="X74" s="22">
        <f t="shared" si="15"/>
        <v>-105.55</v>
      </c>
      <c r="Y74" s="22">
        <f t="shared" si="16"/>
        <v>125.05095</v>
      </c>
      <c r="Z74" s="22"/>
      <c r="AA74" s="22">
        <f t="array" ref="AA74">IF(ROW(AA74)&lt;=COUNTA(V:V)*2,IF(MOD(ROW(AA74),2)=1,INDEX(V:V,(ROW(AA74)+1)/2),INDEX(X:X,ROW(AA74)/2)),"")</f>
        <v>-49.95</v>
      </c>
      <c r="AB74" s="22">
        <f t="array" ref="AB74">IF(ROW(AB74)&lt;=COUNTA(W:W)*2,IF(MOD(ROW(AB74),2)=1,INDEX(W:W,(ROW(AB74)+1)/2),INDEX(Y:Y,ROW(AB74)/2)),"")</f>
        <v>125.173875</v>
      </c>
    </row>
    <row r="75" spans="1:28" s="2" customFormat="1" x14ac:dyDescent="0.25">
      <c r="A75" s="32"/>
      <c r="B75" s="20"/>
      <c r="C75" s="21"/>
      <c r="D75" s="22"/>
      <c r="E75" s="33"/>
      <c r="F75" s="34">
        <f t="shared" si="17"/>
        <v>-105.55</v>
      </c>
      <c r="G75" s="34">
        <f t="shared" si="18"/>
        <v>112.4</v>
      </c>
      <c r="H75" s="34">
        <f t="shared" si="12"/>
        <v>-106.4</v>
      </c>
      <c r="I75" s="34">
        <f t="shared" si="19"/>
        <v>112.4</v>
      </c>
      <c r="J75" s="34"/>
      <c r="K75" s="34">
        <f t="array" ref="K75">IF(ROW(K75)&lt;=COUNTA(F:F)*2,IF(MOD(ROW(K75),2)=1,INDEX(F:F,(ROW(K75)+1)/2),INDEX(H:H,ROW(K75)/2)),"")</f>
        <v>-49.95</v>
      </c>
      <c r="L75" s="34">
        <f t="array" ref="L75">IF(ROW(L75)&lt;=COUNTA(G:G)*2,IF(MOD(ROW(L75),2)=1,INDEX(G:G,(ROW(L75)+1)/2),INDEX(I:I,ROW(L75)/2)),"")</f>
        <v>112.5</v>
      </c>
      <c r="N75" s="21">
        <f t="shared" si="20"/>
        <v>-105.55</v>
      </c>
      <c r="O75" s="21">
        <f t="shared" si="21"/>
        <v>117.5</v>
      </c>
      <c r="P75" s="21">
        <f t="shared" si="13"/>
        <v>-106.4</v>
      </c>
      <c r="Q75" s="21">
        <f t="shared" si="22"/>
        <v>117.5</v>
      </c>
      <c r="R75" s="21"/>
      <c r="S75" s="21">
        <f t="array" ref="S75">IF(ROW(S75)&lt;=COUNTA(N:N)*2,IF(MOD(ROW(S75),2)=1,INDEX(N:N,(ROW(S75)+1)/2),INDEX(P:P,ROW(S75)/2)),"")</f>
        <v>-49.95</v>
      </c>
      <c r="T75" s="21">
        <f t="array" ref="T75">IF(ROW(T75)&lt;=COUNTA(O:O)*2,IF(MOD(ROW(T75),2)=1,INDEX(O:O,(ROW(T75)+1)/2),INDEX(Q:Q,ROW(T75)/2)),"")</f>
        <v>119</v>
      </c>
      <c r="V75" s="22">
        <f t="shared" si="23"/>
        <v>-105.55</v>
      </c>
      <c r="W75" s="22">
        <f t="shared" si="14"/>
        <v>122.68285</v>
      </c>
      <c r="X75" s="22">
        <f t="shared" si="15"/>
        <v>-106.4</v>
      </c>
      <c r="Y75" s="22">
        <f t="shared" si="16"/>
        <v>122.68285</v>
      </c>
      <c r="Z75" s="22"/>
      <c r="AA75" s="22">
        <f t="array" ref="AA75">IF(ROW(AA75)&lt;=COUNTA(V:V)*2,IF(MOD(ROW(AA75),2)=1,INDEX(V:V,(ROW(AA75)+1)/2),INDEX(X:X,ROW(AA75)/2)),"")</f>
        <v>-49.95</v>
      </c>
      <c r="AB75" s="22">
        <f t="array" ref="AB75">IF(ROW(AB75)&lt;=COUNTA(W:W)*2,IF(MOD(ROW(AB75),2)=1,INDEX(W:W,(ROW(AB75)+1)/2),INDEX(Y:Y,ROW(AB75)/2)),"")</f>
        <v>125.13385</v>
      </c>
    </row>
    <row r="76" spans="1:28" s="2" customFormat="1" x14ac:dyDescent="0.25">
      <c r="A76" s="32"/>
      <c r="B76" s="20"/>
      <c r="C76" s="21"/>
      <c r="D76" s="22"/>
      <c r="E76" s="33"/>
      <c r="F76" s="34">
        <f t="shared" si="17"/>
        <v>-106.4</v>
      </c>
      <c r="G76" s="34">
        <f t="shared" si="18"/>
        <v>112.5</v>
      </c>
      <c r="H76" s="34">
        <f t="shared" si="12"/>
        <v>-108.45</v>
      </c>
      <c r="I76" s="34">
        <f t="shared" si="19"/>
        <v>112.5</v>
      </c>
      <c r="J76" s="34"/>
      <c r="K76" s="34">
        <f t="array" ref="K76">IF(ROW(K76)&lt;=COUNTA(F:F)*2,IF(MOD(ROW(K76),2)=1,INDEX(F:F,(ROW(K76)+1)/2),INDEX(H:H,ROW(K76)/2)),"")</f>
        <v>-51.45</v>
      </c>
      <c r="L76" s="34">
        <f t="array" ref="L76">IF(ROW(L76)&lt;=COUNTA(G:G)*2,IF(MOD(ROW(L76),2)=1,INDEX(G:G,(ROW(L76)+1)/2),INDEX(I:I,ROW(L76)/2)),"")</f>
        <v>112.5</v>
      </c>
      <c r="N76" s="21">
        <f t="shared" si="20"/>
        <v>-106.4</v>
      </c>
      <c r="O76" s="21">
        <f t="shared" si="21"/>
        <v>119.7</v>
      </c>
      <c r="P76" s="21">
        <f t="shared" si="13"/>
        <v>-108.45</v>
      </c>
      <c r="Q76" s="21">
        <f t="shared" si="22"/>
        <v>119.7</v>
      </c>
      <c r="R76" s="21"/>
      <c r="S76" s="21">
        <f t="array" ref="S76">IF(ROW(S76)&lt;=COUNTA(N:N)*2,IF(MOD(ROW(S76),2)=1,INDEX(N:N,(ROW(S76)+1)/2),INDEX(P:P,ROW(S76)/2)),"")</f>
        <v>-51.45</v>
      </c>
      <c r="T76" s="21">
        <f t="array" ref="T76">IF(ROW(T76)&lt;=COUNTA(O:O)*2,IF(MOD(ROW(T76),2)=1,INDEX(O:O,(ROW(T76)+1)/2),INDEX(Q:Q,ROW(T76)/2)),"")</f>
        <v>119</v>
      </c>
      <c r="V76" s="22">
        <f t="shared" si="23"/>
        <v>-106.4</v>
      </c>
      <c r="W76" s="22">
        <f t="shared" si="14"/>
        <v>122.664975</v>
      </c>
      <c r="X76" s="22">
        <f t="shared" si="15"/>
        <v>-108.45</v>
      </c>
      <c r="Y76" s="22">
        <f t="shared" si="16"/>
        <v>122.664975</v>
      </c>
      <c r="Z76" s="22"/>
      <c r="AA76" s="22">
        <f t="array" ref="AA76">IF(ROW(AA76)&lt;=COUNTA(V:V)*2,IF(MOD(ROW(AA76),2)=1,INDEX(V:V,(ROW(AA76)+1)/2),INDEX(X:X,ROW(AA76)/2)),"")</f>
        <v>-51.45</v>
      </c>
      <c r="AB76" s="22">
        <f t="array" ref="AB76">IF(ROW(AB76)&lt;=COUNTA(W:W)*2,IF(MOD(ROW(AB76),2)=1,INDEX(W:W,(ROW(AB76)+1)/2),INDEX(Y:Y,ROW(AB76)/2)),"")</f>
        <v>125.13385</v>
      </c>
    </row>
    <row r="77" spans="1:28" s="2" customFormat="1" x14ac:dyDescent="0.25">
      <c r="A77" s="32"/>
      <c r="B77" s="20"/>
      <c r="C77" s="21"/>
      <c r="D77" s="22"/>
      <c r="E77" s="33"/>
      <c r="F77" s="34">
        <f t="shared" si="17"/>
        <v>-108.45</v>
      </c>
      <c r="G77" s="34">
        <f t="shared" si="18"/>
        <v>112.2</v>
      </c>
      <c r="H77" s="34">
        <f t="shared" si="12"/>
        <v>-111.45</v>
      </c>
      <c r="I77" s="34">
        <f t="shared" si="19"/>
        <v>112.2</v>
      </c>
      <c r="J77" s="34"/>
      <c r="K77" s="34">
        <f t="array" ref="K77">IF(ROW(K77)&lt;=COUNTA(F:F)*2,IF(MOD(ROW(K77),2)=1,INDEX(F:F,(ROW(K77)+1)/2),INDEX(H:H,ROW(K77)/2)),"")</f>
        <v>-51.45</v>
      </c>
      <c r="L77" s="34">
        <f t="array" ref="L77">IF(ROW(L77)&lt;=COUNTA(G:G)*2,IF(MOD(ROW(L77),2)=1,INDEX(G:G,(ROW(L77)+1)/2),INDEX(I:I,ROW(L77)/2)),"")</f>
        <v>112.5</v>
      </c>
      <c r="N77" s="21">
        <f t="shared" si="20"/>
        <v>-108.45</v>
      </c>
      <c r="O77" s="21">
        <f t="shared" si="21"/>
        <v>120.3</v>
      </c>
      <c r="P77" s="21">
        <f t="shared" si="13"/>
        <v>-111.45</v>
      </c>
      <c r="Q77" s="21">
        <f t="shared" si="22"/>
        <v>120.3</v>
      </c>
      <c r="R77" s="21"/>
      <c r="S77" s="21">
        <f t="array" ref="S77">IF(ROW(S77)&lt;=COUNTA(N:N)*2,IF(MOD(ROW(S77),2)=1,INDEX(N:N,(ROW(S77)+1)/2),INDEX(P:P,ROW(S77)/2)),"")</f>
        <v>-51.45</v>
      </c>
      <c r="T77" s="21">
        <f t="array" ref="T77">IF(ROW(T77)&lt;=COUNTA(O:O)*2,IF(MOD(ROW(T77),2)=1,INDEX(O:O,(ROW(T77)+1)/2),INDEX(Q:Q,ROW(T77)/2)),"")</f>
        <v>121.4</v>
      </c>
      <c r="V77" s="22">
        <f t="shared" si="23"/>
        <v>-108.45</v>
      </c>
      <c r="W77" s="22">
        <f t="shared" si="14"/>
        <v>122.654975</v>
      </c>
      <c r="X77" s="22">
        <f t="shared" si="15"/>
        <v>-111.45</v>
      </c>
      <c r="Y77" s="22">
        <f t="shared" si="16"/>
        <v>122.654975</v>
      </c>
      <c r="Z77" s="22"/>
      <c r="AA77" s="22">
        <f t="array" ref="AA77">IF(ROW(AA77)&lt;=COUNTA(V:V)*2,IF(MOD(ROW(AA77),2)=1,INDEX(V:V,(ROW(AA77)+1)/2),INDEX(X:X,ROW(AA77)/2)),"")</f>
        <v>-51.45</v>
      </c>
      <c r="AB77" s="22">
        <f t="array" ref="AB77">IF(ROW(AB77)&lt;=COUNTA(W:W)*2,IF(MOD(ROW(AB77),2)=1,INDEX(W:W,(ROW(AB77)+1)/2),INDEX(Y:Y,ROW(AB77)/2)),"")</f>
        <v>125.06875</v>
      </c>
    </row>
    <row r="78" spans="1:28" s="2" customFormat="1" x14ac:dyDescent="0.25">
      <c r="A78" s="32"/>
      <c r="B78" s="20"/>
      <c r="C78" s="21"/>
      <c r="D78" s="22"/>
      <c r="E78" s="33"/>
      <c r="F78" s="34">
        <f t="shared" si="17"/>
        <v>-111.45</v>
      </c>
      <c r="G78" s="34">
        <f t="shared" si="18"/>
        <v>112.5</v>
      </c>
      <c r="H78" s="34">
        <f t="shared" si="12"/>
        <v>-114.45</v>
      </c>
      <c r="I78" s="34">
        <f t="shared" si="19"/>
        <v>112.5</v>
      </c>
      <c r="J78" s="34"/>
      <c r="K78" s="34">
        <f t="array" ref="K78">IF(ROW(K78)&lt;=COUNTA(F:F)*2,IF(MOD(ROW(K78),2)=1,INDEX(F:F,(ROW(K78)+1)/2),INDEX(H:H,ROW(K78)/2)),"")</f>
        <v>-52.95</v>
      </c>
      <c r="L78" s="34">
        <f t="array" ref="L78">IF(ROW(L78)&lt;=COUNTA(G:G)*2,IF(MOD(ROW(L78),2)=1,INDEX(G:G,(ROW(L78)+1)/2),INDEX(I:I,ROW(L78)/2)),"")</f>
        <v>112.5</v>
      </c>
      <c r="N78" s="21">
        <f t="shared" si="20"/>
        <v>-111.45</v>
      </c>
      <c r="O78" s="21">
        <f t="shared" si="21"/>
        <v>121.2</v>
      </c>
      <c r="P78" s="21">
        <f t="shared" si="13"/>
        <v>-114.45</v>
      </c>
      <c r="Q78" s="21">
        <f t="shared" si="22"/>
        <v>121.2</v>
      </c>
      <c r="R78" s="21"/>
      <c r="S78" s="21">
        <f t="array" ref="S78">IF(ROW(S78)&lt;=COUNTA(N:N)*2,IF(MOD(ROW(S78),2)=1,INDEX(N:N,(ROW(S78)+1)/2),INDEX(P:P,ROW(S78)/2)),"")</f>
        <v>-52.95</v>
      </c>
      <c r="T78" s="21">
        <f t="array" ref="T78">IF(ROW(T78)&lt;=COUNTA(O:O)*2,IF(MOD(ROW(T78),2)=1,INDEX(O:O,(ROW(T78)+1)/2),INDEX(Q:Q,ROW(T78)/2)),"")</f>
        <v>121.4</v>
      </c>
      <c r="V78" s="22">
        <f t="shared" si="23"/>
        <v>-111.45</v>
      </c>
      <c r="W78" s="22">
        <f t="shared" si="14"/>
        <v>122.653175</v>
      </c>
      <c r="X78" s="22">
        <f t="shared" si="15"/>
        <v>-114.45</v>
      </c>
      <c r="Y78" s="22">
        <f t="shared" si="16"/>
        <v>122.653175</v>
      </c>
      <c r="Z78" s="22"/>
      <c r="AA78" s="22">
        <f t="array" ref="AA78">IF(ROW(AA78)&lt;=COUNTA(V:V)*2,IF(MOD(ROW(AA78),2)=1,INDEX(V:V,(ROW(AA78)+1)/2),INDEX(X:X,ROW(AA78)/2)),"")</f>
        <v>-52.95</v>
      </c>
      <c r="AB78" s="22">
        <f t="array" ref="AB78">IF(ROW(AB78)&lt;=COUNTA(W:W)*2,IF(MOD(ROW(AB78),2)=1,INDEX(W:W,(ROW(AB78)+1)/2),INDEX(Y:Y,ROW(AB78)/2)),"")</f>
        <v>125.06875</v>
      </c>
    </row>
    <row r="79" spans="1:28" s="2" customFormat="1" x14ac:dyDescent="0.25">
      <c r="A79" s="32"/>
      <c r="B79" s="20"/>
      <c r="C79" s="21"/>
      <c r="D79" s="22"/>
      <c r="E79" s="33"/>
      <c r="F79" s="34">
        <f t="shared" si="17"/>
        <v>-114.45</v>
      </c>
      <c r="G79" s="34">
        <f t="shared" si="18"/>
        <v>112.4</v>
      </c>
      <c r="H79" s="34">
        <f t="shared" si="12"/>
        <v>-117.45</v>
      </c>
      <c r="I79" s="34">
        <f t="shared" si="19"/>
        <v>112.4</v>
      </c>
      <c r="J79" s="34"/>
      <c r="K79" s="34">
        <f t="array" ref="K79">IF(ROW(K79)&lt;=COUNTA(F:F)*2,IF(MOD(ROW(K79),2)=1,INDEX(F:F,(ROW(K79)+1)/2),INDEX(H:H,ROW(K79)/2)),"")</f>
        <v>-52.95</v>
      </c>
      <c r="L79" s="34">
        <f t="array" ref="L79">IF(ROW(L79)&lt;=COUNTA(G:G)*2,IF(MOD(ROW(L79),2)=1,INDEX(G:G,(ROW(L79)+1)/2),INDEX(I:I,ROW(L79)/2)),"")</f>
        <v>111.8</v>
      </c>
      <c r="N79" s="21">
        <f t="shared" si="20"/>
        <v>-114.45</v>
      </c>
      <c r="O79" s="21">
        <f t="shared" si="21"/>
        <v>119.5</v>
      </c>
      <c r="P79" s="21">
        <f t="shared" si="13"/>
        <v>-117.45</v>
      </c>
      <c r="Q79" s="21">
        <f t="shared" si="22"/>
        <v>119.5</v>
      </c>
      <c r="R79" s="21"/>
      <c r="S79" s="21">
        <f t="array" ref="S79">IF(ROW(S79)&lt;=COUNTA(N:N)*2,IF(MOD(ROW(S79),2)=1,INDEX(N:N,(ROW(S79)+1)/2),INDEX(P:P,ROW(S79)/2)),"")</f>
        <v>-52.95</v>
      </c>
      <c r="T79" s="21">
        <f t="array" ref="T79">IF(ROW(T79)&lt;=COUNTA(O:O)*2,IF(MOD(ROW(T79),2)=1,INDEX(O:O,(ROW(T79)+1)/2),INDEX(Q:Q,ROW(T79)/2)),"")</f>
        <v>121.1</v>
      </c>
      <c r="V79" s="22">
        <f t="shared" si="23"/>
        <v>-114.45</v>
      </c>
      <c r="W79" s="22">
        <f t="shared" si="14"/>
        <v>122.653175</v>
      </c>
      <c r="X79" s="22">
        <f t="shared" si="15"/>
        <v>-117.45</v>
      </c>
      <c r="Y79" s="22">
        <f t="shared" si="16"/>
        <v>122.653175</v>
      </c>
      <c r="Z79" s="22"/>
      <c r="AA79" s="22">
        <f t="array" ref="AA79">IF(ROW(AA79)&lt;=COUNTA(V:V)*2,IF(MOD(ROW(AA79),2)=1,INDEX(V:V,(ROW(AA79)+1)/2),INDEX(X:X,ROW(AA79)/2)),"")</f>
        <v>-52.95</v>
      </c>
      <c r="AB79" s="22">
        <f t="array" ref="AB79">IF(ROW(AB79)&lt;=COUNTA(W:W)*2,IF(MOD(ROW(AB79),2)=1,INDEX(W:W,(ROW(AB79)+1)/2),INDEX(Y:Y,ROW(AB79)/2)),"")</f>
        <v>125.1027</v>
      </c>
    </row>
    <row r="80" spans="1:28" s="2" customFormat="1" x14ac:dyDescent="0.25">
      <c r="A80" s="32"/>
      <c r="B80" s="20"/>
      <c r="C80" s="21"/>
      <c r="D80" s="22"/>
      <c r="E80" s="33"/>
      <c r="F80" s="34">
        <f t="shared" si="17"/>
        <v>-117.45</v>
      </c>
      <c r="G80" s="34">
        <f t="shared" si="18"/>
        <v>112.5</v>
      </c>
      <c r="H80" s="34">
        <f t="shared" si="12"/>
        <v>-120.45</v>
      </c>
      <c r="I80" s="34">
        <f t="shared" si="19"/>
        <v>112.5</v>
      </c>
      <c r="J80" s="34"/>
      <c r="K80" s="34">
        <f t="array" ref="K80">IF(ROW(K80)&lt;=COUNTA(F:F)*2,IF(MOD(ROW(K80),2)=1,INDEX(F:F,(ROW(K80)+1)/2),INDEX(H:H,ROW(K80)/2)),"")</f>
        <v>-54.45</v>
      </c>
      <c r="L80" s="34">
        <f t="array" ref="L80">IF(ROW(L80)&lt;=COUNTA(G:G)*2,IF(MOD(ROW(L80),2)=1,INDEX(G:G,(ROW(L80)+1)/2),INDEX(I:I,ROW(L80)/2)),"")</f>
        <v>111.8</v>
      </c>
      <c r="N80" s="21">
        <f t="shared" si="20"/>
        <v>-117.45</v>
      </c>
      <c r="O80" s="21">
        <f t="shared" si="21"/>
        <v>113.6</v>
      </c>
      <c r="P80" s="21">
        <f t="shared" si="13"/>
        <v>-120.45</v>
      </c>
      <c r="Q80" s="21">
        <f t="shared" si="22"/>
        <v>113.6</v>
      </c>
      <c r="R80" s="21"/>
      <c r="S80" s="21">
        <f t="array" ref="S80">IF(ROW(S80)&lt;=COUNTA(N:N)*2,IF(MOD(ROW(S80),2)=1,INDEX(N:N,(ROW(S80)+1)/2),INDEX(P:P,ROW(S80)/2)),"")</f>
        <v>-54.45</v>
      </c>
      <c r="T80" s="21">
        <f t="array" ref="T80">IF(ROW(T80)&lt;=COUNTA(O:O)*2,IF(MOD(ROW(T80),2)=1,INDEX(O:O,(ROW(T80)+1)/2),INDEX(Q:Q,ROW(T80)/2)),"")</f>
        <v>121.1</v>
      </c>
      <c r="V80" s="22">
        <f t="shared" si="23"/>
        <v>-117.45</v>
      </c>
      <c r="W80" s="22">
        <f t="shared" si="14"/>
        <v>122.6518</v>
      </c>
      <c r="X80" s="22">
        <f t="shared" si="15"/>
        <v>-120.45</v>
      </c>
      <c r="Y80" s="22">
        <f t="shared" si="16"/>
        <v>122.6518</v>
      </c>
      <c r="Z80" s="22"/>
      <c r="AA80" s="22">
        <f t="array" ref="AA80">IF(ROW(AA80)&lt;=COUNTA(V:V)*2,IF(MOD(ROW(AA80),2)=1,INDEX(V:V,(ROW(AA80)+1)/2),INDEX(X:X,ROW(AA80)/2)),"")</f>
        <v>-54.45</v>
      </c>
      <c r="AB80" s="22">
        <f t="array" ref="AB80">IF(ROW(AB80)&lt;=COUNTA(W:W)*2,IF(MOD(ROW(AB80),2)=1,INDEX(W:W,(ROW(AB80)+1)/2),INDEX(Y:Y,ROW(AB80)/2)),"")</f>
        <v>125.1027</v>
      </c>
    </row>
    <row r="81" spans="1:28" s="2" customFormat="1" x14ac:dyDescent="0.25">
      <c r="A81" s="32"/>
      <c r="B81" s="20"/>
      <c r="C81" s="21"/>
      <c r="D81" s="22"/>
      <c r="E81" s="33"/>
      <c r="F81" s="34">
        <f t="shared" si="17"/>
        <v>-120.45</v>
      </c>
      <c r="G81" s="34">
        <f t="shared" si="18"/>
        <v>112.4</v>
      </c>
      <c r="H81" s="34">
        <f t="shared" si="12"/>
        <v>-123.45</v>
      </c>
      <c r="I81" s="34">
        <f t="shared" si="19"/>
        <v>112.4</v>
      </c>
      <c r="J81" s="34"/>
      <c r="K81" s="34">
        <f t="array" ref="K81">IF(ROW(K81)&lt;=COUNTA(F:F)*2,IF(MOD(ROW(K81),2)=1,INDEX(F:F,(ROW(K81)+1)/2),INDEX(H:H,ROW(K81)/2)),"")</f>
        <v>-54.45</v>
      </c>
      <c r="L81" s="34">
        <f t="array" ref="L81">IF(ROW(L81)&lt;=COUNTA(G:G)*2,IF(MOD(ROW(L81),2)=1,INDEX(G:G,(ROW(L81)+1)/2),INDEX(I:I,ROW(L81)/2)),"")</f>
        <v>112.4</v>
      </c>
      <c r="N81" s="21">
        <f t="shared" si="20"/>
        <v>-120.45</v>
      </c>
      <c r="O81" s="21">
        <f t="shared" si="21"/>
        <v>119.5</v>
      </c>
      <c r="P81" s="21">
        <f t="shared" si="13"/>
        <v>-123.45</v>
      </c>
      <c r="Q81" s="21">
        <f t="shared" si="22"/>
        <v>119.5</v>
      </c>
      <c r="R81" s="21"/>
      <c r="S81" s="21">
        <f t="array" ref="S81">IF(ROW(S81)&lt;=COUNTA(N:N)*2,IF(MOD(ROW(S81),2)=1,INDEX(N:N,(ROW(S81)+1)/2),INDEX(P:P,ROW(S81)/2)),"")</f>
        <v>-54.45</v>
      </c>
      <c r="T81" s="21">
        <f t="array" ref="T81">IF(ROW(T81)&lt;=COUNTA(O:O)*2,IF(MOD(ROW(T81),2)=1,INDEX(O:O,(ROW(T81)+1)/2),INDEX(Q:Q,ROW(T81)/2)),"")</f>
        <v>119.2</v>
      </c>
      <c r="V81" s="22">
        <f t="shared" si="23"/>
        <v>-120.45</v>
      </c>
      <c r="W81" s="22">
        <f t="shared" si="14"/>
        <v>122.653175</v>
      </c>
      <c r="X81" s="22">
        <f t="shared" si="15"/>
        <v>-123.45</v>
      </c>
      <c r="Y81" s="22">
        <f t="shared" si="16"/>
        <v>122.653175</v>
      </c>
      <c r="Z81" s="22"/>
      <c r="AA81" s="22">
        <f t="array" ref="AA81">IF(ROW(AA81)&lt;=COUNTA(V:V)*2,IF(MOD(ROW(AA81),2)=1,INDEX(V:V,(ROW(AA81)+1)/2),INDEX(X:X,ROW(AA81)/2)),"")</f>
        <v>-54.45</v>
      </c>
      <c r="AB81" s="22">
        <f t="array" ref="AB81">IF(ROW(AB81)&lt;=COUNTA(W:W)*2,IF(MOD(ROW(AB81),2)=1,INDEX(W:W,(ROW(AB81)+1)/2),INDEX(Y:Y,ROW(AB81)/2)),"")</f>
        <v>125.137075</v>
      </c>
    </row>
    <row r="82" spans="1:28" s="2" customFormat="1" x14ac:dyDescent="0.25">
      <c r="A82" s="32"/>
      <c r="B82" s="20"/>
      <c r="C82" s="21"/>
      <c r="D82" s="22"/>
      <c r="E82" s="33"/>
      <c r="F82" s="34">
        <f t="shared" si="17"/>
        <v>-123.45</v>
      </c>
      <c r="G82" s="34">
        <f t="shared" si="18"/>
        <v>112.5</v>
      </c>
      <c r="H82" s="34">
        <f t="shared" si="12"/>
        <v>-126.45</v>
      </c>
      <c r="I82" s="34">
        <f t="shared" si="19"/>
        <v>112.5</v>
      </c>
      <c r="J82" s="34"/>
      <c r="K82" s="34">
        <f t="array" ref="K82">IF(ROW(K82)&lt;=COUNTA(F:F)*2,IF(MOD(ROW(K82),2)=1,INDEX(F:F,(ROW(K82)+1)/2),INDEX(H:H,ROW(K82)/2)),"")</f>
        <v>-55.95</v>
      </c>
      <c r="L82" s="34">
        <f t="array" ref="L82">IF(ROW(L82)&lt;=COUNTA(G:G)*2,IF(MOD(ROW(L82),2)=1,INDEX(G:G,(ROW(L82)+1)/2),INDEX(I:I,ROW(L82)/2)),"")</f>
        <v>112.4</v>
      </c>
      <c r="N82" s="21">
        <f t="shared" si="20"/>
        <v>-123.45</v>
      </c>
      <c r="O82" s="21">
        <f t="shared" si="21"/>
        <v>120</v>
      </c>
      <c r="P82" s="21">
        <f t="shared" si="13"/>
        <v>-126.45</v>
      </c>
      <c r="Q82" s="21">
        <f t="shared" si="22"/>
        <v>120</v>
      </c>
      <c r="R82" s="21"/>
      <c r="S82" s="21">
        <f t="array" ref="S82">IF(ROW(S82)&lt;=COUNTA(N:N)*2,IF(MOD(ROW(S82),2)=1,INDEX(N:N,(ROW(S82)+1)/2),INDEX(P:P,ROW(S82)/2)),"")</f>
        <v>-55.95</v>
      </c>
      <c r="T82" s="21">
        <f t="array" ref="T82">IF(ROW(T82)&lt;=COUNTA(O:O)*2,IF(MOD(ROW(T82),2)=1,INDEX(O:O,(ROW(T82)+1)/2),INDEX(Q:Q,ROW(T82)/2)),"")</f>
        <v>119.2</v>
      </c>
      <c r="V82" s="22">
        <f t="shared" si="23"/>
        <v>-123.45</v>
      </c>
      <c r="W82" s="22">
        <f t="shared" si="14"/>
        <v>122.6518</v>
      </c>
      <c r="X82" s="22">
        <f t="shared" si="15"/>
        <v>-126.45</v>
      </c>
      <c r="Y82" s="22">
        <f t="shared" si="16"/>
        <v>122.6518</v>
      </c>
      <c r="Z82" s="22"/>
      <c r="AA82" s="22">
        <f t="array" ref="AA82">IF(ROW(AA82)&lt;=COUNTA(V:V)*2,IF(MOD(ROW(AA82),2)=1,INDEX(V:V,(ROW(AA82)+1)/2),INDEX(X:X,ROW(AA82)/2)),"")</f>
        <v>-55.95</v>
      </c>
      <c r="AB82" s="22">
        <f t="array" ref="AB82">IF(ROW(AB82)&lt;=COUNTA(W:W)*2,IF(MOD(ROW(AB82),2)=1,INDEX(W:W,(ROW(AB82)+1)/2),INDEX(Y:Y,ROW(AB82)/2)),"")</f>
        <v>125.137075</v>
      </c>
    </row>
    <row r="83" spans="1:28" s="2" customFormat="1" x14ac:dyDescent="0.25">
      <c r="A83" s="32"/>
      <c r="B83" s="20"/>
      <c r="C83" s="21"/>
      <c r="D83" s="22"/>
      <c r="E83" s="33"/>
      <c r="F83" s="34">
        <f t="shared" si="17"/>
        <v>-126.45</v>
      </c>
      <c r="G83" s="34">
        <f t="shared" si="18"/>
        <v>112.5</v>
      </c>
      <c r="H83" s="34">
        <f t="shared" si="12"/>
        <v>-129.45</v>
      </c>
      <c r="I83" s="34">
        <f t="shared" si="19"/>
        <v>112.5</v>
      </c>
      <c r="J83" s="34"/>
      <c r="K83" s="34">
        <f t="array" ref="K83">IF(ROW(K83)&lt;=COUNTA(F:F)*2,IF(MOD(ROW(K83),2)=1,INDEX(F:F,(ROW(K83)+1)/2),INDEX(H:H,ROW(K83)/2)),"")</f>
        <v>-55.95</v>
      </c>
      <c r="L83" s="34">
        <f t="array" ref="L83">IF(ROW(L83)&lt;=COUNTA(G:G)*2,IF(MOD(ROW(L83),2)=1,INDEX(G:G,(ROW(L83)+1)/2),INDEX(I:I,ROW(L83)/2)),"")</f>
        <v>112</v>
      </c>
      <c r="N83" s="21">
        <f t="shared" si="20"/>
        <v>-126.45</v>
      </c>
      <c r="O83" s="21">
        <f t="shared" si="21"/>
        <v>119</v>
      </c>
      <c r="P83" s="21">
        <f t="shared" si="13"/>
        <v>-129.45</v>
      </c>
      <c r="Q83" s="21">
        <f t="shared" si="22"/>
        <v>119</v>
      </c>
      <c r="R83" s="21"/>
      <c r="S83" s="21">
        <f t="array" ref="S83">IF(ROW(S83)&lt;=COUNTA(N:N)*2,IF(MOD(ROW(S83),2)=1,INDEX(N:N,(ROW(S83)+1)/2),INDEX(P:P,ROW(S83)/2)),"")</f>
        <v>-55.95</v>
      </c>
      <c r="T83" s="21">
        <f t="array" ref="T83">IF(ROW(T83)&lt;=COUNTA(O:O)*2,IF(MOD(ROW(T83),2)=1,INDEX(O:O,(ROW(T83)+1)/2),INDEX(Q:Q,ROW(T83)/2)),"")</f>
        <v>120.6</v>
      </c>
      <c r="V83" s="22">
        <f t="shared" si="23"/>
        <v>-126.45</v>
      </c>
      <c r="W83" s="22">
        <f t="shared" si="14"/>
        <v>122.6511</v>
      </c>
      <c r="X83" s="22">
        <f t="shared" si="15"/>
        <v>-129.45</v>
      </c>
      <c r="Y83" s="22">
        <f t="shared" si="16"/>
        <v>122.6511</v>
      </c>
      <c r="Z83" s="22"/>
      <c r="AA83" s="22">
        <f t="array" ref="AA83">IF(ROW(AA83)&lt;=COUNTA(V:V)*2,IF(MOD(ROW(AA83),2)=1,INDEX(V:V,(ROW(AA83)+1)/2),INDEX(X:X,ROW(AA83)/2)),"")</f>
        <v>-55.95</v>
      </c>
      <c r="AB83" s="22">
        <f t="array" ref="AB83">IF(ROW(AB83)&lt;=COUNTA(W:W)*2,IF(MOD(ROW(AB83),2)=1,INDEX(W:W,(ROW(AB83)+1)/2),INDEX(Y:Y,ROW(AB83)/2)),"")</f>
        <v>125.154675</v>
      </c>
    </row>
    <row r="84" spans="1:28" s="2" customFormat="1" x14ac:dyDescent="0.25">
      <c r="A84" s="32"/>
      <c r="B84" s="20"/>
      <c r="C84" s="21"/>
      <c r="D84" s="22"/>
      <c r="E84" s="33"/>
      <c r="F84" s="34">
        <f t="shared" si="17"/>
        <v>-129.45</v>
      </c>
      <c r="G84" s="34">
        <f t="shared" si="18"/>
        <v>112.4</v>
      </c>
      <c r="H84" s="34">
        <f t="shared" si="12"/>
        <v>-132.45</v>
      </c>
      <c r="I84" s="34">
        <f t="shared" si="19"/>
        <v>112.4</v>
      </c>
      <c r="J84" s="34"/>
      <c r="K84" s="34">
        <f t="array" ref="K84">IF(ROW(K84)&lt;=COUNTA(F:F)*2,IF(MOD(ROW(K84),2)=1,INDEX(F:F,(ROW(K84)+1)/2),INDEX(H:H,ROW(K84)/2)),"")</f>
        <v>-57.45</v>
      </c>
      <c r="L84" s="34">
        <f t="array" ref="L84">IF(ROW(L84)&lt;=COUNTA(G:G)*2,IF(MOD(ROW(L84),2)=1,INDEX(G:G,(ROW(L84)+1)/2),INDEX(I:I,ROW(L84)/2)),"")</f>
        <v>112</v>
      </c>
      <c r="N84" s="21">
        <f t="shared" si="20"/>
        <v>-129.45</v>
      </c>
      <c r="O84" s="21">
        <f t="shared" si="21"/>
        <v>119.6</v>
      </c>
      <c r="P84" s="21">
        <f t="shared" si="13"/>
        <v>-132.45</v>
      </c>
      <c r="Q84" s="21">
        <f t="shared" si="22"/>
        <v>119.6</v>
      </c>
      <c r="R84" s="21"/>
      <c r="S84" s="21">
        <f t="array" ref="S84">IF(ROW(S84)&lt;=COUNTA(N:N)*2,IF(MOD(ROW(S84),2)=1,INDEX(N:N,(ROW(S84)+1)/2),INDEX(P:P,ROW(S84)/2)),"")</f>
        <v>-57.45</v>
      </c>
      <c r="T84" s="21">
        <f t="array" ref="T84">IF(ROW(T84)&lt;=COUNTA(O:O)*2,IF(MOD(ROW(T84),2)=1,INDEX(O:O,(ROW(T84)+1)/2),INDEX(Q:Q,ROW(T84)/2)),"")</f>
        <v>120.6</v>
      </c>
      <c r="V84" s="22">
        <f t="shared" si="23"/>
        <v>-129.45</v>
      </c>
      <c r="W84" s="22">
        <f t="shared" si="14"/>
        <v>122.6518</v>
      </c>
      <c r="X84" s="22">
        <f t="shared" si="15"/>
        <v>-132.45</v>
      </c>
      <c r="Y84" s="22">
        <f t="shared" si="16"/>
        <v>122.6518</v>
      </c>
      <c r="Z84" s="22"/>
      <c r="AA84" s="22">
        <f t="array" ref="AA84">IF(ROW(AA84)&lt;=COUNTA(V:V)*2,IF(MOD(ROW(AA84),2)=1,INDEX(V:V,(ROW(AA84)+1)/2),INDEX(X:X,ROW(AA84)/2)),"")</f>
        <v>-57.45</v>
      </c>
      <c r="AB84" s="22">
        <f t="array" ref="AB84">IF(ROW(AB84)&lt;=COUNTA(W:W)*2,IF(MOD(ROW(AB84),2)=1,INDEX(W:W,(ROW(AB84)+1)/2),INDEX(Y:Y,ROW(AB84)/2)),"")</f>
        <v>125.154675</v>
      </c>
    </row>
    <row r="85" spans="1:28" s="2" customFormat="1" x14ac:dyDescent="0.25">
      <c r="A85" s="32"/>
      <c r="B85" s="20"/>
      <c r="C85" s="21"/>
      <c r="D85" s="22"/>
      <c r="E85" s="33"/>
      <c r="F85" s="34">
        <f t="shared" si="17"/>
        <v>-132.45</v>
      </c>
      <c r="G85" s="34">
        <f t="shared" si="18"/>
        <v>112.5</v>
      </c>
      <c r="H85" s="34">
        <f t="shared" si="12"/>
        <v>-135.45</v>
      </c>
      <c r="I85" s="34">
        <f t="shared" si="19"/>
        <v>112.5</v>
      </c>
      <c r="J85" s="34"/>
      <c r="K85" s="34">
        <f t="array" ref="K85">IF(ROW(K85)&lt;=COUNTA(F:F)*2,IF(MOD(ROW(K85),2)=1,INDEX(F:F,(ROW(K85)+1)/2),INDEX(H:H,ROW(K85)/2)),"")</f>
        <v>-57.45</v>
      </c>
      <c r="L85" s="34">
        <f t="array" ref="L85">IF(ROW(L85)&lt;=COUNTA(G:G)*2,IF(MOD(ROW(L85),2)=1,INDEX(G:G,(ROW(L85)+1)/2),INDEX(I:I,ROW(L85)/2)),"")</f>
        <v>112.2</v>
      </c>
      <c r="N85" s="21">
        <f t="shared" si="20"/>
        <v>-132.45</v>
      </c>
      <c r="O85" s="21">
        <f t="shared" si="21"/>
        <v>121.8</v>
      </c>
      <c r="P85" s="21">
        <f t="shared" si="13"/>
        <v>-135.45</v>
      </c>
      <c r="Q85" s="21">
        <f t="shared" si="22"/>
        <v>121.8</v>
      </c>
      <c r="R85" s="21"/>
      <c r="S85" s="21">
        <f t="array" ref="S85">IF(ROW(S85)&lt;=COUNTA(N:N)*2,IF(MOD(ROW(S85),2)=1,INDEX(N:N,(ROW(S85)+1)/2),INDEX(P:P,ROW(S85)/2)),"")</f>
        <v>-57.45</v>
      </c>
      <c r="T85" s="21">
        <f t="array" ref="T85">IF(ROW(T85)&lt;=COUNTA(O:O)*2,IF(MOD(ROW(T85),2)=1,INDEX(O:O,(ROW(T85)+1)/2),INDEX(Q:Q,ROW(T85)/2)),"")</f>
        <v>122</v>
      </c>
      <c r="V85" s="22">
        <f t="shared" si="23"/>
        <v>-132.45</v>
      </c>
      <c r="W85" s="22">
        <f t="shared" si="14"/>
        <v>122.6518</v>
      </c>
      <c r="X85" s="22">
        <f t="shared" si="15"/>
        <v>-135.45</v>
      </c>
      <c r="Y85" s="22">
        <f t="shared" si="16"/>
        <v>122.6518</v>
      </c>
      <c r="Z85" s="22"/>
      <c r="AA85" s="22">
        <f t="array" ref="AA85">IF(ROW(AA85)&lt;=COUNTA(V:V)*2,IF(MOD(ROW(AA85),2)=1,INDEX(V:V,(ROW(AA85)+1)/2),INDEX(X:X,ROW(AA85)/2)),"")</f>
        <v>-57.45</v>
      </c>
      <c r="AB85" s="22">
        <f t="array" ref="AB85">IF(ROW(AB85)&lt;=COUNTA(W:W)*2,IF(MOD(ROW(AB85),2)=1,INDEX(W:W,(ROW(AB85)+1)/2),INDEX(Y:Y,ROW(AB85)/2)),"")</f>
        <v>125.154675</v>
      </c>
    </row>
    <row r="86" spans="1:28" s="2" customFormat="1" x14ac:dyDescent="0.25">
      <c r="A86" s="32"/>
      <c r="B86" s="20"/>
      <c r="C86" s="21"/>
      <c r="D86" s="22"/>
      <c r="E86" s="33"/>
      <c r="F86" s="34">
        <f t="shared" si="17"/>
        <v>-135.45</v>
      </c>
      <c r="G86" s="34">
        <f t="shared" si="18"/>
        <v>112.4</v>
      </c>
      <c r="H86" s="34">
        <f t="shared" si="12"/>
        <v>-138.45</v>
      </c>
      <c r="I86" s="34">
        <f t="shared" si="19"/>
        <v>112.4</v>
      </c>
      <c r="J86" s="34"/>
      <c r="K86" s="34">
        <f t="array" ref="K86">IF(ROW(K86)&lt;=COUNTA(F:F)*2,IF(MOD(ROW(K86),2)=1,INDEX(F:F,(ROW(K86)+1)/2),INDEX(H:H,ROW(K86)/2)),"")</f>
        <v>-58.95</v>
      </c>
      <c r="L86" s="34">
        <f t="array" ref="L86">IF(ROW(L86)&lt;=COUNTA(G:G)*2,IF(MOD(ROW(L86),2)=1,INDEX(G:G,(ROW(L86)+1)/2),INDEX(I:I,ROW(L86)/2)),"")</f>
        <v>112.2</v>
      </c>
      <c r="N86" s="21">
        <f t="shared" si="20"/>
        <v>-135.45</v>
      </c>
      <c r="O86" s="21">
        <f t="shared" si="21"/>
        <v>121.1</v>
      </c>
      <c r="P86" s="21">
        <f t="shared" si="13"/>
        <v>-138.45</v>
      </c>
      <c r="Q86" s="21">
        <f t="shared" si="22"/>
        <v>121.1</v>
      </c>
      <c r="R86" s="21"/>
      <c r="S86" s="21">
        <f t="array" ref="S86">IF(ROW(S86)&lt;=COUNTA(N:N)*2,IF(MOD(ROW(S86),2)=1,INDEX(N:N,(ROW(S86)+1)/2),INDEX(P:P,ROW(S86)/2)),"")</f>
        <v>-58.95</v>
      </c>
      <c r="T86" s="21">
        <f t="array" ref="T86">IF(ROW(T86)&lt;=COUNTA(O:O)*2,IF(MOD(ROW(T86),2)=1,INDEX(O:O,(ROW(T86)+1)/2),INDEX(Q:Q,ROW(T86)/2)),"")</f>
        <v>122</v>
      </c>
      <c r="V86" s="22">
        <f t="shared" si="23"/>
        <v>-135.45</v>
      </c>
      <c r="W86" s="22">
        <f t="shared" si="14"/>
        <v>122.6533</v>
      </c>
      <c r="X86" s="22">
        <f t="shared" si="15"/>
        <v>-138.45</v>
      </c>
      <c r="Y86" s="22">
        <f t="shared" si="16"/>
        <v>122.6533</v>
      </c>
      <c r="Z86" s="22"/>
      <c r="AA86" s="22">
        <f t="array" ref="AA86">IF(ROW(AA86)&lt;=COUNTA(V:V)*2,IF(MOD(ROW(AA86),2)=1,INDEX(V:V,(ROW(AA86)+1)/2),INDEX(X:X,ROW(AA86)/2)),"")</f>
        <v>-58.95</v>
      </c>
      <c r="AB86" s="22">
        <f t="array" ref="AB86">IF(ROW(AB86)&lt;=COUNTA(W:W)*2,IF(MOD(ROW(AB86),2)=1,INDEX(W:W,(ROW(AB86)+1)/2),INDEX(Y:Y,ROW(AB86)/2)),"")</f>
        <v>125.154675</v>
      </c>
    </row>
    <row r="87" spans="1:28" s="2" customFormat="1" x14ac:dyDescent="0.25">
      <c r="A87" s="32"/>
      <c r="B87" s="20"/>
      <c r="C87" s="21"/>
      <c r="D87" s="22"/>
      <c r="E87" s="33"/>
      <c r="F87" s="34">
        <f t="shared" si="17"/>
        <v>-138.45</v>
      </c>
      <c r="G87" s="34">
        <f t="shared" si="18"/>
        <v>112.5</v>
      </c>
      <c r="H87" s="34">
        <f t="shared" si="12"/>
        <v>-141.45</v>
      </c>
      <c r="I87" s="34">
        <f t="shared" si="19"/>
        <v>112.5</v>
      </c>
      <c r="J87" s="34"/>
      <c r="K87" s="34">
        <f t="array" ref="K87">IF(ROW(K87)&lt;=COUNTA(F:F)*2,IF(MOD(ROW(K87),2)=1,INDEX(F:F,(ROW(K87)+1)/2),INDEX(H:H,ROW(K87)/2)),"")</f>
        <v>-58.95</v>
      </c>
      <c r="L87" s="34">
        <f t="array" ref="L87">IF(ROW(L87)&lt;=COUNTA(G:G)*2,IF(MOD(ROW(L87),2)=1,INDEX(G:G,(ROW(L87)+1)/2),INDEX(I:I,ROW(L87)/2)),"")</f>
        <v>112.4</v>
      </c>
      <c r="N87" s="21">
        <f t="shared" si="20"/>
        <v>-138.45</v>
      </c>
      <c r="O87" s="21">
        <f t="shared" si="21"/>
        <v>121</v>
      </c>
      <c r="P87" s="21">
        <f t="shared" si="13"/>
        <v>-141.45</v>
      </c>
      <c r="Q87" s="21">
        <f t="shared" si="22"/>
        <v>121</v>
      </c>
      <c r="R87" s="21"/>
      <c r="S87" s="21">
        <f t="array" ref="S87">IF(ROW(S87)&lt;=COUNTA(N:N)*2,IF(MOD(ROW(S87),2)=1,INDEX(N:N,(ROW(S87)+1)/2),INDEX(P:P,ROW(S87)/2)),"")</f>
        <v>-58.95</v>
      </c>
      <c r="T87" s="21">
        <f t="array" ref="T87">IF(ROW(T87)&lt;=COUNTA(O:O)*2,IF(MOD(ROW(T87),2)=1,INDEX(O:O,(ROW(T87)+1)/2),INDEX(Q:Q,ROW(T87)/2)),"")</f>
        <v>116.7</v>
      </c>
      <c r="V87" s="22">
        <f t="shared" si="23"/>
        <v>-138.45</v>
      </c>
      <c r="W87" s="22">
        <f t="shared" si="14"/>
        <v>122.6518</v>
      </c>
      <c r="X87" s="22">
        <f t="shared" si="15"/>
        <v>-141.45</v>
      </c>
      <c r="Y87" s="22">
        <f t="shared" si="16"/>
        <v>122.6518</v>
      </c>
      <c r="Z87" s="22"/>
      <c r="AA87" s="22">
        <f t="array" ref="AA87">IF(ROW(AA87)&lt;=COUNTA(V:V)*2,IF(MOD(ROW(AA87),2)=1,INDEX(V:V,(ROW(AA87)+1)/2),INDEX(X:X,ROW(AA87)/2)),"")</f>
        <v>-58.95</v>
      </c>
      <c r="AB87" s="22">
        <f t="array" ref="AB87">IF(ROW(AB87)&lt;=COUNTA(W:W)*2,IF(MOD(ROW(AB87),2)=1,INDEX(W:W,(ROW(AB87)+1)/2),INDEX(Y:Y,ROW(AB87)/2)),"")</f>
        <v>125.112625</v>
      </c>
    </row>
    <row r="88" spans="1:28" s="2" customFormat="1" x14ac:dyDescent="0.25">
      <c r="A88" s="32"/>
      <c r="B88" s="20"/>
      <c r="C88" s="21"/>
      <c r="D88" s="22"/>
      <c r="E88" s="33"/>
      <c r="F88" s="34">
        <f t="shared" si="17"/>
        <v>-141.45</v>
      </c>
      <c r="G88" s="34">
        <f t="shared" si="18"/>
        <v>112.4</v>
      </c>
      <c r="H88" s="34">
        <f t="shared" si="12"/>
        <v>-144.45</v>
      </c>
      <c r="I88" s="34">
        <f t="shared" si="19"/>
        <v>112.4</v>
      </c>
      <c r="J88" s="34"/>
      <c r="K88" s="34">
        <f t="array" ref="K88">IF(ROW(K88)&lt;=COUNTA(F:F)*2,IF(MOD(ROW(K88),2)=1,INDEX(F:F,(ROW(K88)+1)/2),INDEX(H:H,ROW(K88)/2)),"")</f>
        <v>-60.45</v>
      </c>
      <c r="L88" s="34">
        <f t="array" ref="L88">IF(ROW(L88)&lt;=COUNTA(G:G)*2,IF(MOD(ROW(L88),2)=1,INDEX(G:G,(ROW(L88)+1)/2),INDEX(I:I,ROW(L88)/2)),"")</f>
        <v>112.4</v>
      </c>
      <c r="N88" s="21">
        <f t="shared" si="20"/>
        <v>-141.45</v>
      </c>
      <c r="O88" s="21">
        <f t="shared" si="21"/>
        <v>121.2</v>
      </c>
      <c r="P88" s="21">
        <f t="shared" si="13"/>
        <v>-144.45</v>
      </c>
      <c r="Q88" s="21">
        <f t="shared" si="22"/>
        <v>121.2</v>
      </c>
      <c r="R88" s="21"/>
      <c r="S88" s="21">
        <f t="array" ref="S88">IF(ROW(S88)&lt;=COUNTA(N:N)*2,IF(MOD(ROW(S88),2)=1,INDEX(N:N,(ROW(S88)+1)/2),INDEX(P:P,ROW(S88)/2)),"")</f>
        <v>-60.45</v>
      </c>
      <c r="T88" s="21">
        <f t="array" ref="T88">IF(ROW(T88)&lt;=COUNTA(O:O)*2,IF(MOD(ROW(T88),2)=1,INDEX(O:O,(ROW(T88)+1)/2),INDEX(Q:Q,ROW(T88)/2)),"")</f>
        <v>116.7</v>
      </c>
      <c r="V88" s="22">
        <f t="shared" si="23"/>
        <v>-141.45</v>
      </c>
      <c r="W88" s="22">
        <f t="shared" si="14"/>
        <v>122.6533</v>
      </c>
      <c r="X88" s="22">
        <f t="shared" si="15"/>
        <v>-144.45</v>
      </c>
      <c r="Y88" s="22">
        <f t="shared" si="16"/>
        <v>122.6533</v>
      </c>
      <c r="Z88" s="22"/>
      <c r="AA88" s="22">
        <f t="array" ref="AA88">IF(ROW(AA88)&lt;=COUNTA(V:V)*2,IF(MOD(ROW(AA88),2)=1,INDEX(V:V,(ROW(AA88)+1)/2),INDEX(X:X,ROW(AA88)/2)),"")</f>
        <v>-60.45</v>
      </c>
      <c r="AB88" s="22">
        <f t="array" ref="AB88">IF(ROW(AB88)&lt;=COUNTA(W:W)*2,IF(MOD(ROW(AB88),2)=1,INDEX(W:W,(ROW(AB88)+1)/2),INDEX(Y:Y,ROW(AB88)/2)),"")</f>
        <v>125.112625</v>
      </c>
    </row>
    <row r="89" spans="1:28" s="2" customFormat="1" x14ac:dyDescent="0.25">
      <c r="A89" s="32"/>
      <c r="B89" s="20"/>
      <c r="C89" s="21"/>
      <c r="D89" s="22"/>
      <c r="E89" s="33"/>
      <c r="F89" s="34">
        <f t="shared" si="17"/>
        <v>-144.45</v>
      </c>
      <c r="G89" s="34">
        <f t="shared" si="18"/>
        <v>112.5</v>
      </c>
      <c r="H89" s="34">
        <f t="shared" si="12"/>
        <v>-147.45</v>
      </c>
      <c r="I89" s="34">
        <f t="shared" si="19"/>
        <v>112.5</v>
      </c>
      <c r="J89" s="34"/>
      <c r="K89" s="34">
        <f t="array" ref="K89">IF(ROW(K89)&lt;=COUNTA(F:F)*2,IF(MOD(ROW(K89),2)=1,INDEX(F:F,(ROW(K89)+1)/2),INDEX(H:H,ROW(K89)/2)),"")</f>
        <v>-60.45</v>
      </c>
      <c r="L89" s="34">
        <f t="array" ref="L89">IF(ROW(L89)&lt;=COUNTA(G:G)*2,IF(MOD(ROW(L89),2)=1,INDEX(G:G,(ROW(L89)+1)/2),INDEX(I:I,ROW(L89)/2)),"")</f>
        <v>112</v>
      </c>
      <c r="N89" s="21">
        <f t="shared" si="20"/>
        <v>-144.45</v>
      </c>
      <c r="O89" s="21">
        <f t="shared" si="21"/>
        <v>117.2</v>
      </c>
      <c r="P89" s="21">
        <f t="shared" si="13"/>
        <v>-147.45</v>
      </c>
      <c r="Q89" s="21">
        <f t="shared" si="22"/>
        <v>117.2</v>
      </c>
      <c r="R89" s="21"/>
      <c r="S89" s="21">
        <f t="array" ref="S89">IF(ROW(S89)&lt;=COUNTA(N:N)*2,IF(MOD(ROW(S89),2)=1,INDEX(N:N,(ROW(S89)+1)/2),INDEX(P:P,ROW(S89)/2)),"")</f>
        <v>-60.45</v>
      </c>
      <c r="T89" s="21">
        <f t="array" ref="T89">IF(ROW(T89)&lt;=COUNTA(O:O)*2,IF(MOD(ROW(T89),2)=1,INDEX(O:O,(ROW(T89)+1)/2),INDEX(Q:Q,ROW(T89)/2)),"")</f>
        <v>118.7</v>
      </c>
      <c r="V89" s="22">
        <f t="shared" si="23"/>
        <v>-144.45</v>
      </c>
      <c r="W89" s="22">
        <f t="shared" si="14"/>
        <v>125.10325</v>
      </c>
      <c r="X89" s="22">
        <f t="shared" si="15"/>
        <v>-147.45</v>
      </c>
      <c r="Y89" s="22">
        <f t="shared" si="16"/>
        <v>125.10325</v>
      </c>
      <c r="Z89" s="22"/>
      <c r="AA89" s="22">
        <f t="array" ref="AA89">IF(ROW(AA89)&lt;=COUNTA(V:V)*2,IF(MOD(ROW(AA89),2)=1,INDEX(V:V,(ROW(AA89)+1)/2),INDEX(X:X,ROW(AA89)/2)),"")</f>
        <v>-60.45</v>
      </c>
      <c r="AB89" s="22">
        <f t="array" ref="AB89">IF(ROW(AB89)&lt;=COUNTA(W:W)*2,IF(MOD(ROW(AB89),2)=1,INDEX(W:W,(ROW(AB89)+1)/2),INDEX(Y:Y,ROW(AB89)/2)),"")</f>
        <v>125.112625</v>
      </c>
    </row>
    <row r="90" spans="1:28" s="2" customFormat="1" x14ac:dyDescent="0.25">
      <c r="A90" s="32"/>
      <c r="B90" s="20"/>
      <c r="C90" s="21"/>
      <c r="D90" s="22"/>
      <c r="E90" s="33"/>
      <c r="F90" s="34">
        <f t="shared" si="17"/>
        <v>-147.45</v>
      </c>
      <c r="G90" s="34">
        <f t="shared" si="18"/>
        <v>111.5</v>
      </c>
      <c r="H90" s="34">
        <f t="shared" si="12"/>
        <v>-150.45</v>
      </c>
      <c r="I90" s="34">
        <f t="shared" si="19"/>
        <v>111.5</v>
      </c>
      <c r="J90" s="34"/>
      <c r="K90" s="34">
        <f t="array" ref="K90">IF(ROW(K90)&lt;=COUNTA(F:F)*2,IF(MOD(ROW(K90),2)=1,INDEX(F:F,(ROW(K90)+1)/2),INDEX(H:H,ROW(K90)/2)),"")</f>
        <v>-61.95</v>
      </c>
      <c r="L90" s="34">
        <f t="array" ref="L90">IF(ROW(L90)&lt;=COUNTA(G:G)*2,IF(MOD(ROW(L90),2)=1,INDEX(G:G,(ROW(L90)+1)/2),INDEX(I:I,ROW(L90)/2)),"")</f>
        <v>112</v>
      </c>
      <c r="N90" s="21">
        <f t="shared" si="20"/>
        <v>-147.45</v>
      </c>
      <c r="O90" s="21">
        <f t="shared" si="21"/>
        <v>119.6</v>
      </c>
      <c r="P90" s="21">
        <f t="shared" si="13"/>
        <v>-150.45</v>
      </c>
      <c r="Q90" s="21">
        <f t="shared" si="22"/>
        <v>119.6</v>
      </c>
      <c r="R90" s="21"/>
      <c r="S90" s="21">
        <f t="array" ref="S90">IF(ROW(S90)&lt;=COUNTA(N:N)*2,IF(MOD(ROW(S90),2)=1,INDEX(N:N,(ROW(S90)+1)/2),INDEX(P:P,ROW(S90)/2)),"")</f>
        <v>-61.95</v>
      </c>
      <c r="T90" s="21">
        <f t="array" ref="T90">IF(ROW(T90)&lt;=COUNTA(O:O)*2,IF(MOD(ROW(T90),2)=1,INDEX(O:O,(ROW(T90)+1)/2),INDEX(Q:Q,ROW(T90)/2)),"")</f>
        <v>118.7</v>
      </c>
      <c r="V90" s="22">
        <f t="shared" si="23"/>
        <v>-147.45</v>
      </c>
      <c r="W90" s="22">
        <f t="shared" si="14"/>
        <v>125.1163</v>
      </c>
      <c r="X90" s="22">
        <f t="shared" si="15"/>
        <v>-150.45</v>
      </c>
      <c r="Y90" s="22">
        <f t="shared" si="16"/>
        <v>125.1163</v>
      </c>
      <c r="Z90" s="22"/>
      <c r="AA90" s="22">
        <f t="array" ref="AA90">IF(ROW(AA90)&lt;=COUNTA(V:V)*2,IF(MOD(ROW(AA90),2)=1,INDEX(V:V,(ROW(AA90)+1)/2),INDEX(X:X,ROW(AA90)/2)),"")</f>
        <v>-61.95</v>
      </c>
      <c r="AB90" s="22">
        <f t="array" ref="AB90">IF(ROW(AB90)&lt;=COUNTA(W:W)*2,IF(MOD(ROW(AB90),2)=1,INDEX(W:W,(ROW(AB90)+1)/2),INDEX(Y:Y,ROW(AB90)/2)),"")</f>
        <v>125.112625</v>
      </c>
    </row>
    <row r="91" spans="1:28" s="2" customFormat="1" x14ac:dyDescent="0.25">
      <c r="A91" s="19"/>
      <c r="B91" s="20"/>
      <c r="C91" s="21"/>
      <c r="D91" s="22"/>
      <c r="F91" s="34">
        <f t="shared" si="17"/>
        <v>-150.45</v>
      </c>
      <c r="G91" s="34">
        <f t="shared" si="18"/>
        <v>112</v>
      </c>
      <c r="H91" s="34">
        <f t="shared" si="12"/>
        <v>-153.45</v>
      </c>
      <c r="I91" s="34">
        <f t="shared" si="19"/>
        <v>112</v>
      </c>
      <c r="J91" s="20"/>
      <c r="K91" s="34">
        <f t="array" ref="K91">IF(ROW(K91)&lt;=COUNTA(F:F)*2,IF(MOD(ROW(K91),2)=1,INDEX(F:F,(ROW(K91)+1)/2),INDEX(H:H,ROW(K91)/2)),"")</f>
        <v>-61.95</v>
      </c>
      <c r="L91" s="34">
        <f t="array" ref="L91">IF(ROW(L91)&lt;=COUNTA(G:G)*2,IF(MOD(ROW(L91),2)=1,INDEX(G:G,(ROW(L91)+1)/2),INDEX(I:I,ROW(L91)/2)),"")</f>
        <v>111.7</v>
      </c>
      <c r="N91" s="21">
        <f t="shared" si="20"/>
        <v>-150.45</v>
      </c>
      <c r="O91" s="21">
        <f t="shared" si="21"/>
        <v>118.6</v>
      </c>
      <c r="P91" s="21">
        <f t="shared" si="13"/>
        <v>-153.45</v>
      </c>
      <c r="Q91" s="21">
        <f t="shared" si="22"/>
        <v>118.6</v>
      </c>
      <c r="R91" s="21"/>
      <c r="S91" s="21">
        <f t="array" ref="S91">IF(ROW(S91)&lt;=COUNTA(N:N)*2,IF(MOD(ROW(S91),2)=1,INDEX(N:N,(ROW(S91)+1)/2),INDEX(P:P,ROW(S91)/2)),"")</f>
        <v>-61.95</v>
      </c>
      <c r="T91" s="21">
        <f t="array" ref="T91">IF(ROW(T91)&lt;=COUNTA(O:O)*2,IF(MOD(ROW(T91),2)=1,INDEX(O:O,(ROW(T91)+1)/2),INDEX(Q:Q,ROW(T91)/2)),"")</f>
        <v>115.7</v>
      </c>
      <c r="V91" s="22">
        <f t="shared" si="23"/>
        <v>-150.45</v>
      </c>
      <c r="W91" s="22">
        <f t="shared" si="14"/>
        <v>125.1163</v>
      </c>
      <c r="X91" s="22">
        <f t="shared" si="15"/>
        <v>-153.45</v>
      </c>
      <c r="Y91" s="22">
        <f t="shared" si="16"/>
        <v>125.1163</v>
      </c>
      <c r="Z91" s="22"/>
      <c r="AA91" s="22">
        <f t="array" ref="AA91">IF(ROW(AA91)&lt;=COUNTA(V:V)*2,IF(MOD(ROW(AA91),2)=1,INDEX(V:V,(ROW(AA91)+1)/2),INDEX(X:X,ROW(AA91)/2)),"")</f>
        <v>-61.95</v>
      </c>
      <c r="AB91" s="22">
        <f t="array" ref="AB91">IF(ROW(AB91)&lt;=COUNTA(W:W)*2,IF(MOD(ROW(AB91),2)=1,INDEX(W:W,(ROW(AB91)+1)/2),INDEX(Y:Y,ROW(AB91)/2)),"")</f>
        <v>125.2234</v>
      </c>
    </row>
    <row r="92" spans="1:28" s="2" customFormat="1" x14ac:dyDescent="0.25">
      <c r="A92" s="19"/>
      <c r="B92" s="20"/>
      <c r="C92" s="21"/>
      <c r="D92" s="22"/>
      <c r="F92" s="34">
        <f t="shared" si="17"/>
        <v>-153.45</v>
      </c>
      <c r="G92" s="34">
        <f t="shared" si="18"/>
        <v>112.4</v>
      </c>
      <c r="H92" s="34">
        <f t="shared" si="12"/>
        <v>-155.15</v>
      </c>
      <c r="I92" s="34">
        <f t="shared" si="19"/>
        <v>112.4</v>
      </c>
      <c r="J92" s="20"/>
      <c r="K92" s="34">
        <f t="array" ref="K92">IF(ROW(K92)&lt;=COUNTA(F:F)*2,IF(MOD(ROW(K92),2)=1,INDEX(F:F,(ROW(K92)+1)/2),INDEX(H:H,ROW(K92)/2)),"")</f>
        <v>-63.45</v>
      </c>
      <c r="L92" s="34">
        <f t="array" ref="L92">IF(ROW(L92)&lt;=COUNTA(G:G)*2,IF(MOD(ROW(L92),2)=1,INDEX(G:G,(ROW(L92)+1)/2),INDEX(I:I,ROW(L92)/2)),"")</f>
        <v>111.7</v>
      </c>
      <c r="N92" s="21">
        <f t="shared" si="20"/>
        <v>-153.45</v>
      </c>
      <c r="O92" s="21">
        <f t="shared" si="21"/>
        <v>120.9</v>
      </c>
      <c r="P92" s="21">
        <f t="shared" si="13"/>
        <v>-155.15</v>
      </c>
      <c r="Q92" s="21">
        <f t="shared" si="22"/>
        <v>120.9</v>
      </c>
      <c r="R92" s="21"/>
      <c r="S92" s="21">
        <f t="array" ref="S92">IF(ROW(S92)&lt;=COUNTA(N:N)*2,IF(MOD(ROW(S92),2)=1,INDEX(N:N,(ROW(S92)+1)/2),INDEX(P:P,ROW(S92)/2)),"")</f>
        <v>-63.45</v>
      </c>
      <c r="T92" s="21">
        <f t="array" ref="T92">IF(ROW(T92)&lt;=COUNTA(O:O)*2,IF(MOD(ROW(T92),2)=1,INDEX(O:O,(ROW(T92)+1)/2),INDEX(Q:Q,ROW(T92)/2)),"")</f>
        <v>115.7</v>
      </c>
      <c r="V92" s="22">
        <f t="shared" si="23"/>
        <v>-153.45</v>
      </c>
      <c r="W92" s="22">
        <f t="shared" si="14"/>
        <v>125.130175</v>
      </c>
      <c r="X92" s="22">
        <f t="shared" si="15"/>
        <v>-155.15</v>
      </c>
      <c r="Y92" s="22">
        <f t="shared" si="16"/>
        <v>125.130175</v>
      </c>
      <c r="Z92" s="22"/>
      <c r="AA92" s="22">
        <f t="array" ref="AA92">IF(ROW(AA92)&lt;=COUNTA(V:V)*2,IF(MOD(ROW(AA92),2)=1,INDEX(V:V,(ROW(AA92)+1)/2),INDEX(X:X,ROW(AA92)/2)),"")</f>
        <v>-63.45</v>
      </c>
      <c r="AB92" s="22">
        <f t="array" ref="AB92">IF(ROW(AB92)&lt;=COUNTA(W:W)*2,IF(MOD(ROW(AB92),2)=1,INDEX(W:W,(ROW(AB92)+1)/2),INDEX(Y:Y,ROW(AB92)/2)),"")</f>
        <v>125.2234</v>
      </c>
    </row>
    <row r="93" spans="1:28" s="2" customFormat="1" x14ac:dyDescent="0.25">
      <c r="A93" s="19"/>
      <c r="B93" s="20"/>
      <c r="C93" s="21"/>
      <c r="D93" s="22"/>
      <c r="F93" s="34">
        <f t="shared" si="17"/>
        <v>-155.15</v>
      </c>
      <c r="G93" s="34">
        <f t="shared" si="18"/>
        <v>112.4</v>
      </c>
      <c r="H93" s="34">
        <f t="shared" si="12"/>
        <v>-157.85</v>
      </c>
      <c r="I93" s="34">
        <f t="shared" si="19"/>
        <v>112.4</v>
      </c>
      <c r="J93" s="20"/>
      <c r="K93" s="34">
        <f t="array" ref="K93">IF(ROW(K93)&lt;=COUNTA(F:F)*2,IF(MOD(ROW(K93),2)=1,INDEX(F:F,(ROW(K93)+1)/2),INDEX(H:H,ROW(K93)/2)),"")</f>
        <v>-63.45</v>
      </c>
      <c r="L93" s="34">
        <f t="array" ref="L93">IF(ROW(L93)&lt;=COUNTA(G:G)*2,IF(MOD(ROW(L93),2)=1,INDEX(G:G,(ROW(L93)+1)/2),INDEX(I:I,ROW(L93)/2)),"")</f>
        <v>110.8</v>
      </c>
      <c r="N93" s="21">
        <f t="shared" si="20"/>
        <v>-155.15</v>
      </c>
      <c r="O93" s="21">
        <f t="shared" si="21"/>
        <v>121.1</v>
      </c>
      <c r="P93" s="21">
        <f t="shared" si="13"/>
        <v>-157.85</v>
      </c>
      <c r="Q93" s="21">
        <f t="shared" si="22"/>
        <v>121.1</v>
      </c>
      <c r="R93" s="21"/>
      <c r="S93" s="21">
        <f t="array" ref="S93">IF(ROW(S93)&lt;=COUNTA(N:N)*2,IF(MOD(ROW(S93),2)=1,INDEX(N:N,(ROW(S93)+1)/2),INDEX(P:P,ROW(S93)/2)),"")</f>
        <v>-63.45</v>
      </c>
      <c r="T93" s="21">
        <f t="array" ref="T93">IF(ROW(T93)&lt;=COUNTA(O:O)*2,IF(MOD(ROW(T93),2)=1,INDEX(O:O,(ROW(T93)+1)/2),INDEX(Q:Q,ROW(T93)/2)),"")</f>
        <v>117.9</v>
      </c>
      <c r="V93" s="22">
        <f t="shared" si="23"/>
        <v>-155.15</v>
      </c>
      <c r="W93" s="22">
        <f t="shared" si="14"/>
        <v>125.102125</v>
      </c>
      <c r="X93" s="22">
        <f t="shared" si="15"/>
        <v>-157.85</v>
      </c>
      <c r="Y93" s="22">
        <f t="shared" si="16"/>
        <v>125.102125</v>
      </c>
      <c r="Z93" s="22"/>
      <c r="AA93" s="22">
        <f t="array" ref="AA93">IF(ROW(AA93)&lt;=COUNTA(V:V)*2,IF(MOD(ROW(AA93),2)=1,INDEX(V:V,(ROW(AA93)+1)/2),INDEX(X:X,ROW(AA93)/2)),"")</f>
        <v>-63.45</v>
      </c>
      <c r="AB93" s="22">
        <f t="array" ref="AB93">IF(ROW(AB93)&lt;=COUNTA(W:W)*2,IF(MOD(ROW(AB93),2)=1,INDEX(W:W,(ROW(AB93)+1)/2),INDEX(Y:Y,ROW(AB93)/2)),"")</f>
        <v>125.1002</v>
      </c>
    </row>
    <row r="94" spans="1:28" s="2" customFormat="1" x14ac:dyDescent="0.25">
      <c r="A94" s="19"/>
      <c r="B94" s="20"/>
      <c r="C94" s="21"/>
      <c r="D94" s="22"/>
      <c r="F94" s="34">
        <f t="shared" si="17"/>
        <v>-157.85</v>
      </c>
      <c r="G94" s="34">
        <f t="shared" si="18"/>
        <v>112.3</v>
      </c>
      <c r="H94" s="34">
        <f t="shared" si="12"/>
        <v>-160.95</v>
      </c>
      <c r="I94" s="34">
        <f t="shared" si="19"/>
        <v>112.3</v>
      </c>
      <c r="J94" s="20"/>
      <c r="K94" s="34">
        <f t="array" ref="K94">IF(ROW(K94)&lt;=COUNTA(F:F)*2,IF(MOD(ROW(K94),2)=1,INDEX(F:F,(ROW(K94)+1)/2),INDEX(H:H,ROW(K94)/2)),"")</f>
        <v>-64.95</v>
      </c>
      <c r="L94" s="34">
        <f t="array" ref="L94">IF(ROW(L94)&lt;=COUNTA(G:G)*2,IF(MOD(ROW(L94),2)=1,INDEX(G:G,(ROW(L94)+1)/2),INDEX(I:I,ROW(L94)/2)),"")</f>
        <v>110.8</v>
      </c>
      <c r="N94" s="21">
        <f t="shared" si="20"/>
        <v>-157.85</v>
      </c>
      <c r="O94" s="21">
        <f t="shared" si="21"/>
        <v>122.3</v>
      </c>
      <c r="P94" s="21">
        <f t="shared" si="13"/>
        <v>-160.95</v>
      </c>
      <c r="Q94" s="21">
        <f t="shared" si="22"/>
        <v>122.3</v>
      </c>
      <c r="R94" s="21"/>
      <c r="S94" s="21">
        <f t="array" ref="S94">IF(ROW(S94)&lt;=COUNTA(N:N)*2,IF(MOD(ROW(S94),2)=1,INDEX(N:N,(ROW(S94)+1)/2),INDEX(P:P,ROW(S94)/2)),"")</f>
        <v>-64.95</v>
      </c>
      <c r="T94" s="21">
        <f t="array" ref="T94">IF(ROW(T94)&lt;=COUNTA(O:O)*2,IF(MOD(ROW(T94),2)=1,INDEX(O:O,(ROW(T94)+1)/2),INDEX(Q:Q,ROW(T94)/2)),"")</f>
        <v>117.9</v>
      </c>
      <c r="V94" s="22">
        <f t="shared" si="23"/>
        <v>-157.85</v>
      </c>
      <c r="W94" s="22">
        <f t="shared" si="14"/>
        <v>125.225825</v>
      </c>
      <c r="X94" s="22">
        <f t="shared" si="15"/>
        <v>-160.95</v>
      </c>
      <c r="Y94" s="22">
        <f t="shared" si="16"/>
        <v>125.225825</v>
      </c>
      <c r="Z94" s="22"/>
      <c r="AA94" s="22">
        <f t="array" ref="AA94">IF(ROW(AA94)&lt;=COUNTA(V:V)*2,IF(MOD(ROW(AA94),2)=1,INDEX(V:V,(ROW(AA94)+1)/2),INDEX(X:X,ROW(AA94)/2)),"")</f>
        <v>-64.95</v>
      </c>
      <c r="AB94" s="22">
        <f t="array" ref="AB94">IF(ROW(AB94)&lt;=COUNTA(W:W)*2,IF(MOD(ROW(AB94),2)=1,INDEX(W:W,(ROW(AB94)+1)/2),INDEX(Y:Y,ROW(AB94)/2)),"")</f>
        <v>125.1002</v>
      </c>
    </row>
    <row r="95" spans="1:28" s="2" customFormat="1" x14ac:dyDescent="0.25">
      <c r="A95" s="19"/>
      <c r="B95" s="20"/>
      <c r="C95" s="21"/>
      <c r="D95" s="22"/>
      <c r="F95" s="34">
        <f t="shared" si="17"/>
        <v>-160.95</v>
      </c>
      <c r="G95" s="34">
        <f t="shared" si="18"/>
        <v>112.4</v>
      </c>
      <c r="H95" s="34">
        <f t="shared" si="12"/>
        <v>-163.95</v>
      </c>
      <c r="I95" s="34">
        <f t="shared" si="19"/>
        <v>112.4</v>
      </c>
      <c r="J95" s="20"/>
      <c r="K95" s="34">
        <f t="array" ref="K95">IF(ROW(K95)&lt;=COUNTA(F:F)*2,IF(MOD(ROW(K95),2)=1,INDEX(F:F,(ROW(K95)+1)/2),INDEX(H:H,ROW(K95)/2)),"")</f>
        <v>-64.95</v>
      </c>
      <c r="L95" s="34">
        <f t="array" ref="L95">IF(ROW(L95)&lt;=COUNTA(G:G)*2,IF(MOD(ROW(L95),2)=1,INDEX(G:G,(ROW(L95)+1)/2),INDEX(I:I,ROW(L95)/2)),"")</f>
        <v>112</v>
      </c>
      <c r="N95" s="21">
        <f t="shared" si="20"/>
        <v>-160.95</v>
      </c>
      <c r="O95" s="21">
        <f t="shared" si="21"/>
        <v>121.6</v>
      </c>
      <c r="P95" s="21">
        <f t="shared" si="13"/>
        <v>-163.95</v>
      </c>
      <c r="Q95" s="21">
        <f t="shared" si="22"/>
        <v>121.6</v>
      </c>
      <c r="R95" s="21"/>
      <c r="S95" s="21">
        <f t="array" ref="S95">IF(ROW(S95)&lt;=COUNTA(N:N)*2,IF(MOD(ROW(S95),2)=1,INDEX(N:N,(ROW(S95)+1)/2),INDEX(P:P,ROW(S95)/2)),"")</f>
        <v>-64.95</v>
      </c>
      <c r="T95" s="21">
        <f t="array" ref="T95">IF(ROW(T95)&lt;=COUNTA(O:O)*2,IF(MOD(ROW(T95),2)=1,INDEX(O:O,(ROW(T95)+1)/2),INDEX(Q:Q,ROW(T95)/2)),"")</f>
        <v>117.3</v>
      </c>
      <c r="V95" s="22">
        <f t="shared" si="23"/>
        <v>-160.95</v>
      </c>
      <c r="W95" s="22">
        <f t="shared" si="14"/>
        <v>125.19975</v>
      </c>
      <c r="X95" s="22">
        <f t="shared" si="15"/>
        <v>-163.95</v>
      </c>
      <c r="Y95" s="22">
        <f t="shared" si="16"/>
        <v>125.19975</v>
      </c>
      <c r="Z95" s="22"/>
      <c r="AA95" s="22">
        <f t="array" ref="AA95">IF(ROW(AA95)&lt;=COUNTA(V:V)*2,IF(MOD(ROW(AA95),2)=1,INDEX(V:V,(ROW(AA95)+1)/2),INDEX(X:X,ROW(AA95)/2)),"")</f>
        <v>-64.95</v>
      </c>
      <c r="AB95" s="22">
        <f t="array" ref="AB95">IF(ROW(AB95)&lt;=COUNTA(W:W)*2,IF(MOD(ROW(AB95),2)=1,INDEX(W:W,(ROW(AB95)+1)/2),INDEX(Y:Y,ROW(AB95)/2)),"")</f>
        <v>125.08275</v>
      </c>
    </row>
    <row r="96" spans="1:28" s="2" customFormat="1" x14ac:dyDescent="0.25">
      <c r="A96" s="19"/>
      <c r="B96" s="20"/>
      <c r="C96" s="21"/>
      <c r="D96" s="22"/>
      <c r="F96" s="34">
        <f t="shared" si="17"/>
        <v>-163.95</v>
      </c>
      <c r="G96" s="34">
        <f t="shared" si="18"/>
        <v>112.2</v>
      </c>
      <c r="H96" s="34">
        <f t="shared" si="12"/>
        <v>-166.95</v>
      </c>
      <c r="I96" s="34">
        <f t="shared" si="19"/>
        <v>112.2</v>
      </c>
      <c r="J96" s="20"/>
      <c r="K96" s="34">
        <f t="array" ref="K96">IF(ROW(K96)&lt;=COUNTA(F:F)*2,IF(MOD(ROW(K96),2)=1,INDEX(F:F,(ROW(K96)+1)/2),INDEX(H:H,ROW(K96)/2)),"")</f>
        <v>-66.45</v>
      </c>
      <c r="L96" s="34">
        <f t="array" ref="L96">IF(ROW(L96)&lt;=COUNTA(G:G)*2,IF(MOD(ROW(L96),2)=1,INDEX(G:G,(ROW(L96)+1)/2),INDEX(I:I,ROW(L96)/2)),"")</f>
        <v>112</v>
      </c>
      <c r="N96" s="21">
        <f t="shared" si="20"/>
        <v>-163.95</v>
      </c>
      <c r="O96" s="21">
        <f t="shared" si="21"/>
        <v>121.6</v>
      </c>
      <c r="P96" s="21">
        <f t="shared" si="13"/>
        <v>-166.95</v>
      </c>
      <c r="Q96" s="21">
        <f t="shared" si="22"/>
        <v>121.6</v>
      </c>
      <c r="R96" s="21"/>
      <c r="S96" s="21">
        <f t="array" ref="S96">IF(ROW(S96)&lt;=COUNTA(N:N)*2,IF(MOD(ROW(S96),2)=1,INDEX(N:N,(ROW(S96)+1)/2),INDEX(P:P,ROW(S96)/2)),"")</f>
        <v>-66.45</v>
      </c>
      <c r="T96" s="21">
        <f t="array" ref="T96">IF(ROW(T96)&lt;=COUNTA(O:O)*2,IF(MOD(ROW(T96),2)=1,INDEX(O:O,(ROW(T96)+1)/2),INDEX(Q:Q,ROW(T96)/2)),"")</f>
        <v>117.3</v>
      </c>
      <c r="V96" s="22">
        <f t="shared" si="23"/>
        <v>-163.95</v>
      </c>
      <c r="W96" s="22">
        <f t="shared" si="14"/>
        <v>125.130175</v>
      </c>
      <c r="X96" s="22">
        <f t="shared" si="15"/>
        <v>-166.95</v>
      </c>
      <c r="Y96" s="22">
        <f t="shared" si="16"/>
        <v>125.130175</v>
      </c>
      <c r="Z96" s="22"/>
      <c r="AA96" s="22">
        <f t="array" ref="AA96">IF(ROW(AA96)&lt;=COUNTA(V:V)*2,IF(MOD(ROW(AA96),2)=1,INDEX(V:V,(ROW(AA96)+1)/2),INDEX(X:X,ROW(AA96)/2)),"")</f>
        <v>-66.45</v>
      </c>
      <c r="AB96" s="22">
        <f t="array" ref="AB96">IF(ROW(AB96)&lt;=COUNTA(W:W)*2,IF(MOD(ROW(AB96),2)=1,INDEX(W:W,(ROW(AB96)+1)/2),INDEX(Y:Y,ROW(AB96)/2)),"")</f>
        <v>125.08275</v>
      </c>
    </row>
    <row r="97" spans="1:28" s="2" customFormat="1" x14ac:dyDescent="0.25">
      <c r="A97" s="19"/>
      <c r="B97" s="20"/>
      <c r="C97" s="21"/>
      <c r="D97" s="22"/>
      <c r="F97" s="34">
        <f t="shared" si="17"/>
        <v>-166.95</v>
      </c>
      <c r="G97" s="34">
        <f t="shared" si="18"/>
        <v>112.4</v>
      </c>
      <c r="H97" s="34">
        <f t="shared" si="12"/>
        <v>-169.95</v>
      </c>
      <c r="I97" s="34">
        <f t="shared" si="19"/>
        <v>112.4</v>
      </c>
      <c r="J97" s="20"/>
      <c r="K97" s="34">
        <f t="array" ref="K97">IF(ROW(K97)&lt;=COUNTA(F:F)*2,IF(MOD(ROW(K97),2)=1,INDEX(F:F,(ROW(K97)+1)/2),INDEX(H:H,ROW(K97)/2)),"")</f>
        <v>-66.45</v>
      </c>
      <c r="L97" s="34">
        <f t="array" ref="L97">IF(ROW(L97)&lt;=COUNTA(G:G)*2,IF(MOD(ROW(L97),2)=1,INDEX(G:G,(ROW(L97)+1)/2),INDEX(I:I,ROW(L97)/2)),"")</f>
        <v>111.5</v>
      </c>
      <c r="N97" s="21">
        <f t="shared" si="20"/>
        <v>-166.95</v>
      </c>
      <c r="O97" s="21">
        <f t="shared" si="21"/>
        <v>122</v>
      </c>
      <c r="P97" s="21">
        <f t="shared" si="13"/>
        <v>-169.95</v>
      </c>
      <c r="Q97" s="21">
        <f t="shared" si="22"/>
        <v>122</v>
      </c>
      <c r="R97" s="21"/>
      <c r="S97" s="21">
        <f t="array" ref="S97">IF(ROW(S97)&lt;=COUNTA(N:N)*2,IF(MOD(ROW(S97),2)=1,INDEX(N:N,(ROW(S97)+1)/2),INDEX(P:P,ROW(S97)/2)),"")</f>
        <v>-66.45</v>
      </c>
      <c r="T97" s="21">
        <f t="array" ref="T97">IF(ROW(T97)&lt;=COUNTA(O:O)*2,IF(MOD(ROW(T97),2)=1,INDEX(O:O,(ROW(T97)+1)/2),INDEX(Q:Q,ROW(T97)/2)),"")</f>
        <v>118.8</v>
      </c>
      <c r="V97" s="22">
        <f t="shared" si="23"/>
        <v>-166.95</v>
      </c>
      <c r="W97" s="22">
        <f t="shared" si="14"/>
        <v>125.130175</v>
      </c>
      <c r="X97" s="22">
        <f t="shared" si="15"/>
        <v>-169.95</v>
      </c>
      <c r="Y97" s="22">
        <f t="shared" si="16"/>
        <v>125.130175</v>
      </c>
      <c r="Z97" s="22"/>
      <c r="AA97" s="22">
        <f t="array" ref="AA97">IF(ROW(AA97)&lt;=COUNTA(V:V)*2,IF(MOD(ROW(AA97),2)=1,INDEX(V:V,(ROW(AA97)+1)/2),INDEX(X:X,ROW(AA97)/2)),"")</f>
        <v>-66.45</v>
      </c>
      <c r="AB97" s="22">
        <f t="array" ref="AB97">IF(ROW(AB97)&lt;=COUNTA(W:W)*2,IF(MOD(ROW(AB97),2)=1,INDEX(W:W,(ROW(AB97)+1)/2),INDEX(Y:Y,ROW(AB97)/2)),"")</f>
        <v>125.089525</v>
      </c>
    </row>
    <row r="98" spans="1:28" s="2" customFormat="1" x14ac:dyDescent="0.25">
      <c r="A98" s="19"/>
      <c r="B98" s="20"/>
      <c r="C98" s="21"/>
      <c r="D98" s="22"/>
      <c r="F98" s="34">
        <f t="shared" si="17"/>
        <v>-169.95</v>
      </c>
      <c r="G98" s="34">
        <f t="shared" si="18"/>
        <v>112.5</v>
      </c>
      <c r="H98" s="34">
        <f t="shared" si="12"/>
        <v>-172.95</v>
      </c>
      <c r="I98" s="34">
        <f t="shared" si="19"/>
        <v>112.5</v>
      </c>
      <c r="J98" s="20"/>
      <c r="K98" s="34">
        <f t="array" ref="K98">IF(ROW(K98)&lt;=COUNTA(F:F)*2,IF(MOD(ROW(K98),2)=1,INDEX(F:F,(ROW(K98)+1)/2),INDEX(H:H,ROW(K98)/2)),"")</f>
        <v>-67.95</v>
      </c>
      <c r="L98" s="34">
        <f t="array" ref="L98">IF(ROW(L98)&lt;=COUNTA(G:G)*2,IF(MOD(ROW(L98),2)=1,INDEX(G:G,(ROW(L98)+1)/2),INDEX(I:I,ROW(L98)/2)),"")</f>
        <v>111.5</v>
      </c>
      <c r="N98" s="21">
        <f t="shared" si="20"/>
        <v>-169.95</v>
      </c>
      <c r="O98" s="21">
        <f t="shared" si="21"/>
        <v>122</v>
      </c>
      <c r="P98" s="21">
        <f t="shared" si="13"/>
        <v>-172.95</v>
      </c>
      <c r="Q98" s="21">
        <f t="shared" si="22"/>
        <v>122</v>
      </c>
      <c r="R98" s="21"/>
      <c r="S98" s="21">
        <f t="array" ref="S98">IF(ROW(S98)&lt;=COUNTA(N:N)*2,IF(MOD(ROW(S98),2)=1,INDEX(N:N,(ROW(S98)+1)/2),INDEX(P:P,ROW(S98)/2)),"")</f>
        <v>-67.95</v>
      </c>
      <c r="T98" s="21">
        <f t="array" ref="T98">IF(ROW(T98)&lt;=COUNTA(O:O)*2,IF(MOD(ROW(T98),2)=1,INDEX(O:O,(ROW(T98)+1)/2),INDEX(Q:Q,ROW(T98)/2)),"")</f>
        <v>118.8</v>
      </c>
      <c r="V98" s="22">
        <f t="shared" si="23"/>
        <v>-169.95</v>
      </c>
      <c r="W98" s="22">
        <f t="shared" si="14"/>
        <v>125.10325</v>
      </c>
      <c r="X98" s="22">
        <f t="shared" si="15"/>
        <v>-172.95</v>
      </c>
      <c r="Y98" s="22">
        <f t="shared" si="16"/>
        <v>125.10325</v>
      </c>
      <c r="Z98" s="22"/>
      <c r="AA98" s="22">
        <f t="array" ref="AA98">IF(ROW(AA98)&lt;=COUNTA(V:V)*2,IF(MOD(ROW(AA98),2)=1,INDEX(V:V,(ROW(AA98)+1)/2),INDEX(X:X,ROW(AA98)/2)),"")</f>
        <v>-67.95</v>
      </c>
      <c r="AB98" s="22">
        <f t="array" ref="AB98">IF(ROW(AB98)&lt;=COUNTA(W:W)*2,IF(MOD(ROW(AB98),2)=1,INDEX(W:W,(ROW(AB98)+1)/2),INDEX(Y:Y,ROW(AB98)/2)),"")</f>
        <v>125.089525</v>
      </c>
    </row>
    <row r="99" spans="1:28" s="2" customFormat="1" x14ac:dyDescent="0.25">
      <c r="A99" s="19"/>
      <c r="B99" s="20"/>
      <c r="C99" s="21"/>
      <c r="D99" s="22"/>
      <c r="F99" s="34">
        <f t="shared" si="17"/>
        <v>-172.95</v>
      </c>
      <c r="G99" s="34">
        <f t="shared" si="18"/>
        <v>112.5</v>
      </c>
      <c r="H99" s="34">
        <f t="shared" si="12"/>
        <v>-175.95</v>
      </c>
      <c r="I99" s="34">
        <f t="shared" si="19"/>
        <v>112.5</v>
      </c>
      <c r="J99" s="20"/>
      <c r="K99" s="34">
        <f t="array" ref="K99">IF(ROW(K99)&lt;=COUNTA(F:F)*2,IF(MOD(ROW(K99),2)=1,INDEX(F:F,(ROW(K99)+1)/2),INDEX(H:H,ROW(K99)/2)),"")</f>
        <v>-67.95</v>
      </c>
      <c r="L99" s="34">
        <f t="array" ref="L99">IF(ROW(L99)&lt;=COUNTA(G:G)*2,IF(MOD(ROW(L99),2)=1,INDEX(G:G,(ROW(L99)+1)/2),INDEX(I:I,ROW(L99)/2)),"")</f>
        <v>112.5</v>
      </c>
      <c r="N99" s="21">
        <f t="shared" si="20"/>
        <v>-172.95</v>
      </c>
      <c r="O99" s="21">
        <f t="shared" si="21"/>
        <v>120.5</v>
      </c>
      <c r="P99" s="21">
        <f t="shared" si="13"/>
        <v>-175.95</v>
      </c>
      <c r="Q99" s="21">
        <f t="shared" si="22"/>
        <v>120.5</v>
      </c>
      <c r="R99" s="21"/>
      <c r="S99" s="21">
        <f t="array" ref="S99">IF(ROW(S99)&lt;=COUNTA(N:N)*2,IF(MOD(ROW(S99),2)=1,INDEX(N:N,(ROW(S99)+1)/2),INDEX(P:P,ROW(S99)/2)),"")</f>
        <v>-67.95</v>
      </c>
      <c r="T99" s="21">
        <f t="array" ref="T99">IF(ROW(T99)&lt;=COUNTA(O:O)*2,IF(MOD(ROW(T99),2)=1,INDEX(O:O,(ROW(T99)+1)/2),INDEX(Q:Q,ROW(T99)/2)),"")</f>
        <v>119.4</v>
      </c>
      <c r="V99" s="22">
        <f t="shared" si="23"/>
        <v>-172.95</v>
      </c>
      <c r="W99" s="22">
        <f t="shared" si="14"/>
        <v>125.225825</v>
      </c>
      <c r="X99" s="22">
        <f t="shared" si="15"/>
        <v>-175.95</v>
      </c>
      <c r="Y99" s="22">
        <f t="shared" si="16"/>
        <v>125.225825</v>
      </c>
      <c r="Z99" s="22"/>
      <c r="AA99" s="22">
        <f t="array" ref="AA99">IF(ROW(AA99)&lt;=COUNTA(V:V)*2,IF(MOD(ROW(AA99),2)=1,INDEX(V:V,(ROW(AA99)+1)/2),INDEX(X:X,ROW(AA99)/2)),"")</f>
        <v>-67.95</v>
      </c>
      <c r="AB99" s="22">
        <f t="array" ref="AB99">IF(ROW(AB99)&lt;=COUNTA(W:W)*2,IF(MOD(ROW(AB99),2)=1,INDEX(W:W,(ROW(AB99)+1)/2),INDEX(Y:Y,ROW(AB99)/2)),"")</f>
        <v>125.1033</v>
      </c>
    </row>
    <row r="100" spans="1:28" s="2" customFormat="1" x14ac:dyDescent="0.25">
      <c r="A100" s="19"/>
      <c r="B100" s="20"/>
      <c r="C100" s="21"/>
      <c r="D100" s="22"/>
      <c r="F100" s="34">
        <f t="shared" si="17"/>
        <v>-175.95</v>
      </c>
      <c r="G100" s="34">
        <f t="shared" si="18"/>
        <v>112.3</v>
      </c>
      <c r="H100" s="34">
        <f t="shared" si="12"/>
        <v>-178.95</v>
      </c>
      <c r="I100" s="34">
        <f t="shared" si="19"/>
        <v>112.3</v>
      </c>
      <c r="J100" s="20"/>
      <c r="K100" s="34">
        <f t="array" ref="K100">IF(ROW(K100)&lt;=COUNTA(F:F)*2,IF(MOD(ROW(K100),2)=1,INDEX(F:F,(ROW(K100)+1)/2),INDEX(H:H,ROW(K100)/2)),"")</f>
        <v>-69.45</v>
      </c>
      <c r="L100" s="34">
        <f t="array" ref="L100">IF(ROW(L100)&lt;=COUNTA(G:G)*2,IF(MOD(ROW(L100),2)=1,INDEX(G:G,(ROW(L100)+1)/2),INDEX(I:I,ROW(L100)/2)),"")</f>
        <v>112.5</v>
      </c>
      <c r="N100" s="21">
        <f t="shared" si="20"/>
        <v>-175.95</v>
      </c>
      <c r="O100" s="21">
        <f t="shared" si="21"/>
        <v>119.9</v>
      </c>
      <c r="P100" s="21">
        <f t="shared" si="13"/>
        <v>-178.95</v>
      </c>
      <c r="Q100" s="21">
        <f t="shared" si="22"/>
        <v>119.9</v>
      </c>
      <c r="R100" s="21"/>
      <c r="S100" s="21">
        <f t="array" ref="S100">IF(ROW(S100)&lt;=COUNTA(N:N)*2,IF(MOD(ROW(S100),2)=1,INDEX(N:N,(ROW(S100)+1)/2),INDEX(P:P,ROW(S100)/2)),"")</f>
        <v>-69.45</v>
      </c>
      <c r="T100" s="21">
        <f t="array" ref="T100">IF(ROW(T100)&lt;=COUNTA(O:O)*2,IF(MOD(ROW(T100),2)=1,INDEX(O:O,(ROW(T100)+1)/2),INDEX(Q:Q,ROW(T100)/2)),"")</f>
        <v>119.4</v>
      </c>
      <c r="V100" s="22">
        <f t="shared" si="23"/>
        <v>-175.95</v>
      </c>
      <c r="W100" s="22">
        <f t="shared" si="14"/>
        <v>125.149475</v>
      </c>
      <c r="X100" s="22">
        <f t="shared" si="15"/>
        <v>-178.95</v>
      </c>
      <c r="Y100" s="22">
        <f t="shared" si="16"/>
        <v>125.149475</v>
      </c>
      <c r="Z100" s="22"/>
      <c r="AA100" s="22">
        <f t="array" ref="AA100">IF(ROW(AA100)&lt;=COUNTA(V:V)*2,IF(MOD(ROW(AA100),2)=1,INDEX(V:V,(ROW(AA100)+1)/2),INDEX(X:X,ROW(AA100)/2)),"")</f>
        <v>-69.45</v>
      </c>
      <c r="AB100" s="22">
        <f t="array" ref="AB100">IF(ROW(AB100)&lt;=COUNTA(W:W)*2,IF(MOD(ROW(AB100),2)=1,INDEX(W:W,(ROW(AB100)+1)/2),INDEX(Y:Y,ROW(AB100)/2)),"")</f>
        <v>125.1033</v>
      </c>
    </row>
    <row r="101" spans="1:28" s="2" customFormat="1" x14ac:dyDescent="0.25">
      <c r="A101" s="19"/>
      <c r="B101" s="20"/>
      <c r="C101" s="21"/>
      <c r="D101" s="22"/>
      <c r="F101" s="34">
        <f t="shared" si="17"/>
        <v>-178.95</v>
      </c>
      <c r="G101" s="34">
        <f t="shared" si="18"/>
        <v>112.5</v>
      </c>
      <c r="H101" s="34">
        <f t="shared" si="12"/>
        <v>-181.95</v>
      </c>
      <c r="I101" s="34">
        <f t="shared" si="19"/>
        <v>112.5</v>
      </c>
      <c r="J101" s="20"/>
      <c r="K101" s="34">
        <f t="array" ref="K101">IF(ROW(K101)&lt;=COUNTA(F:F)*2,IF(MOD(ROW(K101),2)=1,INDEX(F:F,(ROW(K101)+1)/2),INDEX(H:H,ROW(K101)/2)),"")</f>
        <v>-69.45</v>
      </c>
      <c r="L101" s="34">
        <f t="array" ref="L101">IF(ROW(L101)&lt;=COUNTA(G:G)*2,IF(MOD(ROW(L101),2)=1,INDEX(G:G,(ROW(L101)+1)/2),INDEX(I:I,ROW(L101)/2)),"")</f>
        <v>111.2</v>
      </c>
      <c r="N101" s="21">
        <f t="shared" si="20"/>
        <v>-178.95</v>
      </c>
      <c r="O101" s="21">
        <f t="shared" si="21"/>
        <v>121.4</v>
      </c>
      <c r="P101" s="21">
        <f t="shared" si="13"/>
        <v>-181.95</v>
      </c>
      <c r="Q101" s="21">
        <f t="shared" si="22"/>
        <v>121.4</v>
      </c>
      <c r="R101" s="21"/>
      <c r="S101" s="21">
        <f t="array" ref="S101">IF(ROW(S101)&lt;=COUNTA(N:N)*2,IF(MOD(ROW(S101),2)=1,INDEX(N:N,(ROW(S101)+1)/2),INDEX(P:P,ROW(S101)/2)),"")</f>
        <v>-69.45</v>
      </c>
      <c r="T101" s="21">
        <f t="array" ref="T101">IF(ROW(T101)&lt;=COUNTA(O:O)*2,IF(MOD(ROW(T101),2)=1,INDEX(O:O,(ROW(T101)+1)/2),INDEX(Q:Q,ROW(T101)/2)),"")</f>
        <v>120.8</v>
      </c>
      <c r="V101" s="22">
        <f t="shared" si="23"/>
        <v>-178.95</v>
      </c>
      <c r="W101" s="22">
        <f t="shared" si="14"/>
        <v>125.149475</v>
      </c>
      <c r="X101" s="22">
        <f t="shared" si="15"/>
        <v>-181.95</v>
      </c>
      <c r="Y101" s="22">
        <f t="shared" si="16"/>
        <v>125.149475</v>
      </c>
      <c r="Z101" s="22"/>
      <c r="AA101" s="22">
        <f t="array" ref="AA101">IF(ROW(AA101)&lt;=COUNTA(V:V)*2,IF(MOD(ROW(AA101),2)=1,INDEX(V:V,(ROW(AA101)+1)/2),INDEX(X:X,ROW(AA101)/2)),"")</f>
        <v>-69.45</v>
      </c>
      <c r="AB101" s="22">
        <f t="array" ref="AB101">IF(ROW(AB101)&lt;=COUNTA(W:W)*2,IF(MOD(ROW(AB101),2)=1,INDEX(W:W,(ROW(AB101)+1)/2),INDEX(Y:Y,ROW(AB101)/2)),"")</f>
        <v>125.089525</v>
      </c>
    </row>
    <row r="102" spans="1:28" s="2" customFormat="1" x14ac:dyDescent="0.25">
      <c r="A102" s="19"/>
      <c r="B102" s="20"/>
      <c r="C102" s="21"/>
      <c r="D102" s="22"/>
      <c r="F102" s="34">
        <f t="shared" si="17"/>
        <v>-181.95</v>
      </c>
      <c r="G102" s="34">
        <f t="shared" si="18"/>
        <v>112.4</v>
      </c>
      <c r="H102" s="34">
        <f t="shared" si="12"/>
        <v>-184.95</v>
      </c>
      <c r="I102" s="34">
        <f t="shared" si="19"/>
        <v>112.4</v>
      </c>
      <c r="J102" s="20"/>
      <c r="K102" s="34">
        <f t="array" ref="K102">IF(ROW(K102)&lt;=COUNTA(F:F)*2,IF(MOD(ROW(K102),2)=1,INDEX(F:F,(ROW(K102)+1)/2),INDEX(H:H,ROW(K102)/2)),"")</f>
        <v>-70.95</v>
      </c>
      <c r="L102" s="34">
        <f t="array" ref="L102">IF(ROW(L102)&lt;=COUNTA(G:G)*2,IF(MOD(ROW(L102),2)=1,INDEX(G:G,(ROW(L102)+1)/2),INDEX(I:I,ROW(L102)/2)),"")</f>
        <v>111.2</v>
      </c>
      <c r="N102" s="21">
        <f t="shared" si="20"/>
        <v>-181.95</v>
      </c>
      <c r="O102" s="21">
        <f t="shared" si="21"/>
        <v>121.4</v>
      </c>
      <c r="P102" s="21">
        <f t="shared" si="13"/>
        <v>-184.95</v>
      </c>
      <c r="Q102" s="21">
        <f t="shared" si="22"/>
        <v>121.4</v>
      </c>
      <c r="R102" s="21"/>
      <c r="S102" s="21">
        <f t="array" ref="S102">IF(ROW(S102)&lt;=COUNTA(N:N)*2,IF(MOD(ROW(S102),2)=1,INDEX(N:N,(ROW(S102)+1)/2),INDEX(P:P,ROW(S102)/2)),"")</f>
        <v>-70.95</v>
      </c>
      <c r="T102" s="21">
        <f t="array" ref="T102">IF(ROW(T102)&lt;=COUNTA(O:O)*2,IF(MOD(ROW(T102),2)=1,INDEX(O:O,(ROW(T102)+1)/2),INDEX(Q:Q,ROW(T102)/2)),"")</f>
        <v>120.8</v>
      </c>
      <c r="V102" s="22">
        <f t="shared" si="23"/>
        <v>-181.95</v>
      </c>
      <c r="W102" s="22">
        <f t="shared" si="14"/>
        <v>125.134025</v>
      </c>
      <c r="X102" s="22">
        <f t="shared" si="15"/>
        <v>-184.95</v>
      </c>
      <c r="Y102" s="22">
        <f t="shared" si="16"/>
        <v>125.134025</v>
      </c>
      <c r="Z102" s="22"/>
      <c r="AA102" s="22">
        <f t="array" ref="AA102">IF(ROW(AA102)&lt;=COUNTA(V:V)*2,IF(MOD(ROW(AA102),2)=1,INDEX(V:V,(ROW(AA102)+1)/2),INDEX(X:X,ROW(AA102)/2)),"")</f>
        <v>-70.95</v>
      </c>
      <c r="AB102" s="22">
        <f t="array" ref="AB102">IF(ROW(AB102)&lt;=COUNTA(W:W)*2,IF(MOD(ROW(AB102),2)=1,INDEX(W:W,(ROW(AB102)+1)/2),INDEX(Y:Y,ROW(AB102)/2)),"")</f>
        <v>125.089525</v>
      </c>
    </row>
    <row r="103" spans="1:28" s="2" customFormat="1" x14ac:dyDescent="0.25">
      <c r="A103" s="19"/>
      <c r="B103" s="20"/>
      <c r="C103" s="21"/>
      <c r="D103" s="22"/>
      <c r="F103" s="34">
        <f t="shared" si="17"/>
        <v>-184.95</v>
      </c>
      <c r="G103" s="34">
        <f t="shared" si="18"/>
        <v>112.4</v>
      </c>
      <c r="H103" s="34">
        <f t="shared" si="12"/>
        <v>-187.95</v>
      </c>
      <c r="I103" s="34">
        <f t="shared" si="19"/>
        <v>112.4</v>
      </c>
      <c r="J103" s="20"/>
      <c r="K103" s="34">
        <f t="array" ref="K103">IF(ROW(K103)&lt;=COUNTA(F:F)*2,IF(MOD(ROW(K103),2)=1,INDEX(F:F,(ROW(K103)+1)/2),INDEX(H:H,ROW(K103)/2)),"")</f>
        <v>-70.95</v>
      </c>
      <c r="L103" s="34">
        <f t="array" ref="L103">IF(ROW(L103)&lt;=COUNTA(G:G)*2,IF(MOD(ROW(L103),2)=1,INDEX(G:G,(ROW(L103)+1)/2),INDEX(I:I,ROW(L103)/2)),"")</f>
        <v>112.5</v>
      </c>
      <c r="N103" s="21">
        <f t="shared" si="20"/>
        <v>-184.95</v>
      </c>
      <c r="O103" s="21">
        <f t="shared" si="21"/>
        <v>120.5</v>
      </c>
      <c r="P103" s="21">
        <f t="shared" si="13"/>
        <v>-187.95</v>
      </c>
      <c r="Q103" s="21">
        <f t="shared" si="22"/>
        <v>120.5</v>
      </c>
      <c r="R103" s="21"/>
      <c r="S103" s="21">
        <f t="array" ref="S103">IF(ROW(S103)&lt;=COUNTA(N:N)*2,IF(MOD(ROW(S103),2)=1,INDEX(N:N,(ROW(S103)+1)/2),INDEX(P:P,ROW(S103)/2)),"")</f>
        <v>-70.95</v>
      </c>
      <c r="T103" s="21">
        <f t="array" ref="T103">IF(ROW(T103)&lt;=COUNTA(O:O)*2,IF(MOD(ROW(T103),2)=1,INDEX(O:O,(ROW(T103)+1)/2),INDEX(Q:Q,ROW(T103)/2)),"")</f>
        <v>120.1</v>
      </c>
      <c r="V103" s="22">
        <f t="shared" si="23"/>
        <v>-184.95</v>
      </c>
      <c r="W103" s="22">
        <f t="shared" si="14"/>
        <v>125.149475</v>
      </c>
      <c r="X103" s="22">
        <f t="shared" si="15"/>
        <v>-187.95</v>
      </c>
      <c r="Y103" s="22">
        <f t="shared" si="16"/>
        <v>125.149475</v>
      </c>
      <c r="Z103" s="22"/>
      <c r="AA103" s="22">
        <f t="array" ref="AA103">IF(ROW(AA103)&lt;=COUNTA(V:V)*2,IF(MOD(ROW(AA103),2)=1,INDEX(V:V,(ROW(AA103)+1)/2),INDEX(X:X,ROW(AA103)/2)),"")</f>
        <v>-70.95</v>
      </c>
      <c r="AB103" s="22">
        <f t="array" ref="AB103">IF(ROW(AB103)&lt;=COUNTA(W:W)*2,IF(MOD(ROW(AB103),2)=1,INDEX(W:W,(ROW(AB103)+1)/2),INDEX(Y:Y,ROW(AB103)/2)),"")</f>
        <v>125.089525</v>
      </c>
    </row>
    <row r="104" spans="1:28" s="2" customFormat="1" x14ac:dyDescent="0.25">
      <c r="A104" s="19"/>
      <c r="B104" s="20"/>
      <c r="C104" s="21"/>
      <c r="D104" s="22"/>
      <c r="F104" s="34">
        <f t="shared" si="17"/>
        <v>-187.95</v>
      </c>
      <c r="G104" s="34">
        <f t="shared" si="18"/>
        <v>112.5</v>
      </c>
      <c r="H104" s="34">
        <f t="shared" si="12"/>
        <v>-190.95</v>
      </c>
      <c r="I104" s="34">
        <f t="shared" si="19"/>
        <v>112.5</v>
      </c>
      <c r="J104" s="20"/>
      <c r="K104" s="34">
        <f t="array" ref="K104">IF(ROW(K104)&lt;=COUNTA(F:F)*2,IF(MOD(ROW(K104),2)=1,INDEX(F:F,(ROW(K104)+1)/2),INDEX(H:H,ROW(K104)/2)),"")</f>
        <v>-72.45</v>
      </c>
      <c r="L104" s="34">
        <f t="array" ref="L104">IF(ROW(L104)&lt;=COUNTA(G:G)*2,IF(MOD(ROW(L104),2)=1,INDEX(G:G,(ROW(L104)+1)/2),INDEX(I:I,ROW(L104)/2)),"")</f>
        <v>112.5</v>
      </c>
      <c r="N104" s="21">
        <f t="shared" si="20"/>
        <v>-187.95</v>
      </c>
      <c r="O104" s="21">
        <f t="shared" si="21"/>
        <v>120.8</v>
      </c>
      <c r="P104" s="21">
        <f t="shared" si="13"/>
        <v>-190.95</v>
      </c>
      <c r="Q104" s="21">
        <f t="shared" si="22"/>
        <v>120.8</v>
      </c>
      <c r="R104" s="21"/>
      <c r="S104" s="21">
        <f t="array" ref="S104">IF(ROW(S104)&lt;=COUNTA(N:N)*2,IF(MOD(ROW(S104),2)=1,INDEX(N:N,(ROW(S104)+1)/2),INDEX(P:P,ROW(S104)/2)),"")</f>
        <v>-72.45</v>
      </c>
      <c r="T104" s="21">
        <f t="array" ref="T104">IF(ROW(T104)&lt;=COUNTA(O:O)*2,IF(MOD(ROW(T104),2)=1,INDEX(O:O,(ROW(T104)+1)/2),INDEX(Q:Q,ROW(T104)/2)),"")</f>
        <v>120.1</v>
      </c>
      <c r="V104" s="22">
        <f t="shared" si="23"/>
        <v>-187.95</v>
      </c>
      <c r="W104" s="22">
        <f t="shared" si="14"/>
        <v>125.149475</v>
      </c>
      <c r="X104" s="22">
        <f t="shared" si="15"/>
        <v>-190.95</v>
      </c>
      <c r="Y104" s="22">
        <f t="shared" si="16"/>
        <v>125.149475</v>
      </c>
      <c r="Z104" s="22"/>
      <c r="AA104" s="22">
        <f t="array" ref="AA104">IF(ROW(AA104)&lt;=COUNTA(V:V)*2,IF(MOD(ROW(AA104),2)=1,INDEX(V:V,(ROW(AA104)+1)/2),INDEX(X:X,ROW(AA104)/2)),"")</f>
        <v>-72.45</v>
      </c>
      <c r="AB104" s="22">
        <f t="array" ref="AB104">IF(ROW(AB104)&lt;=COUNTA(W:W)*2,IF(MOD(ROW(AB104),2)=1,INDEX(W:W,(ROW(AB104)+1)/2),INDEX(Y:Y,ROW(AB104)/2)),"")</f>
        <v>125.089525</v>
      </c>
    </row>
    <row r="105" spans="1:28" s="2" customFormat="1" x14ac:dyDescent="0.25">
      <c r="A105" s="19"/>
      <c r="B105" s="20"/>
      <c r="C105" s="21"/>
      <c r="D105" s="22"/>
      <c r="F105" s="34">
        <f t="shared" si="17"/>
        <v>-190.95</v>
      </c>
      <c r="G105" s="34">
        <f t="shared" si="18"/>
        <v>112.5</v>
      </c>
      <c r="H105" s="34">
        <f t="shared" si="12"/>
        <v>-193.95</v>
      </c>
      <c r="I105" s="34">
        <f t="shared" si="19"/>
        <v>112.5</v>
      </c>
      <c r="J105" s="20"/>
      <c r="K105" s="34">
        <f t="array" ref="K105">IF(ROW(K105)&lt;=COUNTA(F:F)*2,IF(MOD(ROW(K105),2)=1,INDEX(F:F,(ROW(K105)+1)/2),INDEX(H:H,ROW(K105)/2)),"")</f>
        <v>-72.45</v>
      </c>
      <c r="L105" s="34">
        <f t="array" ref="L105">IF(ROW(L105)&lt;=COUNTA(G:G)*2,IF(MOD(ROW(L105),2)=1,INDEX(G:G,(ROW(L105)+1)/2),INDEX(I:I,ROW(L105)/2)),"")</f>
        <v>112.5</v>
      </c>
      <c r="N105" s="21">
        <f t="shared" si="20"/>
        <v>-190.95</v>
      </c>
      <c r="O105" s="21">
        <f t="shared" si="21"/>
        <v>116.9</v>
      </c>
      <c r="P105" s="21">
        <f t="shared" si="13"/>
        <v>-193.95</v>
      </c>
      <c r="Q105" s="21">
        <f t="shared" si="22"/>
        <v>116.9</v>
      </c>
      <c r="R105" s="21"/>
      <c r="S105" s="21">
        <f t="array" ref="S105">IF(ROW(S105)&lt;=COUNTA(N:N)*2,IF(MOD(ROW(S105),2)=1,INDEX(N:N,(ROW(S105)+1)/2),INDEX(P:P,ROW(S105)/2)),"")</f>
        <v>-72.45</v>
      </c>
      <c r="T105" s="21">
        <f t="array" ref="T105">IF(ROW(T105)&lt;=COUNTA(O:O)*2,IF(MOD(ROW(T105),2)=1,INDEX(O:O,(ROW(T105)+1)/2),INDEX(Q:Q,ROW(T105)/2)),"")</f>
        <v>120</v>
      </c>
      <c r="V105" s="22">
        <f t="shared" si="23"/>
        <v>-190.95</v>
      </c>
      <c r="W105" s="22">
        <f t="shared" si="14"/>
        <v>125.12805</v>
      </c>
      <c r="X105" s="22">
        <f t="shared" si="15"/>
        <v>-193.95</v>
      </c>
      <c r="Y105" s="22">
        <f t="shared" si="16"/>
        <v>125.12805</v>
      </c>
      <c r="Z105" s="22"/>
      <c r="AA105" s="22">
        <f t="array" ref="AA105">IF(ROW(AA105)&lt;=COUNTA(V:V)*2,IF(MOD(ROW(AA105),2)=1,INDEX(V:V,(ROW(AA105)+1)/2),INDEX(X:X,ROW(AA105)/2)),"")</f>
        <v>-72.45</v>
      </c>
      <c r="AB105" s="22">
        <f t="array" ref="AB105">IF(ROW(AB105)&lt;=COUNTA(W:W)*2,IF(MOD(ROW(AB105),2)=1,INDEX(W:W,(ROW(AB105)+1)/2),INDEX(Y:Y,ROW(AB105)/2)),"")</f>
        <v>125.084375</v>
      </c>
    </row>
    <row r="106" spans="1:28" s="2" customFormat="1" x14ac:dyDescent="0.25">
      <c r="A106" s="19"/>
      <c r="B106" s="20"/>
      <c r="C106" s="21"/>
      <c r="D106" s="22"/>
      <c r="F106" s="34">
        <f t="shared" si="17"/>
        <v>-193.95</v>
      </c>
      <c r="G106" s="34">
        <f t="shared" si="18"/>
        <v>112.5</v>
      </c>
      <c r="H106" s="34">
        <f t="shared" si="12"/>
        <v>-196.95</v>
      </c>
      <c r="I106" s="34">
        <f t="shared" si="19"/>
        <v>112.5</v>
      </c>
      <c r="J106" s="20"/>
      <c r="K106" s="34">
        <f t="array" ref="K106">IF(ROW(K106)&lt;=COUNTA(F:F)*2,IF(MOD(ROW(K106),2)=1,INDEX(F:F,(ROW(K106)+1)/2),INDEX(H:H,ROW(K106)/2)),"")</f>
        <v>-73.95</v>
      </c>
      <c r="L106" s="34">
        <f t="array" ref="L106">IF(ROW(L106)&lt;=COUNTA(G:G)*2,IF(MOD(ROW(L106),2)=1,INDEX(G:G,(ROW(L106)+1)/2),INDEX(I:I,ROW(L106)/2)),"")</f>
        <v>112.5</v>
      </c>
      <c r="N106" s="21">
        <f t="shared" si="20"/>
        <v>-193.95</v>
      </c>
      <c r="O106" s="21">
        <f t="shared" si="21"/>
        <v>117.3</v>
      </c>
      <c r="P106" s="21">
        <f t="shared" si="13"/>
        <v>-196.95</v>
      </c>
      <c r="Q106" s="21">
        <f t="shared" si="22"/>
        <v>117.3</v>
      </c>
      <c r="R106" s="21"/>
      <c r="S106" s="21">
        <f t="array" ref="S106">IF(ROW(S106)&lt;=COUNTA(N:N)*2,IF(MOD(ROW(S106),2)=1,INDEX(N:N,(ROW(S106)+1)/2),INDEX(P:P,ROW(S106)/2)),"")</f>
        <v>-73.95</v>
      </c>
      <c r="T106" s="21">
        <f t="array" ref="T106">IF(ROW(T106)&lt;=COUNTA(O:O)*2,IF(MOD(ROW(T106),2)=1,INDEX(O:O,(ROW(T106)+1)/2),INDEX(Q:Q,ROW(T106)/2)),"")</f>
        <v>120</v>
      </c>
      <c r="V106" s="22">
        <f t="shared" si="23"/>
        <v>-193.95</v>
      </c>
      <c r="W106" s="22">
        <f t="shared" si="14"/>
        <v>125.02675</v>
      </c>
      <c r="X106" s="22">
        <f t="shared" si="15"/>
        <v>-196.95</v>
      </c>
      <c r="Y106" s="22">
        <f t="shared" si="16"/>
        <v>125.02675</v>
      </c>
      <c r="Z106" s="22"/>
      <c r="AA106" s="22">
        <f t="array" ref="AA106">IF(ROW(AA106)&lt;=COUNTA(V:V)*2,IF(MOD(ROW(AA106),2)=1,INDEX(V:V,(ROW(AA106)+1)/2),INDEX(X:X,ROW(AA106)/2)),"")</f>
        <v>-73.95</v>
      </c>
      <c r="AB106" s="22">
        <f t="array" ref="AB106">IF(ROW(AB106)&lt;=COUNTA(W:W)*2,IF(MOD(ROW(AB106),2)=1,INDEX(W:W,(ROW(AB106)+1)/2),INDEX(Y:Y,ROW(AB106)/2)),"")</f>
        <v>125.084375</v>
      </c>
    </row>
    <row r="107" spans="1:28" s="2" customFormat="1" x14ac:dyDescent="0.25">
      <c r="A107" s="19"/>
      <c r="B107" s="20"/>
      <c r="C107" s="21"/>
      <c r="D107" s="22"/>
      <c r="F107" s="34">
        <f t="shared" si="17"/>
        <v>-196.95</v>
      </c>
      <c r="G107" s="34">
        <f t="shared" si="18"/>
        <v>112.5</v>
      </c>
      <c r="H107" s="34">
        <f t="shared" si="12"/>
        <v>-199.95</v>
      </c>
      <c r="I107" s="34">
        <f t="shared" si="19"/>
        <v>112.5</v>
      </c>
      <c r="J107" s="20"/>
      <c r="K107" s="34">
        <f t="array" ref="K107">IF(ROW(K107)&lt;=COUNTA(F:F)*2,IF(MOD(ROW(K107),2)=1,INDEX(F:F,(ROW(K107)+1)/2),INDEX(H:H,ROW(K107)/2)),"")</f>
        <v>-73.95</v>
      </c>
      <c r="L107" s="34">
        <f t="array" ref="L107">IF(ROW(L107)&lt;=COUNTA(G:G)*2,IF(MOD(ROW(L107),2)=1,INDEX(G:G,(ROW(L107)+1)/2),INDEX(I:I,ROW(L107)/2)),"")</f>
        <v>112.5</v>
      </c>
      <c r="N107" s="21">
        <f t="shared" si="20"/>
        <v>-196.95</v>
      </c>
      <c r="O107" s="21">
        <f t="shared" si="21"/>
        <v>117.2</v>
      </c>
      <c r="P107" s="21">
        <f t="shared" si="13"/>
        <v>-199.95</v>
      </c>
      <c r="Q107" s="21">
        <f t="shared" si="22"/>
        <v>117.2</v>
      </c>
      <c r="R107" s="21"/>
      <c r="S107" s="21">
        <f t="array" ref="S107">IF(ROW(S107)&lt;=COUNTA(N:N)*2,IF(MOD(ROW(S107),2)=1,INDEX(N:N,(ROW(S107)+1)/2),INDEX(P:P,ROW(S107)/2)),"")</f>
        <v>-73.95</v>
      </c>
      <c r="T107" s="21">
        <f t="array" ref="T107">IF(ROW(T107)&lt;=COUNTA(O:O)*2,IF(MOD(ROW(T107),2)=1,INDEX(O:O,(ROW(T107)+1)/2),INDEX(Q:Q,ROW(T107)/2)),"")</f>
        <v>117.8</v>
      </c>
      <c r="V107" s="22">
        <f t="shared" si="23"/>
        <v>-196.95</v>
      </c>
      <c r="W107" s="22">
        <f t="shared" si="14"/>
        <v>125.12805</v>
      </c>
      <c r="X107" s="22">
        <f t="shared" si="15"/>
        <v>-199.95</v>
      </c>
      <c r="Y107" s="22">
        <f t="shared" si="16"/>
        <v>125.12805</v>
      </c>
      <c r="Z107" s="22"/>
      <c r="AA107" s="22">
        <f t="array" ref="AA107">IF(ROW(AA107)&lt;=COUNTA(V:V)*2,IF(MOD(ROW(AA107),2)=1,INDEX(V:V,(ROW(AA107)+1)/2),INDEX(X:X,ROW(AA107)/2)),"")</f>
        <v>-73.95</v>
      </c>
      <c r="AB107" s="22">
        <f t="array" ref="AB107">IF(ROW(AB107)&lt;=COUNTA(W:W)*2,IF(MOD(ROW(AB107),2)=1,INDEX(W:W,(ROW(AB107)+1)/2),INDEX(Y:Y,ROW(AB107)/2)),"")</f>
        <v>125.089525</v>
      </c>
    </row>
    <row r="108" spans="1:28" s="2" customFormat="1" x14ac:dyDescent="0.25">
      <c r="A108" s="19"/>
      <c r="B108" s="20"/>
      <c r="C108" s="21"/>
      <c r="D108" s="22"/>
      <c r="F108" s="34">
        <f t="shared" si="17"/>
        <v>-199.95</v>
      </c>
      <c r="G108" s="34">
        <f t="shared" si="18"/>
        <v>112.5</v>
      </c>
      <c r="H108" s="34">
        <f t="shared" si="12"/>
        <v>-202.95</v>
      </c>
      <c r="I108" s="34">
        <f t="shared" si="19"/>
        <v>112.5</v>
      </c>
      <c r="J108" s="20"/>
      <c r="K108" s="34">
        <f t="array" ref="K108">IF(ROW(K108)&lt;=COUNTA(F:F)*2,IF(MOD(ROW(K108),2)=1,INDEX(F:F,(ROW(K108)+1)/2),INDEX(H:H,ROW(K108)/2)),"")</f>
        <v>-75.45</v>
      </c>
      <c r="L108" s="34">
        <f t="array" ref="L108">IF(ROW(L108)&lt;=COUNTA(G:G)*2,IF(MOD(ROW(L108),2)=1,INDEX(G:G,(ROW(L108)+1)/2),INDEX(I:I,ROW(L108)/2)),"")</f>
        <v>112.5</v>
      </c>
      <c r="N108" s="21">
        <f t="shared" si="20"/>
        <v>-199.95</v>
      </c>
      <c r="O108" s="21">
        <f t="shared" si="21"/>
        <v>119.9</v>
      </c>
      <c r="P108" s="21">
        <f t="shared" si="13"/>
        <v>-202.95</v>
      </c>
      <c r="Q108" s="21">
        <f t="shared" si="22"/>
        <v>119.9</v>
      </c>
      <c r="R108" s="21"/>
      <c r="S108" s="21">
        <f t="array" ref="S108">IF(ROW(S108)&lt;=COUNTA(N:N)*2,IF(MOD(ROW(S108),2)=1,INDEX(N:N,(ROW(S108)+1)/2),INDEX(P:P,ROW(S108)/2)),"")</f>
        <v>-75.45</v>
      </c>
      <c r="T108" s="21">
        <f t="array" ref="T108">IF(ROW(T108)&lt;=COUNTA(O:O)*2,IF(MOD(ROW(T108),2)=1,INDEX(O:O,(ROW(T108)+1)/2),INDEX(Q:Q,ROW(T108)/2)),"")</f>
        <v>117.8</v>
      </c>
      <c r="V108" s="22">
        <f t="shared" si="23"/>
        <v>-199.95</v>
      </c>
      <c r="W108" s="22">
        <f t="shared" si="14"/>
        <v>125.12805</v>
      </c>
      <c r="X108" s="22">
        <f t="shared" si="15"/>
        <v>-202.95</v>
      </c>
      <c r="Y108" s="22">
        <f t="shared" si="16"/>
        <v>125.12805</v>
      </c>
      <c r="Z108" s="22"/>
      <c r="AA108" s="22">
        <f t="array" ref="AA108">IF(ROW(AA108)&lt;=COUNTA(V:V)*2,IF(MOD(ROW(AA108),2)=1,INDEX(V:V,(ROW(AA108)+1)/2),INDEX(X:X,ROW(AA108)/2)),"")</f>
        <v>-75.45</v>
      </c>
      <c r="AB108" s="22">
        <f t="array" ref="AB108">IF(ROW(AB108)&lt;=COUNTA(W:W)*2,IF(MOD(ROW(AB108),2)=1,INDEX(W:W,(ROW(AB108)+1)/2),INDEX(Y:Y,ROW(AB108)/2)),"")</f>
        <v>125.089525</v>
      </c>
    </row>
    <row r="109" spans="1:28" s="2" customFormat="1" x14ac:dyDescent="0.25">
      <c r="A109" s="19"/>
      <c r="B109" s="20"/>
      <c r="C109" s="21"/>
      <c r="D109" s="22"/>
      <c r="F109" s="34">
        <f t="shared" si="17"/>
        <v>-202.95</v>
      </c>
      <c r="G109" s="34">
        <f t="shared" si="18"/>
        <v>112.5</v>
      </c>
      <c r="H109" s="34">
        <f t="shared" si="12"/>
        <v>-205.95</v>
      </c>
      <c r="I109" s="34">
        <f t="shared" si="19"/>
        <v>112.5</v>
      </c>
      <c r="J109" s="20"/>
      <c r="K109" s="34">
        <f t="array" ref="K109">IF(ROW(K109)&lt;=COUNTA(F:F)*2,IF(MOD(ROW(K109),2)=1,INDEX(F:F,(ROW(K109)+1)/2),INDEX(H:H,ROW(K109)/2)),"")</f>
        <v>-75.45</v>
      </c>
      <c r="L109" s="34">
        <f t="array" ref="L109">IF(ROW(L109)&lt;=COUNTA(G:G)*2,IF(MOD(ROW(L109),2)=1,INDEX(G:G,(ROW(L109)+1)/2),INDEX(I:I,ROW(L109)/2)),"")</f>
        <v>112.5</v>
      </c>
      <c r="N109" s="21">
        <f t="shared" si="20"/>
        <v>-202.95</v>
      </c>
      <c r="O109" s="21">
        <f t="shared" si="21"/>
        <v>117.1</v>
      </c>
      <c r="P109" s="21">
        <f t="shared" si="13"/>
        <v>-205.95</v>
      </c>
      <c r="Q109" s="21">
        <f t="shared" si="22"/>
        <v>117.1</v>
      </c>
      <c r="R109" s="21"/>
      <c r="S109" s="21">
        <f t="array" ref="S109">IF(ROW(S109)&lt;=COUNTA(N:N)*2,IF(MOD(ROW(S109),2)=1,INDEX(N:N,(ROW(S109)+1)/2),INDEX(P:P,ROW(S109)/2)),"")</f>
        <v>-75.45</v>
      </c>
      <c r="T109" s="21">
        <f t="array" ref="T109">IF(ROW(T109)&lt;=COUNTA(O:O)*2,IF(MOD(ROW(T109),2)=1,INDEX(O:O,(ROW(T109)+1)/2),INDEX(Q:Q,ROW(T109)/2)),"")</f>
        <v>120.5</v>
      </c>
      <c r="V109" s="22">
        <f t="shared" si="23"/>
        <v>-202.95</v>
      </c>
      <c r="W109" s="22">
        <f t="shared" si="14"/>
        <v>125.12805</v>
      </c>
      <c r="X109" s="22">
        <f t="shared" si="15"/>
        <v>-205.95</v>
      </c>
      <c r="Y109" s="22">
        <f t="shared" si="16"/>
        <v>125.12805</v>
      </c>
      <c r="Z109" s="22"/>
      <c r="AA109" s="22">
        <f t="array" ref="AA109">IF(ROW(AA109)&lt;=COUNTA(V:V)*2,IF(MOD(ROW(AA109),2)=1,INDEX(V:V,(ROW(AA109)+1)/2),INDEX(X:X,ROW(AA109)/2)),"")</f>
        <v>-75.45</v>
      </c>
      <c r="AB109" s="22">
        <f t="array" ref="AB109">IF(ROW(AB109)&lt;=COUNTA(W:W)*2,IF(MOD(ROW(AB109),2)=1,INDEX(W:W,(ROW(AB109)+1)/2),INDEX(Y:Y,ROW(AB109)/2)),"")</f>
        <v>125.089525</v>
      </c>
    </row>
    <row r="110" spans="1:28" s="2" customFormat="1" x14ac:dyDescent="0.25">
      <c r="A110" s="19"/>
      <c r="B110" s="20"/>
      <c r="C110" s="21"/>
      <c r="D110" s="22"/>
      <c r="F110" s="34">
        <f t="shared" si="17"/>
        <v>-205.95</v>
      </c>
      <c r="G110" s="34">
        <f t="shared" si="18"/>
        <v>112.4</v>
      </c>
      <c r="H110" s="34">
        <f t="shared" si="12"/>
        <v>-208.95</v>
      </c>
      <c r="I110" s="34">
        <f t="shared" si="19"/>
        <v>112.4</v>
      </c>
      <c r="J110" s="20"/>
      <c r="K110" s="34">
        <f t="array" ref="K110">IF(ROW(K110)&lt;=COUNTA(F:F)*2,IF(MOD(ROW(K110),2)=1,INDEX(F:F,(ROW(K110)+1)/2),INDEX(H:H,ROW(K110)/2)),"")</f>
        <v>-76.95</v>
      </c>
      <c r="L110" s="34">
        <f t="array" ref="L110">IF(ROW(L110)&lt;=COUNTA(G:G)*2,IF(MOD(ROW(L110),2)=1,INDEX(G:G,(ROW(L110)+1)/2),INDEX(I:I,ROW(L110)/2)),"")</f>
        <v>112.5</v>
      </c>
      <c r="N110" s="21">
        <f t="shared" si="20"/>
        <v>-205.95</v>
      </c>
      <c r="O110" s="21">
        <f t="shared" si="21"/>
        <v>117.1</v>
      </c>
      <c r="P110" s="21">
        <f t="shared" si="13"/>
        <v>-208.95</v>
      </c>
      <c r="Q110" s="21">
        <f t="shared" si="22"/>
        <v>117.1</v>
      </c>
      <c r="R110" s="21"/>
      <c r="S110" s="21">
        <f t="array" ref="S110">IF(ROW(S110)&lt;=COUNTA(N:N)*2,IF(MOD(ROW(S110),2)=1,INDEX(N:N,(ROW(S110)+1)/2),INDEX(P:P,ROW(S110)/2)),"")</f>
        <v>-76.95</v>
      </c>
      <c r="T110" s="21">
        <f t="array" ref="T110">IF(ROW(T110)&lt;=COUNTA(O:O)*2,IF(MOD(ROW(T110),2)=1,INDEX(O:O,(ROW(T110)+1)/2),INDEX(Q:Q,ROW(T110)/2)),"")</f>
        <v>120.5</v>
      </c>
      <c r="V110" s="22">
        <f t="shared" si="23"/>
        <v>-205.95</v>
      </c>
      <c r="W110" s="22">
        <f t="shared" si="14"/>
        <v>125.9158</v>
      </c>
      <c r="X110" s="22">
        <f t="shared" si="15"/>
        <v>-208.95</v>
      </c>
      <c r="Y110" s="22">
        <f t="shared" si="16"/>
        <v>125.9158</v>
      </c>
      <c r="Z110" s="22"/>
      <c r="AA110" s="22">
        <f t="array" ref="AA110">IF(ROW(AA110)&lt;=COUNTA(V:V)*2,IF(MOD(ROW(AA110),2)=1,INDEX(V:V,(ROW(AA110)+1)/2),INDEX(X:X,ROW(AA110)/2)),"")</f>
        <v>-76.95</v>
      </c>
      <c r="AB110" s="22">
        <f t="array" ref="AB110">IF(ROW(AB110)&lt;=COUNTA(W:W)*2,IF(MOD(ROW(AB110),2)=1,INDEX(W:W,(ROW(AB110)+1)/2),INDEX(Y:Y,ROW(AB110)/2)),"")</f>
        <v>125.089525</v>
      </c>
    </row>
    <row r="111" spans="1:28" s="2" customFormat="1" x14ac:dyDescent="0.25">
      <c r="A111" s="19"/>
      <c r="B111" s="20"/>
      <c r="C111" s="21"/>
      <c r="D111" s="22"/>
      <c r="F111" s="34">
        <f t="shared" si="17"/>
        <v>-208.95</v>
      </c>
      <c r="G111" s="34">
        <f t="shared" si="18"/>
        <v>112</v>
      </c>
      <c r="H111" s="34">
        <f t="shared" si="12"/>
        <v>-211.95</v>
      </c>
      <c r="I111" s="34">
        <f t="shared" si="19"/>
        <v>112</v>
      </c>
      <c r="J111" s="20"/>
      <c r="K111" s="34">
        <f t="array" ref="K111">IF(ROW(K111)&lt;=COUNTA(F:F)*2,IF(MOD(ROW(K111),2)=1,INDEX(F:F,(ROW(K111)+1)/2),INDEX(H:H,ROW(K111)/2)),"")</f>
        <v>-76.95</v>
      </c>
      <c r="L111" s="34">
        <f t="array" ref="L111">IF(ROW(L111)&lt;=COUNTA(G:G)*2,IF(MOD(ROW(L111),2)=1,INDEX(G:G,(ROW(L111)+1)/2),INDEX(I:I,ROW(L111)/2)),"")</f>
        <v>112.5</v>
      </c>
      <c r="N111" s="21">
        <f t="shared" si="20"/>
        <v>-208.95</v>
      </c>
      <c r="O111" s="21">
        <f t="shared" si="21"/>
        <v>113.8</v>
      </c>
      <c r="P111" s="21">
        <f t="shared" si="13"/>
        <v>-211.95</v>
      </c>
      <c r="Q111" s="21">
        <f t="shared" si="22"/>
        <v>113.8</v>
      </c>
      <c r="R111" s="21"/>
      <c r="S111" s="21">
        <f t="array" ref="S111">IF(ROW(S111)&lt;=COUNTA(N:N)*2,IF(MOD(ROW(S111),2)=1,INDEX(N:N,(ROW(S111)+1)/2),INDEX(P:P,ROW(S111)/2)),"")</f>
        <v>-76.95</v>
      </c>
      <c r="T111" s="21">
        <f t="array" ref="T111">IF(ROW(T111)&lt;=COUNTA(O:O)*2,IF(MOD(ROW(T111),2)=1,INDEX(O:O,(ROW(T111)+1)/2),INDEX(Q:Q,ROW(T111)/2)),"")</f>
        <v>119.6</v>
      </c>
      <c r="V111" s="22">
        <f t="shared" si="23"/>
        <v>-208.95</v>
      </c>
      <c r="W111" s="22">
        <f t="shared" si="14"/>
        <v>125.6219</v>
      </c>
      <c r="X111" s="22">
        <f t="shared" si="15"/>
        <v>-211.95</v>
      </c>
      <c r="Y111" s="22">
        <f t="shared" si="16"/>
        <v>125.6219</v>
      </c>
      <c r="Z111" s="22"/>
      <c r="AA111" s="22">
        <f t="array" ref="AA111">IF(ROW(AA111)&lt;=COUNTA(V:V)*2,IF(MOD(ROW(AA111),2)=1,INDEX(V:V,(ROW(AA111)+1)/2),INDEX(X:X,ROW(AA111)/2)),"")</f>
        <v>-76.95</v>
      </c>
      <c r="AB111" s="22">
        <f t="array" ref="AB111">IF(ROW(AB111)&lt;=COUNTA(W:W)*2,IF(MOD(ROW(AB111),2)=1,INDEX(W:W,(ROW(AB111)+1)/2),INDEX(Y:Y,ROW(AB111)/2)),"")</f>
        <v>125.089525</v>
      </c>
    </row>
    <row r="112" spans="1:28" s="2" customFormat="1" x14ac:dyDescent="0.25">
      <c r="A112" s="19"/>
      <c r="B112" s="20"/>
      <c r="C112" s="21"/>
      <c r="D112" s="22"/>
      <c r="F112" s="34">
        <f t="shared" si="17"/>
        <v>-211.95</v>
      </c>
      <c r="G112" s="34">
        <f t="shared" si="18"/>
        <v>112.4</v>
      </c>
      <c r="H112" s="34">
        <f t="shared" si="12"/>
        <v>-213.35</v>
      </c>
      <c r="I112" s="34">
        <f t="shared" si="19"/>
        <v>112.4</v>
      </c>
      <c r="J112" s="20"/>
      <c r="K112" s="34">
        <f t="array" ref="K112">IF(ROW(K112)&lt;=COUNTA(F:F)*2,IF(MOD(ROW(K112),2)=1,INDEX(F:F,(ROW(K112)+1)/2),INDEX(H:H,ROW(K112)/2)),"")</f>
        <v>-78.45</v>
      </c>
      <c r="L112" s="34">
        <f t="array" ref="L112">IF(ROW(L112)&lt;=COUNTA(G:G)*2,IF(MOD(ROW(L112),2)=1,INDEX(G:G,(ROW(L112)+1)/2),INDEX(I:I,ROW(L112)/2)),"")</f>
        <v>112.5</v>
      </c>
      <c r="N112" s="21">
        <f t="shared" si="20"/>
        <v>-211.95</v>
      </c>
      <c r="O112" s="21">
        <f t="shared" si="21"/>
        <v>116.7</v>
      </c>
      <c r="P112" s="21">
        <f t="shared" si="13"/>
        <v>-213.35</v>
      </c>
      <c r="Q112" s="21">
        <f t="shared" si="22"/>
        <v>116.7</v>
      </c>
      <c r="R112" s="21"/>
      <c r="S112" s="21">
        <f t="array" ref="S112">IF(ROW(S112)&lt;=COUNTA(N:N)*2,IF(MOD(ROW(S112),2)=1,INDEX(N:N,(ROW(S112)+1)/2),INDEX(P:P,ROW(S112)/2)),"")</f>
        <v>-78.45</v>
      </c>
      <c r="T112" s="21">
        <f t="array" ref="T112">IF(ROW(T112)&lt;=COUNTA(O:O)*2,IF(MOD(ROW(T112),2)=1,INDEX(O:O,(ROW(T112)+1)/2),INDEX(Q:Q,ROW(T112)/2)),"")</f>
        <v>119.6</v>
      </c>
      <c r="V112" s="22">
        <f t="shared" si="23"/>
        <v>-211.95</v>
      </c>
      <c r="W112" s="22">
        <f t="shared" si="14"/>
        <v>125.6369</v>
      </c>
      <c r="X112" s="22">
        <f t="shared" si="15"/>
        <v>-213.35</v>
      </c>
      <c r="Y112" s="22">
        <f t="shared" si="16"/>
        <v>125.6369</v>
      </c>
      <c r="Z112" s="22"/>
      <c r="AA112" s="22">
        <f t="array" ref="AA112">IF(ROW(AA112)&lt;=COUNTA(V:V)*2,IF(MOD(ROW(AA112),2)=1,INDEX(V:V,(ROW(AA112)+1)/2),INDEX(X:X,ROW(AA112)/2)),"")</f>
        <v>-78.45</v>
      </c>
      <c r="AB112" s="22">
        <f t="array" ref="AB112">IF(ROW(AB112)&lt;=COUNTA(W:W)*2,IF(MOD(ROW(AB112),2)=1,INDEX(W:W,(ROW(AB112)+1)/2),INDEX(Y:Y,ROW(AB112)/2)),"")</f>
        <v>125.089525</v>
      </c>
    </row>
    <row r="113" spans="1:28" s="2" customFormat="1" x14ac:dyDescent="0.25">
      <c r="A113" s="19"/>
      <c r="B113" s="20"/>
      <c r="C113" s="21"/>
      <c r="D113" s="22"/>
      <c r="F113" s="34">
        <f t="shared" si="17"/>
        <v>-213.35</v>
      </c>
      <c r="G113" s="34">
        <f t="shared" si="18"/>
        <v>112.4</v>
      </c>
      <c r="H113" s="34">
        <f t="shared" si="12"/>
        <v>-216.45</v>
      </c>
      <c r="I113" s="34">
        <f t="shared" si="19"/>
        <v>112.4</v>
      </c>
      <c r="J113" s="20"/>
      <c r="K113" s="34">
        <f t="array" ref="K113">IF(ROW(K113)&lt;=COUNTA(F:F)*2,IF(MOD(ROW(K113),2)=1,INDEX(F:F,(ROW(K113)+1)/2),INDEX(H:H,ROW(K113)/2)),"")</f>
        <v>-78.45</v>
      </c>
      <c r="L113" s="34">
        <f t="array" ref="L113">IF(ROW(L113)&lt;=COUNTA(G:G)*2,IF(MOD(ROW(L113),2)=1,INDEX(G:G,(ROW(L113)+1)/2),INDEX(I:I,ROW(L113)/2)),"")</f>
        <v>112.5</v>
      </c>
      <c r="N113" s="21">
        <f t="shared" si="20"/>
        <v>-213.35</v>
      </c>
      <c r="O113" s="21">
        <f t="shared" si="21"/>
        <v>116.7</v>
      </c>
      <c r="P113" s="21">
        <f t="shared" si="13"/>
        <v>-216.45</v>
      </c>
      <c r="Q113" s="21">
        <f t="shared" si="22"/>
        <v>116.7</v>
      </c>
      <c r="R113" s="21"/>
      <c r="S113" s="21">
        <f t="array" ref="S113">IF(ROW(S113)&lt;=COUNTA(N:N)*2,IF(MOD(ROW(S113),2)=1,INDEX(N:N,(ROW(S113)+1)/2),INDEX(P:P,ROW(S113)/2)),"")</f>
        <v>-78.45</v>
      </c>
      <c r="T113" s="21">
        <f t="array" ref="T113">IF(ROW(T113)&lt;=COUNTA(O:O)*2,IF(MOD(ROW(T113),2)=1,INDEX(O:O,(ROW(T113)+1)/2),INDEX(Q:Q,ROW(T113)/2)),"")</f>
        <v>120</v>
      </c>
      <c r="V113" s="22">
        <f t="shared" si="23"/>
        <v>-213.35</v>
      </c>
      <c r="W113" s="22">
        <f t="shared" si="14"/>
        <v>125.219925</v>
      </c>
      <c r="X113" s="22">
        <f t="shared" si="15"/>
        <v>-216.45</v>
      </c>
      <c r="Y113" s="22">
        <f t="shared" si="16"/>
        <v>125.219925</v>
      </c>
      <c r="Z113" s="22"/>
      <c r="AA113" s="22">
        <f t="array" ref="AA113">IF(ROW(AA113)&lt;=COUNTA(V:V)*2,IF(MOD(ROW(AA113),2)=1,INDEX(V:V,(ROW(AA113)+1)/2),INDEX(X:X,ROW(AA113)/2)),"")</f>
        <v>-78.45</v>
      </c>
      <c r="AB113" s="22">
        <f t="array" ref="AB113">IF(ROW(AB113)&lt;=COUNTA(W:W)*2,IF(MOD(ROW(AB113),2)=1,INDEX(W:W,(ROW(AB113)+1)/2),INDEX(Y:Y,ROW(AB113)/2)),"")</f>
        <v>125.089525</v>
      </c>
    </row>
    <row r="114" spans="1:28" s="2" customFormat="1" x14ac:dyDescent="0.25">
      <c r="A114" s="19"/>
      <c r="B114" s="20"/>
      <c r="C114" s="21"/>
      <c r="D114" s="22"/>
      <c r="F114" s="34">
        <f t="shared" si="17"/>
        <v>-216.45</v>
      </c>
      <c r="G114" s="34">
        <f t="shared" si="18"/>
        <v>112.5</v>
      </c>
      <c r="H114" s="34">
        <f t="shared" si="12"/>
        <v>-219.45</v>
      </c>
      <c r="I114" s="34">
        <f t="shared" si="19"/>
        <v>112.5</v>
      </c>
      <c r="J114" s="20"/>
      <c r="K114" s="34">
        <f t="array" ref="K114">IF(ROW(K114)&lt;=COUNTA(F:F)*2,IF(MOD(ROW(K114),2)=1,INDEX(F:F,(ROW(K114)+1)/2),INDEX(H:H,ROW(K114)/2)),"")</f>
        <v>-79.95</v>
      </c>
      <c r="L114" s="34">
        <f t="array" ref="L114">IF(ROW(L114)&lt;=COUNTA(G:G)*2,IF(MOD(ROW(L114),2)=1,INDEX(G:G,(ROW(L114)+1)/2),INDEX(I:I,ROW(L114)/2)),"")</f>
        <v>112.5</v>
      </c>
      <c r="N114" s="21">
        <f t="shared" si="20"/>
        <v>-216.45</v>
      </c>
      <c r="O114" s="21">
        <f t="shared" si="21"/>
        <v>115.5</v>
      </c>
      <c r="P114" s="21">
        <f t="shared" si="13"/>
        <v>-219.45</v>
      </c>
      <c r="Q114" s="21">
        <f t="shared" si="22"/>
        <v>115.5</v>
      </c>
      <c r="R114" s="21"/>
      <c r="S114" s="21">
        <f t="array" ref="S114">IF(ROW(S114)&lt;=COUNTA(N:N)*2,IF(MOD(ROW(S114),2)=1,INDEX(N:N,(ROW(S114)+1)/2),INDEX(P:P,ROW(S114)/2)),"")</f>
        <v>-79.95</v>
      </c>
      <c r="T114" s="21">
        <f t="array" ref="T114">IF(ROW(T114)&lt;=COUNTA(O:O)*2,IF(MOD(ROW(T114),2)=1,INDEX(O:O,(ROW(T114)+1)/2),INDEX(Q:Q,ROW(T114)/2)),"")</f>
        <v>120</v>
      </c>
      <c r="V114" s="22">
        <f t="shared" si="23"/>
        <v>-216.45</v>
      </c>
      <c r="W114" s="22">
        <f t="shared" si="14"/>
        <v>125.36645</v>
      </c>
      <c r="X114" s="22">
        <f t="shared" si="15"/>
        <v>-219.45</v>
      </c>
      <c r="Y114" s="22">
        <f t="shared" si="16"/>
        <v>125.36645</v>
      </c>
      <c r="Z114" s="22"/>
      <c r="AA114" s="22">
        <f t="array" ref="AA114">IF(ROW(AA114)&lt;=COUNTA(V:V)*2,IF(MOD(ROW(AA114),2)=1,INDEX(V:V,(ROW(AA114)+1)/2),INDEX(X:X,ROW(AA114)/2)),"")</f>
        <v>-79.95</v>
      </c>
      <c r="AB114" s="22">
        <f t="array" ref="AB114">IF(ROW(AB114)&lt;=COUNTA(W:W)*2,IF(MOD(ROW(AB114),2)=1,INDEX(W:W,(ROW(AB114)+1)/2),INDEX(Y:Y,ROW(AB114)/2)),"")</f>
        <v>125.089525</v>
      </c>
    </row>
    <row r="115" spans="1:28" s="2" customFormat="1" x14ac:dyDescent="0.25">
      <c r="A115" s="19"/>
      <c r="B115" s="20"/>
      <c r="C115" s="21"/>
      <c r="D115" s="22"/>
      <c r="F115" s="34">
        <f t="shared" si="17"/>
        <v>-219.45</v>
      </c>
      <c r="G115" s="34">
        <f t="shared" si="18"/>
        <v>112.5</v>
      </c>
      <c r="H115" s="34">
        <f t="shared" si="12"/>
        <v>-221.65</v>
      </c>
      <c r="I115" s="34">
        <f t="shared" si="19"/>
        <v>112.5</v>
      </c>
      <c r="J115" s="20"/>
      <c r="K115" s="34">
        <f t="array" ref="K115">IF(ROW(K115)&lt;=COUNTA(F:F)*2,IF(MOD(ROW(K115),2)=1,INDEX(F:F,(ROW(K115)+1)/2),INDEX(H:H,ROW(K115)/2)),"")</f>
        <v>-79.95</v>
      </c>
      <c r="L115" s="34">
        <f t="array" ref="L115">IF(ROW(L115)&lt;=COUNTA(G:G)*2,IF(MOD(ROW(L115),2)=1,INDEX(G:G,(ROW(L115)+1)/2),INDEX(I:I,ROW(L115)/2)),"")</f>
        <v>112.5</v>
      </c>
      <c r="N115" s="21">
        <f t="shared" si="20"/>
        <v>-219.45</v>
      </c>
      <c r="O115" s="21">
        <f t="shared" si="21"/>
        <v>121.1</v>
      </c>
      <c r="P115" s="21">
        <f t="shared" si="13"/>
        <v>-221.65</v>
      </c>
      <c r="Q115" s="21">
        <f t="shared" si="22"/>
        <v>121.1</v>
      </c>
      <c r="R115" s="21"/>
      <c r="S115" s="21">
        <f t="array" ref="S115">IF(ROW(S115)&lt;=COUNTA(N:N)*2,IF(MOD(ROW(S115),2)=1,INDEX(N:N,(ROW(S115)+1)/2),INDEX(P:P,ROW(S115)/2)),"")</f>
        <v>-79.95</v>
      </c>
      <c r="T115" s="21">
        <f t="array" ref="T115">IF(ROW(T115)&lt;=COUNTA(O:O)*2,IF(MOD(ROW(T115),2)=1,INDEX(O:O,(ROW(T115)+1)/2),INDEX(Q:Q,ROW(T115)/2)),"")</f>
        <v>119</v>
      </c>
      <c r="V115" s="22">
        <f t="shared" si="23"/>
        <v>-219.45</v>
      </c>
      <c r="W115" s="22">
        <f t="shared" si="14"/>
        <v>125.2514</v>
      </c>
      <c r="X115" s="22">
        <f t="shared" si="15"/>
        <v>-221.65</v>
      </c>
      <c r="Y115" s="22">
        <f t="shared" si="16"/>
        <v>125.2514</v>
      </c>
      <c r="Z115" s="22"/>
      <c r="AA115" s="22">
        <f t="array" ref="AA115">IF(ROW(AA115)&lt;=COUNTA(V:V)*2,IF(MOD(ROW(AA115),2)=1,INDEX(V:V,(ROW(AA115)+1)/2),INDEX(X:X,ROW(AA115)/2)),"")</f>
        <v>-79.95</v>
      </c>
      <c r="AB115" s="22">
        <f t="array" ref="AB115">IF(ROW(AB115)&lt;=COUNTA(W:W)*2,IF(MOD(ROW(AB115),2)=1,INDEX(W:W,(ROW(AB115)+1)/2),INDEX(Y:Y,ROW(AB115)/2)),"")</f>
        <v>125.1033</v>
      </c>
    </row>
    <row r="116" spans="1:28" s="2" customFormat="1" x14ac:dyDescent="0.25">
      <c r="A116" s="19"/>
      <c r="B116" s="20"/>
      <c r="C116" s="21"/>
      <c r="D116" s="22"/>
      <c r="F116" s="34">
        <f t="shared" si="17"/>
        <v>-221.65</v>
      </c>
      <c r="G116" s="34">
        <f t="shared" si="18"/>
        <v>112.5</v>
      </c>
      <c r="H116" s="34">
        <f t="shared" si="12"/>
        <v>-223.95</v>
      </c>
      <c r="I116" s="34">
        <f t="shared" si="19"/>
        <v>112.5</v>
      </c>
      <c r="J116" s="20"/>
      <c r="K116" s="34">
        <f t="array" ref="K116">IF(ROW(K116)&lt;=COUNTA(F:F)*2,IF(MOD(ROW(K116),2)=1,INDEX(F:F,(ROW(K116)+1)/2),INDEX(H:H,ROW(K116)/2)),"")</f>
        <v>-81.45</v>
      </c>
      <c r="L116" s="34">
        <f t="array" ref="L116">IF(ROW(L116)&lt;=COUNTA(G:G)*2,IF(MOD(ROW(L116),2)=1,INDEX(G:G,(ROW(L116)+1)/2),INDEX(I:I,ROW(L116)/2)),"")</f>
        <v>112.5</v>
      </c>
      <c r="N116" s="21">
        <f t="shared" si="20"/>
        <v>-221.65</v>
      </c>
      <c r="O116" s="21">
        <f t="shared" si="21"/>
        <v>114.4</v>
      </c>
      <c r="P116" s="21">
        <f t="shared" si="13"/>
        <v>-223.95</v>
      </c>
      <c r="Q116" s="21">
        <f t="shared" si="22"/>
        <v>114.4</v>
      </c>
      <c r="R116" s="21"/>
      <c r="S116" s="21">
        <f t="array" ref="S116">IF(ROW(S116)&lt;=COUNTA(N:N)*2,IF(MOD(ROW(S116),2)=1,INDEX(N:N,(ROW(S116)+1)/2),INDEX(P:P,ROW(S116)/2)),"")</f>
        <v>-81.45</v>
      </c>
      <c r="T116" s="21">
        <f t="array" ref="T116">IF(ROW(T116)&lt;=COUNTA(O:O)*2,IF(MOD(ROW(T116),2)=1,INDEX(O:O,(ROW(T116)+1)/2),INDEX(Q:Q,ROW(T116)/2)),"")</f>
        <v>119</v>
      </c>
      <c r="V116" s="22">
        <f t="shared" si="23"/>
        <v>-221.65</v>
      </c>
      <c r="W116" s="22">
        <f t="shared" si="14"/>
        <v>125.250425</v>
      </c>
      <c r="X116" s="22">
        <f t="shared" si="15"/>
        <v>-223.95</v>
      </c>
      <c r="Y116" s="22">
        <f t="shared" si="16"/>
        <v>125.250425</v>
      </c>
      <c r="Z116" s="22"/>
      <c r="AA116" s="22">
        <f t="array" ref="AA116">IF(ROW(AA116)&lt;=COUNTA(V:V)*2,IF(MOD(ROW(AA116),2)=1,INDEX(V:V,(ROW(AA116)+1)/2),INDEX(X:X,ROW(AA116)/2)),"")</f>
        <v>-81.45</v>
      </c>
      <c r="AB116" s="22">
        <f t="array" ref="AB116">IF(ROW(AB116)&lt;=COUNTA(W:W)*2,IF(MOD(ROW(AB116),2)=1,INDEX(W:W,(ROW(AB116)+1)/2),INDEX(Y:Y,ROW(AB116)/2)),"")</f>
        <v>125.1033</v>
      </c>
    </row>
    <row r="117" spans="1:28" s="2" customFormat="1" x14ac:dyDescent="0.25">
      <c r="A117" s="19"/>
      <c r="B117" s="20"/>
      <c r="C117" s="21"/>
      <c r="D117" s="22"/>
      <c r="F117" s="34">
        <f t="shared" si="17"/>
        <v>-223.95</v>
      </c>
      <c r="G117" s="34">
        <f t="shared" si="18"/>
        <v>112.5</v>
      </c>
      <c r="H117" s="34">
        <f t="shared" si="12"/>
        <v>-226.95</v>
      </c>
      <c r="I117" s="34">
        <f t="shared" si="19"/>
        <v>112.5</v>
      </c>
      <c r="J117" s="20"/>
      <c r="K117" s="34">
        <f t="array" ref="K117">IF(ROW(K117)&lt;=COUNTA(F:F)*2,IF(MOD(ROW(K117),2)=1,INDEX(F:F,(ROW(K117)+1)/2),INDEX(H:H,ROW(K117)/2)),"")</f>
        <v>-81.45</v>
      </c>
      <c r="L117" s="34">
        <f t="array" ref="L117">IF(ROW(L117)&lt;=COUNTA(G:G)*2,IF(MOD(ROW(L117),2)=1,INDEX(G:G,(ROW(L117)+1)/2),INDEX(I:I,ROW(L117)/2)),"")</f>
        <v>112.5</v>
      </c>
      <c r="N117" s="21">
        <f t="shared" si="20"/>
        <v>-223.95</v>
      </c>
      <c r="O117" s="21">
        <f t="shared" si="21"/>
        <v>117.4</v>
      </c>
      <c r="P117" s="21">
        <f t="shared" si="13"/>
        <v>-226.95</v>
      </c>
      <c r="Q117" s="21">
        <f t="shared" si="22"/>
        <v>117.4</v>
      </c>
      <c r="R117" s="21"/>
      <c r="S117" s="21">
        <f t="array" ref="S117">IF(ROW(S117)&lt;=COUNTA(N:N)*2,IF(MOD(ROW(S117),2)=1,INDEX(N:N,(ROW(S117)+1)/2),INDEX(P:P,ROW(S117)/2)),"")</f>
        <v>-81.45</v>
      </c>
      <c r="T117" s="21">
        <f t="array" ref="T117">IF(ROW(T117)&lt;=COUNTA(O:O)*2,IF(MOD(ROW(T117),2)=1,INDEX(O:O,(ROW(T117)+1)/2),INDEX(Q:Q,ROW(T117)/2)),"")</f>
        <v>118.4</v>
      </c>
      <c r="V117" s="22">
        <f t="shared" si="23"/>
        <v>-223.95</v>
      </c>
      <c r="W117" s="22">
        <f t="shared" si="14"/>
        <v>125.27465</v>
      </c>
      <c r="X117" s="22">
        <f t="shared" si="15"/>
        <v>-226.95</v>
      </c>
      <c r="Y117" s="22">
        <f t="shared" si="16"/>
        <v>125.27465</v>
      </c>
      <c r="Z117" s="22"/>
      <c r="AA117" s="22">
        <f t="array" ref="AA117">IF(ROW(AA117)&lt;=COUNTA(V:V)*2,IF(MOD(ROW(AA117),2)=1,INDEX(V:V,(ROW(AA117)+1)/2),INDEX(X:X,ROW(AA117)/2)),"")</f>
        <v>-81.45</v>
      </c>
      <c r="AB117" s="22">
        <f t="array" ref="AB117">IF(ROW(AB117)&lt;=COUNTA(W:W)*2,IF(MOD(ROW(AB117),2)=1,INDEX(W:W,(ROW(AB117)+1)/2),INDEX(Y:Y,ROW(AB117)/2)),"")</f>
        <v>125.089525</v>
      </c>
    </row>
    <row r="118" spans="1:28" s="2" customFormat="1" x14ac:dyDescent="0.25">
      <c r="A118" s="19"/>
      <c r="B118" s="20"/>
      <c r="C118" s="21"/>
      <c r="D118" s="22"/>
      <c r="F118" s="34">
        <f t="shared" si="17"/>
        <v>-226.95</v>
      </c>
      <c r="G118" s="34">
        <f t="shared" si="18"/>
        <v>112.5</v>
      </c>
      <c r="H118" s="34">
        <f t="shared" si="12"/>
        <v>-229.55</v>
      </c>
      <c r="I118" s="34">
        <f t="shared" si="19"/>
        <v>112.5</v>
      </c>
      <c r="J118" s="20"/>
      <c r="K118" s="34">
        <f t="array" ref="K118">IF(ROW(K118)&lt;=COUNTA(F:F)*2,IF(MOD(ROW(K118),2)=1,INDEX(F:F,(ROW(K118)+1)/2),INDEX(H:H,ROW(K118)/2)),"")</f>
        <v>-82.95</v>
      </c>
      <c r="L118" s="34">
        <f t="array" ref="L118">IF(ROW(L118)&lt;=COUNTA(G:G)*2,IF(MOD(ROW(L118),2)=1,INDEX(G:G,(ROW(L118)+1)/2),INDEX(I:I,ROW(L118)/2)),"")</f>
        <v>112.5</v>
      </c>
      <c r="N118" s="21">
        <f t="shared" si="20"/>
        <v>-226.95</v>
      </c>
      <c r="O118" s="21">
        <f t="shared" si="21"/>
        <v>115.9</v>
      </c>
      <c r="P118" s="21">
        <f t="shared" si="13"/>
        <v>-229.55</v>
      </c>
      <c r="Q118" s="21">
        <f t="shared" si="22"/>
        <v>115.9</v>
      </c>
      <c r="R118" s="21"/>
      <c r="S118" s="21">
        <f t="array" ref="S118">IF(ROW(S118)&lt;=COUNTA(N:N)*2,IF(MOD(ROW(S118),2)=1,INDEX(N:N,(ROW(S118)+1)/2),INDEX(P:P,ROW(S118)/2)),"")</f>
        <v>-82.95</v>
      </c>
      <c r="T118" s="21">
        <f t="array" ref="T118">IF(ROW(T118)&lt;=COUNTA(O:O)*2,IF(MOD(ROW(T118),2)=1,INDEX(O:O,(ROW(T118)+1)/2),INDEX(Q:Q,ROW(T118)/2)),"")</f>
        <v>118.4</v>
      </c>
      <c r="V118" s="22">
        <f t="shared" si="23"/>
        <v>-226.95</v>
      </c>
      <c r="W118" s="22">
        <f t="shared" si="14"/>
        <v>125.10335</v>
      </c>
      <c r="X118" s="22">
        <f t="shared" si="15"/>
        <v>-229.55</v>
      </c>
      <c r="Y118" s="22">
        <f t="shared" si="16"/>
        <v>125.10335</v>
      </c>
      <c r="Z118" s="22"/>
      <c r="AA118" s="22">
        <f t="array" ref="AA118">IF(ROW(AA118)&lt;=COUNTA(V:V)*2,IF(MOD(ROW(AA118),2)=1,INDEX(V:V,(ROW(AA118)+1)/2),INDEX(X:X,ROW(AA118)/2)),"")</f>
        <v>-82.95</v>
      </c>
      <c r="AB118" s="22">
        <f t="array" ref="AB118">IF(ROW(AB118)&lt;=COUNTA(W:W)*2,IF(MOD(ROW(AB118),2)=1,INDEX(W:W,(ROW(AB118)+1)/2),INDEX(Y:Y,ROW(AB118)/2)),"")</f>
        <v>125.089525</v>
      </c>
    </row>
    <row r="119" spans="1:28" s="2" customFormat="1" x14ac:dyDescent="0.25">
      <c r="A119" s="19"/>
      <c r="B119" s="20"/>
      <c r="C119" s="21"/>
      <c r="D119" s="22"/>
      <c r="F119" s="34">
        <f t="shared" si="17"/>
        <v>-229.55</v>
      </c>
      <c r="G119" s="34">
        <f t="shared" si="18"/>
        <v>112.5</v>
      </c>
      <c r="H119" s="34">
        <f t="shared" si="12"/>
        <v>-232.55</v>
      </c>
      <c r="I119" s="34">
        <f t="shared" si="19"/>
        <v>112.5</v>
      </c>
      <c r="J119" s="20"/>
      <c r="K119" s="34">
        <f t="array" ref="K119">IF(ROW(K119)&lt;=COUNTA(F:F)*2,IF(MOD(ROW(K119),2)=1,INDEX(F:F,(ROW(K119)+1)/2),INDEX(H:H,ROW(K119)/2)),"")</f>
        <v>-82.95</v>
      </c>
      <c r="L119" s="34">
        <f t="array" ref="L119">IF(ROW(L119)&lt;=COUNTA(G:G)*2,IF(MOD(ROW(L119),2)=1,INDEX(G:G,(ROW(L119)+1)/2),INDEX(I:I,ROW(L119)/2)),"")</f>
        <v>112.5</v>
      </c>
      <c r="N119" s="21">
        <f t="shared" si="20"/>
        <v>-229.55</v>
      </c>
      <c r="O119" s="21">
        <f t="shared" si="21"/>
        <v>115.7</v>
      </c>
      <c r="P119" s="21">
        <f t="shared" si="13"/>
        <v>-232.55</v>
      </c>
      <c r="Q119" s="21">
        <f t="shared" si="22"/>
        <v>115.7</v>
      </c>
      <c r="R119" s="21"/>
      <c r="S119" s="21">
        <f t="array" ref="S119">IF(ROW(S119)&lt;=COUNTA(N:N)*2,IF(MOD(ROW(S119),2)=1,INDEX(N:N,(ROW(S119)+1)/2),INDEX(P:P,ROW(S119)/2)),"")</f>
        <v>-82.95</v>
      </c>
      <c r="T119" s="21">
        <f t="array" ref="T119">IF(ROW(T119)&lt;=COUNTA(O:O)*2,IF(MOD(ROW(T119),2)=1,INDEX(O:O,(ROW(T119)+1)/2),INDEX(Q:Q,ROW(T119)/2)),"")</f>
        <v>117.7</v>
      </c>
      <c r="V119" s="22">
        <f t="shared" si="23"/>
        <v>-229.55</v>
      </c>
      <c r="W119" s="22">
        <f t="shared" si="14"/>
        <v>124.858675</v>
      </c>
      <c r="X119" s="22">
        <f t="shared" si="15"/>
        <v>-232.55</v>
      </c>
      <c r="Y119" s="22">
        <f t="shared" si="16"/>
        <v>124.858675</v>
      </c>
      <c r="Z119" s="22"/>
      <c r="AA119" s="22">
        <f t="array" ref="AA119">IF(ROW(AA119)&lt;=COUNTA(V:V)*2,IF(MOD(ROW(AA119),2)=1,INDEX(V:V,(ROW(AA119)+1)/2),INDEX(X:X,ROW(AA119)/2)),"")</f>
        <v>-82.95</v>
      </c>
      <c r="AB119" s="22">
        <f t="array" ref="AB119">IF(ROW(AB119)&lt;=COUNTA(W:W)*2,IF(MOD(ROW(AB119),2)=1,INDEX(W:W,(ROW(AB119)+1)/2),INDEX(Y:Y,ROW(AB119)/2)),"")</f>
        <v>125.089525</v>
      </c>
    </row>
    <row r="120" spans="1:28" s="2" customFormat="1" x14ac:dyDescent="0.25">
      <c r="A120" s="19"/>
      <c r="B120" s="20"/>
      <c r="C120" s="21"/>
      <c r="D120" s="22"/>
      <c r="F120" s="34">
        <f t="shared" si="17"/>
        <v>-232.55</v>
      </c>
      <c r="G120" s="34">
        <f t="shared" si="18"/>
        <v>112.5</v>
      </c>
      <c r="H120" s="34">
        <f t="shared" si="12"/>
        <v>-234.1</v>
      </c>
      <c r="I120" s="34">
        <f t="shared" si="19"/>
        <v>112.5</v>
      </c>
      <c r="J120" s="20"/>
      <c r="K120" s="34">
        <f t="array" ref="K120">IF(ROW(K120)&lt;=COUNTA(F:F)*2,IF(MOD(ROW(K120),2)=1,INDEX(F:F,(ROW(K120)+1)/2),INDEX(H:H,ROW(K120)/2)),"")</f>
        <v>-84.45</v>
      </c>
      <c r="L120" s="34">
        <f t="array" ref="L120">IF(ROW(L120)&lt;=COUNTA(G:G)*2,IF(MOD(ROW(L120),2)=1,INDEX(G:G,(ROW(L120)+1)/2),INDEX(I:I,ROW(L120)/2)),"")</f>
        <v>112.5</v>
      </c>
      <c r="N120" s="21">
        <f t="shared" si="20"/>
        <v>-232.55</v>
      </c>
      <c r="O120" s="21">
        <f t="shared" si="21"/>
        <v>115.3</v>
      </c>
      <c r="P120" s="21">
        <f t="shared" si="13"/>
        <v>-234.1</v>
      </c>
      <c r="Q120" s="21">
        <f t="shared" si="22"/>
        <v>115.3</v>
      </c>
      <c r="R120" s="21"/>
      <c r="S120" s="21">
        <f t="array" ref="S120">IF(ROW(S120)&lt;=COUNTA(N:N)*2,IF(MOD(ROW(S120),2)=1,INDEX(N:N,(ROW(S120)+1)/2),INDEX(P:P,ROW(S120)/2)),"")</f>
        <v>-84.45</v>
      </c>
      <c r="T120" s="21">
        <f t="array" ref="T120">IF(ROW(T120)&lt;=COUNTA(O:O)*2,IF(MOD(ROW(T120),2)=1,INDEX(O:O,(ROW(T120)+1)/2),INDEX(Q:Q,ROW(T120)/2)),"")</f>
        <v>117.7</v>
      </c>
      <c r="V120" s="22">
        <f t="shared" si="23"/>
        <v>-232.55</v>
      </c>
      <c r="W120" s="22">
        <f t="shared" si="14"/>
        <v>125.26965</v>
      </c>
      <c r="X120" s="22">
        <f t="shared" si="15"/>
        <v>-234.1</v>
      </c>
      <c r="Y120" s="22">
        <f t="shared" si="16"/>
        <v>125.26965</v>
      </c>
      <c r="Z120" s="22"/>
      <c r="AA120" s="22">
        <f t="array" ref="AA120">IF(ROW(AA120)&lt;=COUNTA(V:V)*2,IF(MOD(ROW(AA120),2)=1,INDEX(V:V,(ROW(AA120)+1)/2),INDEX(X:X,ROW(AA120)/2)),"")</f>
        <v>-84.45</v>
      </c>
      <c r="AB120" s="22">
        <f t="array" ref="AB120">IF(ROW(AB120)&lt;=COUNTA(W:W)*2,IF(MOD(ROW(AB120),2)=1,INDEX(W:W,(ROW(AB120)+1)/2),INDEX(Y:Y,ROW(AB120)/2)),"")</f>
        <v>125.089525</v>
      </c>
    </row>
    <row r="121" spans="1:28" s="2" customFormat="1" x14ac:dyDescent="0.25">
      <c r="A121" s="19"/>
      <c r="B121" s="20"/>
      <c r="C121" s="21"/>
      <c r="D121" s="22"/>
      <c r="F121" s="34">
        <f t="shared" si="17"/>
        <v>-234.1</v>
      </c>
      <c r="G121" s="34">
        <f t="shared" si="18"/>
        <v>112.5</v>
      </c>
      <c r="H121" s="34">
        <f t="shared" si="12"/>
        <v>-236.15</v>
      </c>
      <c r="I121" s="34">
        <f t="shared" si="19"/>
        <v>112.5</v>
      </c>
      <c r="J121" s="20"/>
      <c r="K121" s="34">
        <f t="array" ref="K121">IF(ROW(K121)&lt;=COUNTA(F:F)*2,IF(MOD(ROW(K121),2)=1,INDEX(F:F,(ROW(K121)+1)/2),INDEX(H:H,ROW(K121)/2)),"")</f>
        <v>-84.45</v>
      </c>
      <c r="L121" s="34">
        <f t="array" ref="L121">IF(ROW(L121)&lt;=COUNTA(G:G)*2,IF(MOD(ROW(L121),2)=1,INDEX(G:G,(ROW(L121)+1)/2),INDEX(I:I,ROW(L121)/2)),"")</f>
        <v>112.5</v>
      </c>
      <c r="N121" s="21">
        <f t="shared" si="20"/>
        <v>-234.1</v>
      </c>
      <c r="O121" s="21">
        <f t="shared" si="21"/>
        <v>118.2</v>
      </c>
      <c r="P121" s="21">
        <f t="shared" si="13"/>
        <v>-236.15</v>
      </c>
      <c r="Q121" s="21">
        <f t="shared" si="22"/>
        <v>118.2</v>
      </c>
      <c r="R121" s="21"/>
      <c r="S121" s="21">
        <f t="array" ref="S121">IF(ROW(S121)&lt;=COUNTA(N:N)*2,IF(MOD(ROW(S121),2)=1,INDEX(N:N,(ROW(S121)+1)/2),INDEX(P:P,ROW(S121)/2)),"")</f>
        <v>-84.45</v>
      </c>
      <c r="T121" s="21">
        <f t="array" ref="T121">IF(ROW(T121)&lt;=COUNTA(O:O)*2,IF(MOD(ROW(T121),2)=1,INDEX(O:O,(ROW(T121)+1)/2),INDEX(Q:Q,ROW(T121)/2)),"")</f>
        <v>117.9</v>
      </c>
      <c r="V121" s="22">
        <f t="shared" si="23"/>
        <v>-234.1</v>
      </c>
      <c r="W121" s="22">
        <f t="shared" si="14"/>
        <v>125.1608</v>
      </c>
      <c r="X121" s="22">
        <f t="shared" si="15"/>
        <v>-236.15</v>
      </c>
      <c r="Y121" s="22">
        <f t="shared" si="16"/>
        <v>125.1608</v>
      </c>
      <c r="Z121" s="22"/>
      <c r="AA121" s="22">
        <f t="array" ref="AA121">IF(ROW(AA121)&lt;=COUNTA(V:V)*2,IF(MOD(ROW(AA121),2)=1,INDEX(V:V,(ROW(AA121)+1)/2),INDEX(X:X,ROW(AA121)/2)),"")</f>
        <v>-84.45</v>
      </c>
      <c r="AB121" s="22">
        <f t="array" ref="AB121">IF(ROW(AB121)&lt;=COUNTA(W:W)*2,IF(MOD(ROW(AB121),2)=1,INDEX(W:W,(ROW(AB121)+1)/2),INDEX(Y:Y,ROW(AB121)/2)),"")</f>
        <v>125.1033</v>
      </c>
    </row>
    <row r="122" spans="1:28" s="2" customFormat="1" x14ac:dyDescent="0.25">
      <c r="A122" s="19"/>
      <c r="B122" s="20"/>
      <c r="C122" s="21"/>
      <c r="D122" s="22"/>
      <c r="F122" s="34">
        <f t="shared" si="17"/>
        <v>-236.15</v>
      </c>
      <c r="G122" s="34">
        <f t="shared" si="18"/>
        <v>112.5</v>
      </c>
      <c r="H122" s="34">
        <f t="shared" si="12"/>
        <v>-238.45</v>
      </c>
      <c r="I122" s="34">
        <f t="shared" si="19"/>
        <v>112.5</v>
      </c>
      <c r="J122" s="20"/>
      <c r="K122" s="34">
        <f t="array" ref="K122">IF(ROW(K122)&lt;=COUNTA(F:F)*2,IF(MOD(ROW(K122),2)=1,INDEX(F:F,(ROW(K122)+1)/2),INDEX(H:H,ROW(K122)/2)),"")</f>
        <v>-85.95</v>
      </c>
      <c r="L122" s="34">
        <f t="array" ref="L122">IF(ROW(L122)&lt;=COUNTA(G:G)*2,IF(MOD(ROW(L122),2)=1,INDEX(G:G,(ROW(L122)+1)/2),INDEX(I:I,ROW(L122)/2)),"")</f>
        <v>112.5</v>
      </c>
      <c r="N122" s="21">
        <f t="shared" si="20"/>
        <v>-236.15</v>
      </c>
      <c r="O122" s="21">
        <f t="shared" si="21"/>
        <v>115.8</v>
      </c>
      <c r="P122" s="21">
        <f t="shared" si="13"/>
        <v>-238.45</v>
      </c>
      <c r="Q122" s="21">
        <f t="shared" si="22"/>
        <v>115.8</v>
      </c>
      <c r="R122" s="21"/>
      <c r="S122" s="21">
        <f t="array" ref="S122">IF(ROW(S122)&lt;=COUNTA(N:N)*2,IF(MOD(ROW(S122),2)=1,INDEX(N:N,(ROW(S122)+1)/2),INDEX(P:P,ROW(S122)/2)),"")</f>
        <v>-85.95</v>
      </c>
      <c r="T122" s="21">
        <f t="array" ref="T122">IF(ROW(T122)&lt;=COUNTA(O:O)*2,IF(MOD(ROW(T122),2)=1,INDEX(O:O,(ROW(T122)+1)/2),INDEX(Q:Q,ROW(T122)/2)),"")</f>
        <v>117.9</v>
      </c>
      <c r="V122" s="22">
        <f t="shared" si="23"/>
        <v>-236.15</v>
      </c>
      <c r="W122" s="22">
        <f t="shared" si="14"/>
        <v>125.381075</v>
      </c>
      <c r="X122" s="22">
        <f t="shared" si="15"/>
        <v>-238.45</v>
      </c>
      <c r="Y122" s="22">
        <f t="shared" si="16"/>
        <v>125.381075</v>
      </c>
      <c r="Z122" s="22"/>
      <c r="AA122" s="22">
        <f t="array" ref="AA122">IF(ROW(AA122)&lt;=COUNTA(V:V)*2,IF(MOD(ROW(AA122),2)=1,INDEX(V:V,(ROW(AA122)+1)/2),INDEX(X:X,ROW(AA122)/2)),"")</f>
        <v>-85.95</v>
      </c>
      <c r="AB122" s="22">
        <f t="array" ref="AB122">IF(ROW(AB122)&lt;=COUNTA(W:W)*2,IF(MOD(ROW(AB122),2)=1,INDEX(W:W,(ROW(AB122)+1)/2),INDEX(Y:Y,ROW(AB122)/2)),"")</f>
        <v>125.1033</v>
      </c>
    </row>
    <row r="123" spans="1:28" s="2" customFormat="1" x14ac:dyDescent="0.25">
      <c r="A123" s="19"/>
      <c r="B123" s="20"/>
      <c r="C123" s="21"/>
      <c r="D123" s="22"/>
      <c r="F123" s="34">
        <f t="shared" si="17"/>
        <v>-238.45</v>
      </c>
      <c r="G123" s="34">
        <f t="shared" si="18"/>
        <v>112.5</v>
      </c>
      <c r="H123" s="34">
        <f t="shared" si="12"/>
        <v>-240.65</v>
      </c>
      <c r="I123" s="34">
        <f t="shared" si="19"/>
        <v>112.5</v>
      </c>
      <c r="J123" s="20"/>
      <c r="K123" s="34">
        <f t="array" ref="K123">IF(ROW(K123)&lt;=COUNTA(F:F)*2,IF(MOD(ROW(K123),2)=1,INDEX(F:F,(ROW(K123)+1)/2),INDEX(H:H,ROW(K123)/2)),"")</f>
        <v>-85.95</v>
      </c>
      <c r="L123" s="34">
        <f t="array" ref="L123">IF(ROW(L123)&lt;=COUNTA(G:G)*2,IF(MOD(ROW(L123),2)=1,INDEX(G:G,(ROW(L123)+1)/2),INDEX(I:I,ROW(L123)/2)),"")</f>
        <v>112.5</v>
      </c>
      <c r="N123" s="21">
        <f t="shared" si="20"/>
        <v>-238.45</v>
      </c>
      <c r="O123" s="21">
        <f t="shared" si="21"/>
        <v>113.9</v>
      </c>
      <c r="P123" s="21">
        <f t="shared" si="13"/>
        <v>-240.65</v>
      </c>
      <c r="Q123" s="21">
        <f t="shared" si="22"/>
        <v>113.9</v>
      </c>
      <c r="R123" s="21"/>
      <c r="S123" s="21">
        <f t="array" ref="S123">IF(ROW(S123)&lt;=COUNTA(N:N)*2,IF(MOD(ROW(S123),2)=1,INDEX(N:N,(ROW(S123)+1)/2),INDEX(P:P,ROW(S123)/2)),"")</f>
        <v>-85.95</v>
      </c>
      <c r="T123" s="21">
        <f t="array" ref="T123">IF(ROW(T123)&lt;=COUNTA(O:O)*2,IF(MOD(ROW(T123),2)=1,INDEX(O:O,(ROW(T123)+1)/2),INDEX(Q:Q,ROW(T123)/2)),"")</f>
        <v>119.5</v>
      </c>
      <c r="V123" s="22">
        <f t="shared" si="23"/>
        <v>-238.45</v>
      </c>
      <c r="W123" s="22">
        <f t="shared" si="14"/>
        <v>125.326325</v>
      </c>
      <c r="X123" s="22">
        <f t="shared" si="15"/>
        <v>-240.65</v>
      </c>
      <c r="Y123" s="22">
        <f t="shared" si="16"/>
        <v>125.326325</v>
      </c>
      <c r="Z123" s="22"/>
      <c r="AA123" s="22">
        <f t="array" ref="AA123">IF(ROW(AA123)&lt;=COUNTA(V:V)*2,IF(MOD(ROW(AA123),2)=1,INDEX(V:V,(ROW(AA123)+1)/2),INDEX(X:X,ROW(AA123)/2)),"")</f>
        <v>-85.95</v>
      </c>
      <c r="AB123" s="22">
        <f t="array" ref="AB123">IF(ROW(AB123)&lt;=COUNTA(W:W)*2,IF(MOD(ROW(AB123),2)=1,INDEX(W:W,(ROW(AB123)+1)/2),INDEX(Y:Y,ROW(AB123)/2)),"")</f>
        <v>125.1033</v>
      </c>
    </row>
    <row r="124" spans="1:28" s="2" customFormat="1" x14ac:dyDescent="0.25">
      <c r="A124" s="19"/>
      <c r="B124" s="20"/>
      <c r="C124" s="21"/>
      <c r="D124" s="22"/>
      <c r="F124" s="34">
        <f t="shared" si="17"/>
        <v>-240.65</v>
      </c>
      <c r="G124" s="34">
        <f t="shared" si="18"/>
        <v>112.5</v>
      </c>
      <c r="H124" s="34">
        <f t="shared" si="12"/>
        <v>-243.45</v>
      </c>
      <c r="I124" s="34">
        <f t="shared" si="19"/>
        <v>112.5</v>
      </c>
      <c r="J124" s="20"/>
      <c r="K124" s="34">
        <f t="array" ref="K124">IF(ROW(K124)&lt;=COUNTA(F:F)*2,IF(MOD(ROW(K124),2)=1,INDEX(F:F,(ROW(K124)+1)/2),INDEX(H:H,ROW(K124)/2)),"")</f>
        <v>-87.45</v>
      </c>
      <c r="L124" s="34">
        <f t="array" ref="L124">IF(ROW(L124)&lt;=COUNTA(G:G)*2,IF(MOD(ROW(L124),2)=1,INDEX(G:G,(ROW(L124)+1)/2),INDEX(I:I,ROW(L124)/2)),"")</f>
        <v>112.5</v>
      </c>
      <c r="N124" s="21">
        <f t="shared" si="20"/>
        <v>-240.65</v>
      </c>
      <c r="O124" s="21">
        <f t="shared" si="21"/>
        <v>120.3</v>
      </c>
      <c r="P124" s="21">
        <f t="shared" si="13"/>
        <v>-243.45</v>
      </c>
      <c r="Q124" s="21">
        <f t="shared" si="22"/>
        <v>120.3</v>
      </c>
      <c r="R124" s="21"/>
      <c r="S124" s="21">
        <f t="array" ref="S124">IF(ROW(S124)&lt;=COUNTA(N:N)*2,IF(MOD(ROW(S124),2)=1,INDEX(N:N,(ROW(S124)+1)/2),INDEX(P:P,ROW(S124)/2)),"")</f>
        <v>-87.45</v>
      </c>
      <c r="T124" s="21">
        <f t="array" ref="T124">IF(ROW(T124)&lt;=COUNTA(O:O)*2,IF(MOD(ROW(T124),2)=1,INDEX(O:O,(ROW(T124)+1)/2),INDEX(Q:Q,ROW(T124)/2)),"")</f>
        <v>119.5</v>
      </c>
      <c r="V124" s="22">
        <f t="shared" si="23"/>
        <v>-240.65</v>
      </c>
      <c r="W124" s="22">
        <f t="shared" si="14"/>
        <v>125.1514</v>
      </c>
      <c r="X124" s="22">
        <f t="shared" si="15"/>
        <v>-243.45</v>
      </c>
      <c r="Y124" s="22">
        <f t="shared" si="16"/>
        <v>125.1514</v>
      </c>
      <c r="Z124" s="22"/>
      <c r="AA124" s="22">
        <f t="array" ref="AA124">IF(ROW(AA124)&lt;=COUNTA(V:V)*2,IF(MOD(ROW(AA124),2)=1,INDEX(V:V,(ROW(AA124)+1)/2),INDEX(X:X,ROW(AA124)/2)),"")</f>
        <v>-87.45</v>
      </c>
      <c r="AB124" s="22">
        <f t="array" ref="AB124">IF(ROW(AB124)&lt;=COUNTA(W:W)*2,IF(MOD(ROW(AB124),2)=1,INDEX(W:W,(ROW(AB124)+1)/2),INDEX(Y:Y,ROW(AB124)/2)),"")</f>
        <v>125.1033</v>
      </c>
    </row>
    <row r="125" spans="1:28" s="2" customFormat="1" x14ac:dyDescent="0.25">
      <c r="A125" s="19"/>
      <c r="B125" s="20"/>
      <c r="C125" s="21"/>
      <c r="D125" s="22"/>
      <c r="F125" s="34">
        <f t="shared" si="17"/>
        <v>-243.45</v>
      </c>
      <c r="G125" s="34">
        <f t="shared" si="18"/>
        <v>112.5</v>
      </c>
      <c r="H125" s="34">
        <f t="shared" si="12"/>
        <v>-244.95</v>
      </c>
      <c r="I125" s="34">
        <f t="shared" si="19"/>
        <v>112.5</v>
      </c>
      <c r="J125" s="20"/>
      <c r="K125" s="34">
        <f t="array" ref="K125">IF(ROW(K125)&lt;=COUNTA(F:F)*2,IF(MOD(ROW(K125),2)=1,INDEX(F:F,(ROW(K125)+1)/2),INDEX(H:H,ROW(K125)/2)),"")</f>
        <v>-87.45</v>
      </c>
      <c r="L125" s="34">
        <f t="array" ref="L125">IF(ROW(L125)&lt;=COUNTA(G:G)*2,IF(MOD(ROW(L125),2)=1,INDEX(G:G,(ROW(L125)+1)/2),INDEX(I:I,ROW(L125)/2)),"")</f>
        <v>112.5</v>
      </c>
      <c r="N125" s="21">
        <f t="shared" si="20"/>
        <v>-243.45</v>
      </c>
      <c r="O125" s="21">
        <f t="shared" si="21"/>
        <v>117.2</v>
      </c>
      <c r="P125" s="21">
        <f t="shared" si="13"/>
        <v>-244.95</v>
      </c>
      <c r="Q125" s="21">
        <f t="shared" si="22"/>
        <v>117.2</v>
      </c>
      <c r="R125" s="21"/>
      <c r="S125" s="21">
        <f t="array" ref="S125">IF(ROW(S125)&lt;=COUNTA(N:N)*2,IF(MOD(ROW(S125),2)=1,INDEX(N:N,(ROW(S125)+1)/2),INDEX(P:P,ROW(S125)/2)),"")</f>
        <v>-87.45</v>
      </c>
      <c r="T125" s="21">
        <f t="array" ref="T125">IF(ROW(T125)&lt;=COUNTA(O:O)*2,IF(MOD(ROW(T125),2)=1,INDEX(O:O,(ROW(T125)+1)/2),INDEX(Q:Q,ROW(T125)/2)),"")</f>
        <v>116.9</v>
      </c>
      <c r="V125" s="22">
        <f t="shared" si="23"/>
        <v>-243.45</v>
      </c>
      <c r="W125" s="22">
        <f t="shared" si="14"/>
        <v>125.246925</v>
      </c>
      <c r="X125" s="22">
        <f t="shared" si="15"/>
        <v>-244.95</v>
      </c>
      <c r="Y125" s="22">
        <f t="shared" si="16"/>
        <v>125.246925</v>
      </c>
      <c r="Z125" s="22"/>
      <c r="AA125" s="22">
        <f t="array" ref="AA125">IF(ROW(AA125)&lt;=COUNTA(V:V)*2,IF(MOD(ROW(AA125),2)=1,INDEX(V:V,(ROW(AA125)+1)/2),INDEX(X:X,ROW(AA125)/2)),"")</f>
        <v>-87.45</v>
      </c>
      <c r="AB125" s="22">
        <f t="array" ref="AB125">IF(ROW(AB125)&lt;=COUNTA(W:W)*2,IF(MOD(ROW(AB125),2)=1,INDEX(W:W,(ROW(AB125)+1)/2),INDEX(Y:Y,ROW(AB125)/2)),"")</f>
        <v>125.1033</v>
      </c>
    </row>
    <row r="126" spans="1:28" s="2" customFormat="1" x14ac:dyDescent="0.25">
      <c r="A126" s="19"/>
      <c r="B126" s="20"/>
      <c r="C126" s="21"/>
      <c r="D126" s="22"/>
      <c r="F126" s="34">
        <f t="shared" si="17"/>
        <v>-244.95</v>
      </c>
      <c r="G126" s="34">
        <f t="shared" si="18"/>
        <v>112.5</v>
      </c>
      <c r="H126" s="34">
        <f t="shared" si="12"/>
        <v>-247.95</v>
      </c>
      <c r="I126" s="34">
        <f t="shared" si="19"/>
        <v>112.5</v>
      </c>
      <c r="J126" s="20"/>
      <c r="K126" s="34">
        <f t="array" ref="K126">IF(ROW(K126)&lt;=COUNTA(F:F)*2,IF(MOD(ROW(K126),2)=1,INDEX(F:F,(ROW(K126)+1)/2),INDEX(H:H,ROW(K126)/2)),"")</f>
        <v>-88.95</v>
      </c>
      <c r="L126" s="34">
        <f t="array" ref="L126">IF(ROW(L126)&lt;=COUNTA(G:G)*2,IF(MOD(ROW(L126),2)=1,INDEX(G:G,(ROW(L126)+1)/2),INDEX(I:I,ROW(L126)/2)),"")</f>
        <v>112.5</v>
      </c>
      <c r="N126" s="21">
        <f t="shared" si="20"/>
        <v>-244.95</v>
      </c>
      <c r="O126" s="21">
        <f t="shared" si="21"/>
        <v>117.6</v>
      </c>
      <c r="P126" s="21">
        <f t="shared" si="13"/>
        <v>-247.95</v>
      </c>
      <c r="Q126" s="21">
        <f t="shared" si="22"/>
        <v>117.6</v>
      </c>
      <c r="R126" s="21"/>
      <c r="S126" s="21">
        <f t="array" ref="S126">IF(ROW(S126)&lt;=COUNTA(N:N)*2,IF(MOD(ROW(S126),2)=1,INDEX(N:N,(ROW(S126)+1)/2),INDEX(P:P,ROW(S126)/2)),"")</f>
        <v>-88.95</v>
      </c>
      <c r="T126" s="21">
        <f t="array" ref="T126">IF(ROW(T126)&lt;=COUNTA(O:O)*2,IF(MOD(ROW(T126),2)=1,INDEX(O:O,(ROW(T126)+1)/2),INDEX(Q:Q,ROW(T126)/2)),"")</f>
        <v>116.9</v>
      </c>
      <c r="V126" s="22">
        <f t="shared" si="23"/>
        <v>-244.95</v>
      </c>
      <c r="W126" s="22">
        <f t="shared" si="14"/>
        <v>125.2741</v>
      </c>
      <c r="X126" s="22">
        <f t="shared" si="15"/>
        <v>-247.95</v>
      </c>
      <c r="Y126" s="22">
        <f t="shared" si="16"/>
        <v>125.2741</v>
      </c>
      <c r="Z126" s="22"/>
      <c r="AA126" s="22">
        <f t="array" ref="AA126">IF(ROW(AA126)&lt;=COUNTA(V:V)*2,IF(MOD(ROW(AA126),2)=1,INDEX(V:V,(ROW(AA126)+1)/2),INDEX(X:X,ROW(AA126)/2)),"")</f>
        <v>-88.95</v>
      </c>
      <c r="AB126" s="22">
        <f t="array" ref="AB126">IF(ROW(AB126)&lt;=COUNTA(W:W)*2,IF(MOD(ROW(AB126),2)=1,INDEX(W:W,(ROW(AB126)+1)/2),INDEX(Y:Y,ROW(AB126)/2)),"")</f>
        <v>125.1033</v>
      </c>
    </row>
    <row r="127" spans="1:28" s="2" customFormat="1" x14ac:dyDescent="0.25">
      <c r="A127" s="19"/>
      <c r="B127" s="20"/>
      <c r="C127" s="21"/>
      <c r="D127" s="22"/>
      <c r="F127" s="34">
        <f t="shared" si="17"/>
        <v>-247.95</v>
      </c>
      <c r="G127" s="34">
        <f t="shared" si="18"/>
        <v>112.5</v>
      </c>
      <c r="H127" s="34">
        <f t="shared" si="12"/>
        <v>-250.95</v>
      </c>
      <c r="I127" s="34">
        <f t="shared" si="19"/>
        <v>112.5</v>
      </c>
      <c r="J127" s="20"/>
      <c r="K127" s="34">
        <f t="array" ref="K127">IF(ROW(K127)&lt;=COUNTA(F:F)*2,IF(MOD(ROW(K127),2)=1,INDEX(F:F,(ROW(K127)+1)/2),INDEX(H:H,ROW(K127)/2)),"")</f>
        <v>-88.95</v>
      </c>
      <c r="L127" s="34">
        <f t="array" ref="L127">IF(ROW(L127)&lt;=COUNTA(G:G)*2,IF(MOD(ROW(L127),2)=1,INDEX(G:G,(ROW(L127)+1)/2),INDEX(I:I,ROW(L127)/2)),"")</f>
        <v>112.5</v>
      </c>
      <c r="N127" s="21">
        <f t="shared" si="20"/>
        <v>-247.95</v>
      </c>
      <c r="O127" s="21">
        <f t="shared" si="21"/>
        <v>114.9</v>
      </c>
      <c r="P127" s="21">
        <f t="shared" si="13"/>
        <v>-250.95</v>
      </c>
      <c r="Q127" s="21">
        <f t="shared" si="22"/>
        <v>114.9</v>
      </c>
      <c r="R127" s="21"/>
      <c r="S127" s="21">
        <f t="array" ref="S127">IF(ROW(S127)&lt;=COUNTA(N:N)*2,IF(MOD(ROW(S127),2)=1,INDEX(N:N,(ROW(S127)+1)/2),INDEX(P:P,ROW(S127)/2)),"")</f>
        <v>-88.95</v>
      </c>
      <c r="T127" s="21">
        <f t="array" ref="T127">IF(ROW(T127)&lt;=COUNTA(O:O)*2,IF(MOD(ROW(T127),2)=1,INDEX(O:O,(ROW(T127)+1)/2),INDEX(Q:Q,ROW(T127)/2)),"")</f>
        <v>118.8</v>
      </c>
      <c r="V127" s="22">
        <f t="shared" si="23"/>
        <v>-247.95</v>
      </c>
      <c r="W127" s="22">
        <f t="shared" si="14"/>
        <v>124.94975</v>
      </c>
      <c r="X127" s="22">
        <f t="shared" si="15"/>
        <v>-250.95</v>
      </c>
      <c r="Y127" s="22">
        <f t="shared" si="16"/>
        <v>124.94975</v>
      </c>
      <c r="Z127" s="22"/>
      <c r="AA127" s="22">
        <f t="array" ref="AA127">IF(ROW(AA127)&lt;=COUNTA(V:V)*2,IF(MOD(ROW(AA127),2)=1,INDEX(V:V,(ROW(AA127)+1)/2),INDEX(X:X,ROW(AA127)/2)),"")</f>
        <v>-88.95</v>
      </c>
      <c r="AB127" s="22">
        <f t="array" ref="AB127">IF(ROW(AB127)&lt;=COUNTA(W:W)*2,IF(MOD(ROW(AB127),2)=1,INDEX(W:W,(ROW(AB127)+1)/2),INDEX(Y:Y,ROW(AB127)/2)),"")</f>
        <v>125.103275</v>
      </c>
    </row>
    <row r="128" spans="1:28" s="2" customFormat="1" x14ac:dyDescent="0.25">
      <c r="A128" s="19"/>
      <c r="B128" s="20"/>
      <c r="C128" s="21"/>
      <c r="D128" s="22"/>
      <c r="F128" s="34">
        <f t="shared" si="17"/>
        <v>-250.95</v>
      </c>
      <c r="G128" s="34">
        <f t="shared" si="18"/>
        <v>112.5</v>
      </c>
      <c r="H128" s="34">
        <f t="shared" si="12"/>
        <v>-253.85</v>
      </c>
      <c r="I128" s="34">
        <f t="shared" si="19"/>
        <v>112.5</v>
      </c>
      <c r="J128" s="20"/>
      <c r="K128" s="34">
        <f t="array" ref="K128">IF(ROW(K128)&lt;=COUNTA(F:F)*2,IF(MOD(ROW(K128),2)=1,INDEX(F:F,(ROW(K128)+1)/2),INDEX(H:H,ROW(K128)/2)),"")</f>
        <v>-90.45</v>
      </c>
      <c r="L128" s="34">
        <f t="array" ref="L128">IF(ROW(L128)&lt;=COUNTA(G:G)*2,IF(MOD(ROW(L128),2)=1,INDEX(G:G,(ROW(L128)+1)/2),INDEX(I:I,ROW(L128)/2)),"")</f>
        <v>112.5</v>
      </c>
      <c r="N128" s="21">
        <f t="shared" si="20"/>
        <v>-250.95</v>
      </c>
      <c r="O128" s="21">
        <f t="shared" si="21"/>
        <v>113.2</v>
      </c>
      <c r="P128" s="21">
        <f t="shared" si="13"/>
        <v>-253.85</v>
      </c>
      <c r="Q128" s="21">
        <f t="shared" si="22"/>
        <v>113.2</v>
      </c>
      <c r="R128" s="21"/>
      <c r="S128" s="21">
        <f t="array" ref="S128">IF(ROW(S128)&lt;=COUNTA(N:N)*2,IF(MOD(ROW(S128),2)=1,INDEX(N:N,(ROW(S128)+1)/2),INDEX(P:P,ROW(S128)/2)),"")</f>
        <v>-90.45</v>
      </c>
      <c r="T128" s="21">
        <f t="array" ref="T128">IF(ROW(T128)&lt;=COUNTA(O:O)*2,IF(MOD(ROW(T128),2)=1,INDEX(O:O,(ROW(T128)+1)/2),INDEX(Q:Q,ROW(T128)/2)),"")</f>
        <v>118.8</v>
      </c>
      <c r="V128" s="22">
        <f t="shared" si="23"/>
        <v>-250.95</v>
      </c>
      <c r="W128" s="22">
        <f t="shared" si="14"/>
        <v>124.858475</v>
      </c>
      <c r="X128" s="22">
        <f t="shared" si="15"/>
        <v>-253.85</v>
      </c>
      <c r="Y128" s="22">
        <f t="shared" si="16"/>
        <v>124.858475</v>
      </c>
      <c r="Z128" s="22"/>
      <c r="AA128" s="22">
        <f t="array" ref="AA128">IF(ROW(AA128)&lt;=COUNTA(V:V)*2,IF(MOD(ROW(AA128),2)=1,INDEX(V:V,(ROW(AA128)+1)/2),INDEX(X:X,ROW(AA128)/2)),"")</f>
        <v>-90.45</v>
      </c>
      <c r="AB128" s="22">
        <f t="array" ref="AB128">IF(ROW(AB128)&lt;=COUNTA(W:W)*2,IF(MOD(ROW(AB128),2)=1,INDEX(W:W,(ROW(AB128)+1)/2),INDEX(Y:Y,ROW(AB128)/2)),"")</f>
        <v>125.103275</v>
      </c>
    </row>
    <row r="129" spans="1:28" s="2" customFormat="1" x14ac:dyDescent="0.25">
      <c r="A129" s="19"/>
      <c r="B129" s="20"/>
      <c r="C129" s="21"/>
      <c r="D129" s="22"/>
      <c r="F129" s="34">
        <f t="shared" si="17"/>
        <v>-253.85</v>
      </c>
      <c r="G129" s="34">
        <f t="shared" si="18"/>
        <v>112.4</v>
      </c>
      <c r="H129" s="34">
        <f t="shared" si="12"/>
        <v>-256.75</v>
      </c>
      <c r="I129" s="34">
        <f t="shared" si="19"/>
        <v>112.4</v>
      </c>
      <c r="J129" s="20"/>
      <c r="K129" s="34">
        <f t="array" ref="K129">IF(ROW(K129)&lt;=COUNTA(F:F)*2,IF(MOD(ROW(K129),2)=1,INDEX(F:F,(ROW(K129)+1)/2),INDEX(H:H,ROW(K129)/2)),"")</f>
        <v>-90.45</v>
      </c>
      <c r="L129" s="34">
        <f t="array" ref="L129">IF(ROW(L129)&lt;=COUNTA(G:G)*2,IF(MOD(ROW(L129),2)=1,INDEX(G:G,(ROW(L129)+1)/2),INDEX(I:I,ROW(L129)/2)),"")</f>
        <v>112.5</v>
      </c>
      <c r="N129" s="21">
        <f t="shared" si="20"/>
        <v>-253.85</v>
      </c>
      <c r="O129" s="21">
        <f t="shared" si="21"/>
        <v>117</v>
      </c>
      <c r="P129" s="21">
        <f t="shared" si="13"/>
        <v>-256.75</v>
      </c>
      <c r="Q129" s="21">
        <f t="shared" si="22"/>
        <v>117</v>
      </c>
      <c r="R129" s="21"/>
      <c r="S129" s="21">
        <f t="array" ref="S129">IF(ROW(S129)&lt;=COUNTA(N:N)*2,IF(MOD(ROW(S129),2)=1,INDEX(N:N,(ROW(S129)+1)/2),INDEX(P:P,ROW(S129)/2)),"")</f>
        <v>-90.45</v>
      </c>
      <c r="T129" s="21">
        <f t="array" ref="T129">IF(ROW(T129)&lt;=COUNTA(O:O)*2,IF(MOD(ROW(T129),2)=1,INDEX(O:O,(ROW(T129)+1)/2),INDEX(Q:Q,ROW(T129)/2)),"")</f>
        <v>119.2</v>
      </c>
      <c r="V129" s="22">
        <f t="shared" si="23"/>
        <v>-253.85</v>
      </c>
      <c r="W129" s="22">
        <f t="shared" si="14"/>
        <v>125.2735</v>
      </c>
      <c r="X129" s="22">
        <f t="shared" si="15"/>
        <v>-256.75</v>
      </c>
      <c r="Y129" s="22">
        <f t="shared" si="16"/>
        <v>125.2735</v>
      </c>
      <c r="Z129" s="22"/>
      <c r="AA129" s="22">
        <f t="array" ref="AA129">IF(ROW(AA129)&lt;=COUNTA(V:V)*2,IF(MOD(ROW(AA129),2)=1,INDEX(V:V,(ROW(AA129)+1)/2),INDEX(X:X,ROW(AA129)/2)),"")</f>
        <v>-90.45</v>
      </c>
      <c r="AB129" s="22">
        <f t="array" ref="AB129">IF(ROW(AB129)&lt;=COUNTA(W:W)*2,IF(MOD(ROW(AB129),2)=1,INDEX(W:W,(ROW(AB129)+1)/2),INDEX(Y:Y,ROW(AB129)/2)),"")</f>
        <v>125.0511</v>
      </c>
    </row>
    <row r="130" spans="1:28" s="2" customFormat="1" x14ac:dyDescent="0.25">
      <c r="A130" s="19"/>
      <c r="B130" s="20"/>
      <c r="C130" s="21"/>
      <c r="D130" s="22"/>
      <c r="F130" s="34">
        <f t="shared" si="17"/>
        <v>-256.75</v>
      </c>
      <c r="G130" s="34">
        <f t="shared" si="18"/>
        <v>112.3</v>
      </c>
      <c r="H130" s="34">
        <f t="shared" si="12"/>
        <v>-259.75</v>
      </c>
      <c r="I130" s="34">
        <f t="shared" si="19"/>
        <v>112.3</v>
      </c>
      <c r="J130" s="20"/>
      <c r="K130" s="34">
        <f t="array" ref="K130">IF(ROW(K130)&lt;=COUNTA(F:F)*2,IF(MOD(ROW(K130),2)=1,INDEX(F:F,(ROW(K130)+1)/2),INDEX(H:H,ROW(K130)/2)),"")</f>
        <v>-91.95</v>
      </c>
      <c r="L130" s="34">
        <f t="array" ref="L130">IF(ROW(L130)&lt;=COUNTA(G:G)*2,IF(MOD(ROW(L130),2)=1,INDEX(G:G,(ROW(L130)+1)/2),INDEX(I:I,ROW(L130)/2)),"")</f>
        <v>112.5</v>
      </c>
      <c r="N130" s="21">
        <f t="shared" si="20"/>
        <v>-256.75</v>
      </c>
      <c r="O130" s="21">
        <f t="shared" si="21"/>
        <v>115.4</v>
      </c>
      <c r="P130" s="21">
        <f t="shared" si="13"/>
        <v>-259.75</v>
      </c>
      <c r="Q130" s="21">
        <f t="shared" si="22"/>
        <v>115.4</v>
      </c>
      <c r="R130" s="21"/>
      <c r="S130" s="21">
        <f t="array" ref="S130">IF(ROW(S130)&lt;=COUNTA(N:N)*2,IF(MOD(ROW(S130),2)=1,INDEX(N:N,(ROW(S130)+1)/2),INDEX(P:P,ROW(S130)/2)),"")</f>
        <v>-91.95</v>
      </c>
      <c r="T130" s="21">
        <f t="array" ref="T130">IF(ROW(T130)&lt;=COUNTA(O:O)*2,IF(MOD(ROW(T130),2)=1,INDEX(O:O,(ROW(T130)+1)/2),INDEX(Q:Q,ROW(T130)/2)),"")</f>
        <v>119.2</v>
      </c>
      <c r="V130" s="22">
        <f t="shared" si="23"/>
        <v>-256.75</v>
      </c>
      <c r="W130" s="22">
        <f t="shared" si="14"/>
        <v>125.2735</v>
      </c>
      <c r="X130" s="22">
        <f t="shared" si="15"/>
        <v>-259.75</v>
      </c>
      <c r="Y130" s="22">
        <f t="shared" si="16"/>
        <v>125.2735</v>
      </c>
      <c r="Z130" s="22"/>
      <c r="AA130" s="22">
        <f t="array" ref="AA130">IF(ROW(AA130)&lt;=COUNTA(V:V)*2,IF(MOD(ROW(AA130),2)=1,INDEX(V:V,(ROW(AA130)+1)/2),INDEX(X:X,ROW(AA130)/2)),"")</f>
        <v>-91.95</v>
      </c>
      <c r="AB130" s="22">
        <f t="array" ref="AB130">IF(ROW(AB130)&lt;=COUNTA(W:W)*2,IF(MOD(ROW(AB130),2)=1,INDEX(W:W,(ROW(AB130)+1)/2),INDEX(Y:Y,ROW(AB130)/2)),"")</f>
        <v>125.0511</v>
      </c>
    </row>
    <row r="131" spans="1:28" s="2" customFormat="1" x14ac:dyDescent="0.25">
      <c r="A131" s="19"/>
      <c r="B131" s="20"/>
      <c r="C131" s="21"/>
      <c r="D131" s="22"/>
      <c r="F131" s="34">
        <f t="shared" si="17"/>
        <v>-259.75</v>
      </c>
      <c r="G131" s="34">
        <f t="shared" si="18"/>
        <v>112.2</v>
      </c>
      <c r="H131" s="34">
        <f t="shared" ref="H131:H194" si="24">0-A131</f>
        <v>-262.65</v>
      </c>
      <c r="I131" s="34">
        <f t="shared" si="19"/>
        <v>112.2</v>
      </c>
      <c r="J131" s="20"/>
      <c r="K131" s="34">
        <f t="array" ref="K131">IF(ROW(K131)&lt;=COUNTA(F:F)*2,IF(MOD(ROW(K131),2)=1,INDEX(F:F,(ROW(K131)+1)/2),INDEX(H:H,ROW(K131)/2)),"")</f>
        <v>-91.95</v>
      </c>
      <c r="L131" s="34">
        <f t="array" ref="L131">IF(ROW(L131)&lt;=COUNTA(G:G)*2,IF(MOD(ROW(L131),2)=1,INDEX(G:G,(ROW(L131)+1)/2),INDEX(I:I,ROW(L131)/2)),"")</f>
        <v>112.3</v>
      </c>
      <c r="N131" s="21">
        <f t="shared" si="20"/>
        <v>-259.75</v>
      </c>
      <c r="O131" s="21">
        <f t="shared" si="21"/>
        <v>112.9</v>
      </c>
      <c r="P131" s="21">
        <f t="shared" ref="P131:P194" si="25">0-A131</f>
        <v>-262.65</v>
      </c>
      <c r="Q131" s="21">
        <f t="shared" si="22"/>
        <v>112.9</v>
      </c>
      <c r="R131" s="21"/>
      <c r="S131" s="21">
        <f t="array" ref="S131">IF(ROW(S131)&lt;=COUNTA(N:N)*2,IF(MOD(ROW(S131),2)=1,INDEX(N:N,(ROW(S131)+1)/2),INDEX(P:P,ROW(S131)/2)),"")</f>
        <v>-91.95</v>
      </c>
      <c r="T131" s="21">
        <f t="array" ref="T131">IF(ROW(T131)&lt;=COUNTA(O:O)*2,IF(MOD(ROW(T131),2)=1,INDEX(O:O,(ROW(T131)+1)/2),INDEX(Q:Q,ROW(T131)/2)),"")</f>
        <v>121.2</v>
      </c>
      <c r="V131" s="22">
        <f t="shared" si="23"/>
        <v>-259.75</v>
      </c>
      <c r="W131" s="22">
        <f t="shared" ref="W131:W194" si="26">(49+(D131)*4/4)*2.5</f>
        <v>125.701225</v>
      </c>
      <c r="X131" s="22">
        <f t="shared" ref="X131:X194" si="27">0-A131</f>
        <v>-262.65</v>
      </c>
      <c r="Y131" s="22">
        <f t="shared" ref="Y131:Y194" si="28">(49+(D131)*4/4)*2.5</f>
        <v>125.701225</v>
      </c>
      <c r="Z131" s="22"/>
      <c r="AA131" s="22">
        <f t="array" ref="AA131">IF(ROW(AA131)&lt;=COUNTA(V:V)*2,IF(MOD(ROW(AA131),2)=1,INDEX(V:V,(ROW(AA131)+1)/2),INDEX(X:X,ROW(AA131)/2)),"")</f>
        <v>-91.95</v>
      </c>
      <c r="AB131" s="22">
        <f t="array" ref="AB131">IF(ROW(AB131)&lt;=COUNTA(W:W)*2,IF(MOD(ROW(AB131),2)=1,INDEX(W:W,(ROW(AB131)+1)/2),INDEX(Y:Y,ROW(AB131)/2)),"")</f>
        <v>125.0511</v>
      </c>
    </row>
    <row r="132" spans="1:28" s="2" customFormat="1" x14ac:dyDescent="0.25">
      <c r="A132" s="19"/>
      <c r="B132" s="20"/>
      <c r="C132" s="21"/>
      <c r="D132" s="22"/>
      <c r="F132" s="34">
        <f t="shared" ref="F132:F195" si="29">0-A131</f>
        <v>-262.65</v>
      </c>
      <c r="G132" s="34">
        <f t="shared" ref="G132:G195" si="30">(41+(B132/100)*4)*2.5</f>
        <v>112.5</v>
      </c>
      <c r="H132" s="34">
        <f t="shared" si="24"/>
        <v>-265.45</v>
      </c>
      <c r="I132" s="34">
        <f t="shared" ref="I132:I195" si="31">(41+(B132/100)*4)*2.5</f>
        <v>112.5</v>
      </c>
      <c r="J132" s="20"/>
      <c r="K132" s="34">
        <f t="array" ref="K132">IF(ROW(K132)&lt;=COUNTA(F:F)*2,IF(MOD(ROW(K132),2)=1,INDEX(F:F,(ROW(K132)+1)/2),INDEX(H:H,ROW(K132)/2)),"")</f>
        <v>-93.45</v>
      </c>
      <c r="L132" s="34">
        <f t="array" ref="L132">IF(ROW(L132)&lt;=COUNTA(G:G)*2,IF(MOD(ROW(L132),2)=1,INDEX(G:G,(ROW(L132)+1)/2),INDEX(I:I,ROW(L132)/2)),"")</f>
        <v>112.3</v>
      </c>
      <c r="N132" s="21">
        <f t="shared" ref="N132:N195" si="32">0-A131</f>
        <v>-262.65</v>
      </c>
      <c r="O132" s="21">
        <f t="shared" ref="O132:O195" si="33">(45+(C132/100)*4)*2.5</f>
        <v>113</v>
      </c>
      <c r="P132" s="21">
        <f t="shared" si="25"/>
        <v>-265.45</v>
      </c>
      <c r="Q132" s="21">
        <f t="shared" ref="Q132:Q195" si="34">(45+(C132/100)*4)*2.5</f>
        <v>113</v>
      </c>
      <c r="R132" s="21"/>
      <c r="S132" s="21">
        <f t="array" ref="S132">IF(ROW(S132)&lt;=COUNTA(N:N)*2,IF(MOD(ROW(S132),2)=1,INDEX(N:N,(ROW(S132)+1)/2),INDEX(P:P,ROW(S132)/2)),"")</f>
        <v>-93.45</v>
      </c>
      <c r="T132" s="21">
        <f t="array" ref="T132">IF(ROW(T132)&lt;=COUNTA(O:O)*2,IF(MOD(ROW(T132),2)=1,INDEX(O:O,(ROW(T132)+1)/2),INDEX(Q:Q,ROW(T132)/2)),"")</f>
        <v>121.2</v>
      </c>
      <c r="V132" s="22">
        <f t="shared" ref="V132:V195" si="35">0-A131</f>
        <v>-262.65</v>
      </c>
      <c r="W132" s="22">
        <f t="shared" si="26"/>
        <v>125.385525</v>
      </c>
      <c r="X132" s="22">
        <f t="shared" si="27"/>
        <v>-265.45</v>
      </c>
      <c r="Y132" s="22">
        <f t="shared" si="28"/>
        <v>125.385525</v>
      </c>
      <c r="Z132" s="22"/>
      <c r="AA132" s="22">
        <f t="array" ref="AA132">IF(ROW(AA132)&lt;=COUNTA(V:V)*2,IF(MOD(ROW(AA132),2)=1,INDEX(V:V,(ROW(AA132)+1)/2),INDEX(X:X,ROW(AA132)/2)),"")</f>
        <v>-93.45</v>
      </c>
      <c r="AB132" s="22">
        <f t="array" ref="AB132">IF(ROW(AB132)&lt;=COUNTA(W:W)*2,IF(MOD(ROW(AB132),2)=1,INDEX(W:W,(ROW(AB132)+1)/2),INDEX(Y:Y,ROW(AB132)/2)),"")</f>
        <v>125.0511</v>
      </c>
    </row>
    <row r="133" spans="1:28" s="2" customFormat="1" x14ac:dyDescent="0.25">
      <c r="A133" s="19"/>
      <c r="B133" s="20"/>
      <c r="C133" s="21"/>
      <c r="D133" s="22"/>
      <c r="F133" s="34">
        <f t="shared" si="29"/>
        <v>-265.45</v>
      </c>
      <c r="G133" s="34">
        <f t="shared" si="30"/>
        <v>112.4</v>
      </c>
      <c r="H133" s="34">
        <f t="shared" si="24"/>
        <v>-267.45</v>
      </c>
      <c r="I133" s="34">
        <f t="shared" si="31"/>
        <v>112.4</v>
      </c>
      <c r="J133" s="20"/>
      <c r="K133" s="34">
        <f t="array" ref="K133">IF(ROW(K133)&lt;=COUNTA(F:F)*2,IF(MOD(ROW(K133),2)=1,INDEX(F:F,(ROW(K133)+1)/2),INDEX(H:H,ROW(K133)/2)),"")</f>
        <v>-93.45</v>
      </c>
      <c r="L133" s="34">
        <f t="array" ref="L133">IF(ROW(L133)&lt;=COUNTA(G:G)*2,IF(MOD(ROW(L133),2)=1,INDEX(G:G,(ROW(L133)+1)/2),INDEX(I:I,ROW(L133)/2)),"")</f>
        <v>112.4</v>
      </c>
      <c r="N133" s="21">
        <f t="shared" si="32"/>
        <v>-265.45</v>
      </c>
      <c r="O133" s="21">
        <f t="shared" si="33"/>
        <v>114.7</v>
      </c>
      <c r="P133" s="21">
        <f t="shared" si="25"/>
        <v>-267.45</v>
      </c>
      <c r="Q133" s="21">
        <f t="shared" si="34"/>
        <v>114.7</v>
      </c>
      <c r="R133" s="21"/>
      <c r="S133" s="21">
        <f t="array" ref="S133">IF(ROW(S133)&lt;=COUNTA(N:N)*2,IF(MOD(ROW(S133),2)=1,INDEX(N:N,(ROW(S133)+1)/2),INDEX(P:P,ROW(S133)/2)),"")</f>
        <v>-93.45</v>
      </c>
      <c r="T133" s="21">
        <f t="array" ref="T133">IF(ROW(T133)&lt;=COUNTA(O:O)*2,IF(MOD(ROW(T133),2)=1,INDEX(O:O,(ROW(T133)+1)/2),INDEX(Q:Q,ROW(T133)/2)),"")</f>
        <v>122</v>
      </c>
      <c r="V133" s="22">
        <f t="shared" si="35"/>
        <v>-265.45</v>
      </c>
      <c r="W133" s="22">
        <f t="shared" si="26"/>
        <v>125.43845</v>
      </c>
      <c r="X133" s="22">
        <f t="shared" si="27"/>
        <v>-267.45</v>
      </c>
      <c r="Y133" s="22">
        <f t="shared" si="28"/>
        <v>125.43845</v>
      </c>
      <c r="Z133" s="22"/>
      <c r="AA133" s="22">
        <f t="array" ref="AA133">IF(ROW(AA133)&lt;=COUNTA(V:V)*2,IF(MOD(ROW(AA133),2)=1,INDEX(V:V,(ROW(AA133)+1)/2),INDEX(X:X,ROW(AA133)/2)),"")</f>
        <v>-93.45</v>
      </c>
      <c r="AB133" s="22">
        <f t="array" ref="AB133">IF(ROW(AB133)&lt;=COUNTA(W:W)*2,IF(MOD(ROW(AB133),2)=1,INDEX(W:W,(ROW(AB133)+1)/2),INDEX(Y:Y,ROW(AB133)/2)),"")</f>
        <v>125.05095</v>
      </c>
    </row>
    <row r="134" spans="1:28" s="2" customFormat="1" x14ac:dyDescent="0.25">
      <c r="A134" s="19"/>
      <c r="B134" s="20"/>
      <c r="C134" s="21"/>
      <c r="D134" s="22"/>
      <c r="F134" s="34">
        <f t="shared" si="29"/>
        <v>-267.45</v>
      </c>
      <c r="G134" s="34">
        <f t="shared" si="30"/>
        <v>112.5</v>
      </c>
      <c r="H134" s="34">
        <f t="shared" si="24"/>
        <v>-268.95</v>
      </c>
      <c r="I134" s="34">
        <f t="shared" si="31"/>
        <v>112.5</v>
      </c>
      <c r="J134" s="20"/>
      <c r="K134" s="34">
        <f t="array" ref="K134">IF(ROW(K134)&lt;=COUNTA(F:F)*2,IF(MOD(ROW(K134),2)=1,INDEX(F:F,(ROW(K134)+1)/2),INDEX(H:H,ROW(K134)/2)),"")</f>
        <v>-94.95</v>
      </c>
      <c r="L134" s="34">
        <f t="array" ref="L134">IF(ROW(L134)&lt;=COUNTA(G:G)*2,IF(MOD(ROW(L134),2)=1,INDEX(G:G,(ROW(L134)+1)/2),INDEX(I:I,ROW(L134)/2)),"")</f>
        <v>112.4</v>
      </c>
      <c r="N134" s="21">
        <f t="shared" si="32"/>
        <v>-267.45</v>
      </c>
      <c r="O134" s="21">
        <f t="shared" si="33"/>
        <v>122</v>
      </c>
      <c r="P134" s="21">
        <f t="shared" si="25"/>
        <v>-268.95</v>
      </c>
      <c r="Q134" s="21">
        <f t="shared" si="34"/>
        <v>122</v>
      </c>
      <c r="R134" s="21"/>
      <c r="S134" s="21">
        <f t="array" ref="S134">IF(ROW(S134)&lt;=COUNTA(N:N)*2,IF(MOD(ROW(S134),2)=1,INDEX(N:N,(ROW(S134)+1)/2),INDEX(P:P,ROW(S134)/2)),"")</f>
        <v>-94.95</v>
      </c>
      <c r="T134" s="21">
        <f t="array" ref="T134">IF(ROW(T134)&lt;=COUNTA(O:O)*2,IF(MOD(ROW(T134),2)=1,INDEX(O:O,(ROW(T134)+1)/2),INDEX(Q:Q,ROW(T134)/2)),"")</f>
        <v>122</v>
      </c>
      <c r="V134" s="22">
        <f t="shared" si="35"/>
        <v>-267.45</v>
      </c>
      <c r="W134" s="22">
        <f t="shared" si="26"/>
        <v>125.0898</v>
      </c>
      <c r="X134" s="22">
        <f t="shared" si="27"/>
        <v>-268.95</v>
      </c>
      <c r="Y134" s="22">
        <f t="shared" si="28"/>
        <v>125.0898</v>
      </c>
      <c r="Z134" s="22"/>
      <c r="AA134" s="22">
        <f t="array" ref="AA134">IF(ROW(AA134)&lt;=COUNTA(V:V)*2,IF(MOD(ROW(AA134),2)=1,INDEX(V:V,(ROW(AA134)+1)/2),INDEX(X:X,ROW(AA134)/2)),"")</f>
        <v>-94.95</v>
      </c>
      <c r="AB134" s="22">
        <f t="array" ref="AB134">IF(ROW(AB134)&lt;=COUNTA(W:W)*2,IF(MOD(ROW(AB134),2)=1,INDEX(W:W,(ROW(AB134)+1)/2),INDEX(Y:Y,ROW(AB134)/2)),"")</f>
        <v>125.05095</v>
      </c>
    </row>
    <row r="135" spans="1:28" s="2" customFormat="1" x14ac:dyDescent="0.25">
      <c r="A135" s="19"/>
      <c r="B135" s="20"/>
      <c r="C135" s="21"/>
      <c r="D135" s="22"/>
      <c r="F135" s="34">
        <f t="shared" si="29"/>
        <v>-268.95</v>
      </c>
      <c r="G135" s="34">
        <f t="shared" si="30"/>
        <v>112.5</v>
      </c>
      <c r="H135" s="34">
        <f t="shared" si="24"/>
        <v>-271.95</v>
      </c>
      <c r="I135" s="34">
        <f t="shared" si="31"/>
        <v>112.5</v>
      </c>
      <c r="J135" s="20"/>
      <c r="K135" s="34">
        <f t="array" ref="K135">IF(ROW(K135)&lt;=COUNTA(F:F)*2,IF(MOD(ROW(K135),2)=1,INDEX(F:F,(ROW(K135)+1)/2),INDEX(H:H,ROW(K135)/2)),"")</f>
        <v>-94.95</v>
      </c>
      <c r="L135" s="34">
        <f t="array" ref="L135">IF(ROW(L135)&lt;=COUNTA(G:G)*2,IF(MOD(ROW(L135),2)=1,INDEX(G:G,(ROW(L135)+1)/2),INDEX(I:I,ROW(L135)/2)),"")</f>
        <v>112.4</v>
      </c>
      <c r="N135" s="21">
        <f t="shared" si="32"/>
        <v>-268.95</v>
      </c>
      <c r="O135" s="21">
        <f t="shared" si="33"/>
        <v>121.2</v>
      </c>
      <c r="P135" s="21">
        <f t="shared" si="25"/>
        <v>-271.95</v>
      </c>
      <c r="Q135" s="21">
        <f t="shared" si="34"/>
        <v>121.2</v>
      </c>
      <c r="R135" s="21"/>
      <c r="S135" s="21">
        <f t="array" ref="S135">IF(ROW(S135)&lt;=COUNTA(N:N)*2,IF(MOD(ROW(S135),2)=1,INDEX(N:N,(ROW(S135)+1)/2),INDEX(P:P,ROW(S135)/2)),"")</f>
        <v>-94.95</v>
      </c>
      <c r="T135" s="21">
        <f t="array" ref="T135">IF(ROW(T135)&lt;=COUNTA(O:O)*2,IF(MOD(ROW(T135),2)=1,INDEX(O:O,(ROW(T135)+1)/2),INDEX(Q:Q,ROW(T135)/2)),"")</f>
        <v>121.6</v>
      </c>
      <c r="V135" s="22">
        <f t="shared" si="35"/>
        <v>-268.95</v>
      </c>
      <c r="W135" s="22">
        <f t="shared" si="26"/>
        <v>124.856625</v>
      </c>
      <c r="X135" s="22">
        <f t="shared" si="27"/>
        <v>-271.95</v>
      </c>
      <c r="Y135" s="22">
        <f t="shared" si="28"/>
        <v>124.856625</v>
      </c>
      <c r="Z135" s="22"/>
      <c r="AA135" s="22">
        <f t="array" ref="AA135">IF(ROW(AA135)&lt;=COUNTA(V:V)*2,IF(MOD(ROW(AA135),2)=1,INDEX(V:V,(ROW(AA135)+1)/2),INDEX(X:X,ROW(AA135)/2)),"")</f>
        <v>-94.95</v>
      </c>
      <c r="AB135" s="22">
        <f t="array" ref="AB135">IF(ROW(AB135)&lt;=COUNTA(W:W)*2,IF(MOD(ROW(AB135),2)=1,INDEX(W:W,(ROW(AB135)+1)/2),INDEX(Y:Y,ROW(AB135)/2)),"")</f>
        <v>125.0514</v>
      </c>
    </row>
    <row r="136" spans="1:28" s="2" customFormat="1" x14ac:dyDescent="0.25">
      <c r="A136" s="19"/>
      <c r="B136" s="20"/>
      <c r="C136" s="21"/>
      <c r="D136" s="22"/>
      <c r="F136" s="34">
        <f t="shared" si="29"/>
        <v>-271.95</v>
      </c>
      <c r="G136" s="34">
        <f t="shared" si="30"/>
        <v>112.5</v>
      </c>
      <c r="H136" s="34">
        <f t="shared" si="24"/>
        <v>-274.95</v>
      </c>
      <c r="I136" s="34">
        <f t="shared" si="31"/>
        <v>112.5</v>
      </c>
      <c r="J136" s="20"/>
      <c r="K136" s="34">
        <f t="array" ref="K136">IF(ROW(K136)&lt;=COUNTA(F:F)*2,IF(MOD(ROW(K136),2)=1,INDEX(F:F,(ROW(K136)+1)/2),INDEX(H:H,ROW(K136)/2)),"")</f>
        <v>-96.45</v>
      </c>
      <c r="L136" s="34">
        <f t="array" ref="L136">IF(ROW(L136)&lt;=COUNTA(G:G)*2,IF(MOD(ROW(L136),2)=1,INDEX(G:G,(ROW(L136)+1)/2),INDEX(I:I,ROW(L136)/2)),"")</f>
        <v>112.4</v>
      </c>
      <c r="N136" s="21">
        <f t="shared" si="32"/>
        <v>-271.95</v>
      </c>
      <c r="O136" s="21">
        <f t="shared" si="33"/>
        <v>117.7</v>
      </c>
      <c r="P136" s="21">
        <f t="shared" si="25"/>
        <v>-274.95</v>
      </c>
      <c r="Q136" s="21">
        <f t="shared" si="34"/>
        <v>117.7</v>
      </c>
      <c r="R136" s="21"/>
      <c r="S136" s="21">
        <f t="array" ref="S136">IF(ROW(S136)&lt;=COUNTA(N:N)*2,IF(MOD(ROW(S136),2)=1,INDEX(N:N,(ROW(S136)+1)/2),INDEX(P:P,ROW(S136)/2)),"")</f>
        <v>-96.45</v>
      </c>
      <c r="T136" s="21">
        <f t="array" ref="T136">IF(ROW(T136)&lt;=COUNTA(O:O)*2,IF(MOD(ROW(T136),2)=1,INDEX(O:O,(ROW(T136)+1)/2),INDEX(Q:Q,ROW(T136)/2)),"")</f>
        <v>121.6</v>
      </c>
      <c r="V136" s="22">
        <f t="shared" si="35"/>
        <v>-271.95</v>
      </c>
      <c r="W136" s="22">
        <f t="shared" si="26"/>
        <v>125.762975</v>
      </c>
      <c r="X136" s="22">
        <f t="shared" si="27"/>
        <v>-274.95</v>
      </c>
      <c r="Y136" s="22">
        <f t="shared" si="28"/>
        <v>125.762975</v>
      </c>
      <c r="Z136" s="22"/>
      <c r="AA136" s="22">
        <f t="array" ref="AA136">IF(ROW(AA136)&lt;=COUNTA(V:V)*2,IF(MOD(ROW(AA136),2)=1,INDEX(V:V,(ROW(AA136)+1)/2),INDEX(X:X,ROW(AA136)/2)),"")</f>
        <v>-96.45</v>
      </c>
      <c r="AB136" s="22">
        <f t="array" ref="AB136">IF(ROW(AB136)&lt;=COUNTA(W:W)*2,IF(MOD(ROW(AB136),2)=1,INDEX(W:W,(ROW(AB136)+1)/2),INDEX(Y:Y,ROW(AB136)/2)),"")</f>
        <v>125.0514</v>
      </c>
    </row>
    <row r="137" spans="1:28" s="2" customFormat="1" x14ac:dyDescent="0.25">
      <c r="A137" s="19"/>
      <c r="B137" s="20"/>
      <c r="C137" s="21"/>
      <c r="D137" s="22"/>
      <c r="F137" s="34">
        <f t="shared" si="29"/>
        <v>-274.95</v>
      </c>
      <c r="G137" s="34">
        <f t="shared" si="30"/>
        <v>112.5</v>
      </c>
      <c r="H137" s="34">
        <f t="shared" si="24"/>
        <v>-277.95</v>
      </c>
      <c r="I137" s="34">
        <f t="shared" si="31"/>
        <v>112.5</v>
      </c>
      <c r="J137" s="20"/>
      <c r="K137" s="34">
        <f t="array" ref="K137">IF(ROW(K137)&lt;=COUNTA(F:F)*2,IF(MOD(ROW(K137),2)=1,INDEX(F:F,(ROW(K137)+1)/2),INDEX(H:H,ROW(K137)/2)),"")</f>
        <v>-96.45</v>
      </c>
      <c r="L137" s="34">
        <f t="array" ref="L137">IF(ROW(L137)&lt;=COUNTA(G:G)*2,IF(MOD(ROW(L137),2)=1,INDEX(G:G,(ROW(L137)+1)/2),INDEX(I:I,ROW(L137)/2)),"")</f>
        <v>112.2</v>
      </c>
      <c r="N137" s="21">
        <f t="shared" si="32"/>
        <v>-274.95</v>
      </c>
      <c r="O137" s="21">
        <f t="shared" si="33"/>
        <v>118.5</v>
      </c>
      <c r="P137" s="21">
        <f t="shared" si="25"/>
        <v>-277.95</v>
      </c>
      <c r="Q137" s="21">
        <f t="shared" si="34"/>
        <v>118.5</v>
      </c>
      <c r="R137" s="21"/>
      <c r="S137" s="21">
        <f t="array" ref="S137">IF(ROW(S137)&lt;=COUNTA(N:N)*2,IF(MOD(ROW(S137),2)=1,INDEX(N:N,(ROW(S137)+1)/2),INDEX(P:P,ROW(S137)/2)),"")</f>
        <v>-96.45</v>
      </c>
      <c r="T137" s="21">
        <f t="array" ref="T137">IF(ROW(T137)&lt;=COUNTA(O:O)*2,IF(MOD(ROW(T137),2)=1,INDEX(O:O,(ROW(T137)+1)/2),INDEX(Q:Q,ROW(T137)/2)),"")</f>
        <v>115.7</v>
      </c>
      <c r="V137" s="22">
        <f t="shared" si="35"/>
        <v>-274.95</v>
      </c>
      <c r="W137" s="22">
        <f t="shared" si="26"/>
        <v>124.99725</v>
      </c>
      <c r="X137" s="22">
        <f t="shared" si="27"/>
        <v>-277.95</v>
      </c>
      <c r="Y137" s="22">
        <f t="shared" si="28"/>
        <v>124.99725</v>
      </c>
      <c r="Z137" s="22"/>
      <c r="AA137" s="22">
        <f t="array" ref="AA137">IF(ROW(AA137)&lt;=COUNTA(V:V)*2,IF(MOD(ROW(AA137),2)=1,INDEX(V:V,(ROW(AA137)+1)/2),INDEX(X:X,ROW(AA137)/2)),"")</f>
        <v>-96.45</v>
      </c>
      <c r="AB137" s="22">
        <f t="array" ref="AB137">IF(ROW(AB137)&lt;=COUNTA(W:W)*2,IF(MOD(ROW(AB137),2)=1,INDEX(W:W,(ROW(AB137)+1)/2),INDEX(Y:Y,ROW(AB137)/2)),"")</f>
        <v>125.0511</v>
      </c>
    </row>
    <row r="138" spans="1:28" s="2" customFormat="1" x14ac:dyDescent="0.25">
      <c r="A138" s="19"/>
      <c r="B138" s="20"/>
      <c r="C138" s="21"/>
      <c r="D138" s="22"/>
      <c r="F138" s="34">
        <f t="shared" si="29"/>
        <v>-277.95</v>
      </c>
      <c r="G138" s="34">
        <f t="shared" si="30"/>
        <v>112.5</v>
      </c>
      <c r="H138" s="34">
        <f t="shared" si="24"/>
        <v>-280.95</v>
      </c>
      <c r="I138" s="34">
        <f t="shared" si="31"/>
        <v>112.5</v>
      </c>
      <c r="J138" s="20"/>
      <c r="K138" s="34">
        <f t="array" ref="K138">IF(ROW(K138)&lt;=COUNTA(F:F)*2,IF(MOD(ROW(K138),2)=1,INDEX(F:F,(ROW(K138)+1)/2),INDEX(H:H,ROW(K138)/2)),"")</f>
        <v>-97.95</v>
      </c>
      <c r="L138" s="34">
        <f t="array" ref="L138">IF(ROW(L138)&lt;=COUNTA(G:G)*2,IF(MOD(ROW(L138),2)=1,INDEX(G:G,(ROW(L138)+1)/2),INDEX(I:I,ROW(L138)/2)),"")</f>
        <v>112.2</v>
      </c>
      <c r="N138" s="21">
        <f t="shared" si="32"/>
        <v>-277.95</v>
      </c>
      <c r="O138" s="21">
        <f t="shared" si="33"/>
        <v>116.3</v>
      </c>
      <c r="P138" s="21">
        <f t="shared" si="25"/>
        <v>-280.95</v>
      </c>
      <c r="Q138" s="21">
        <f t="shared" si="34"/>
        <v>116.3</v>
      </c>
      <c r="R138" s="21"/>
      <c r="S138" s="21">
        <f t="array" ref="S138">IF(ROW(S138)&lt;=COUNTA(N:N)*2,IF(MOD(ROW(S138),2)=1,INDEX(N:N,(ROW(S138)+1)/2),INDEX(P:P,ROW(S138)/2)),"")</f>
        <v>-97.95</v>
      </c>
      <c r="T138" s="21">
        <f t="array" ref="T138">IF(ROW(T138)&lt;=COUNTA(O:O)*2,IF(MOD(ROW(T138),2)=1,INDEX(O:O,(ROW(T138)+1)/2),INDEX(Q:Q,ROW(T138)/2)),"")</f>
        <v>115.7</v>
      </c>
      <c r="V138" s="22">
        <f t="shared" si="35"/>
        <v>-277.95</v>
      </c>
      <c r="W138" s="22">
        <f t="shared" si="26"/>
        <v>125.385525</v>
      </c>
      <c r="X138" s="22">
        <f t="shared" si="27"/>
        <v>-280.95</v>
      </c>
      <c r="Y138" s="22">
        <f t="shared" si="28"/>
        <v>125.385525</v>
      </c>
      <c r="Z138" s="22"/>
      <c r="AA138" s="22">
        <f t="array" ref="AA138">IF(ROW(AA138)&lt;=COUNTA(V:V)*2,IF(MOD(ROW(AA138),2)=1,INDEX(V:V,(ROW(AA138)+1)/2),INDEX(X:X,ROW(AA138)/2)),"")</f>
        <v>-97.95</v>
      </c>
      <c r="AB138" s="22">
        <f t="array" ref="AB138">IF(ROW(AB138)&lt;=COUNTA(W:W)*2,IF(MOD(ROW(AB138),2)=1,INDEX(W:W,(ROW(AB138)+1)/2),INDEX(Y:Y,ROW(AB138)/2)),"")</f>
        <v>125.0511</v>
      </c>
    </row>
    <row r="139" spans="1:28" s="2" customFormat="1" x14ac:dyDescent="0.25">
      <c r="A139" s="19"/>
      <c r="B139" s="20"/>
      <c r="C139" s="21"/>
      <c r="D139" s="22"/>
      <c r="F139" s="34">
        <f t="shared" si="29"/>
        <v>-280.95</v>
      </c>
      <c r="G139" s="34">
        <f t="shared" si="30"/>
        <v>112.5</v>
      </c>
      <c r="H139" s="34">
        <f t="shared" si="24"/>
        <v>-283.55</v>
      </c>
      <c r="I139" s="34">
        <f t="shared" si="31"/>
        <v>112.5</v>
      </c>
      <c r="J139" s="20"/>
      <c r="K139" s="34">
        <f t="array" ref="K139">IF(ROW(K139)&lt;=COUNTA(F:F)*2,IF(MOD(ROW(K139),2)=1,INDEX(F:F,(ROW(K139)+1)/2),INDEX(H:H,ROW(K139)/2)),"")</f>
        <v>-97.95</v>
      </c>
      <c r="L139" s="34">
        <f t="array" ref="L139">IF(ROW(L139)&lt;=COUNTA(G:G)*2,IF(MOD(ROW(L139),2)=1,INDEX(G:G,(ROW(L139)+1)/2),INDEX(I:I,ROW(L139)/2)),"")</f>
        <v>112.4</v>
      </c>
      <c r="N139" s="21">
        <f t="shared" si="32"/>
        <v>-280.95</v>
      </c>
      <c r="O139" s="21">
        <f t="shared" si="33"/>
        <v>119.1</v>
      </c>
      <c r="P139" s="21">
        <f t="shared" si="25"/>
        <v>-283.55</v>
      </c>
      <c r="Q139" s="21">
        <f t="shared" si="34"/>
        <v>119.1</v>
      </c>
      <c r="R139" s="21"/>
      <c r="S139" s="21">
        <f t="array" ref="S139">IF(ROW(S139)&lt;=COUNTA(N:N)*2,IF(MOD(ROW(S139),2)=1,INDEX(N:N,(ROW(S139)+1)/2),INDEX(P:P,ROW(S139)/2)),"")</f>
        <v>-97.95</v>
      </c>
      <c r="T139" s="21">
        <f t="array" ref="T139">IF(ROW(T139)&lt;=COUNTA(O:O)*2,IF(MOD(ROW(T139),2)=1,INDEX(O:O,(ROW(T139)+1)/2),INDEX(Q:Q,ROW(T139)/2)),"")</f>
        <v>118</v>
      </c>
      <c r="V139" s="22">
        <f t="shared" si="35"/>
        <v>-280.95</v>
      </c>
      <c r="W139" s="22">
        <f t="shared" si="26"/>
        <v>125.385525</v>
      </c>
      <c r="X139" s="22">
        <f t="shared" si="27"/>
        <v>-283.55</v>
      </c>
      <c r="Y139" s="22">
        <f t="shared" si="28"/>
        <v>125.385525</v>
      </c>
      <c r="Z139" s="22"/>
      <c r="AA139" s="22">
        <f t="array" ref="AA139">IF(ROW(AA139)&lt;=COUNTA(V:V)*2,IF(MOD(ROW(AA139),2)=1,INDEX(V:V,(ROW(AA139)+1)/2),INDEX(X:X,ROW(AA139)/2)),"")</f>
        <v>-97.95</v>
      </c>
      <c r="AB139" s="22">
        <f t="array" ref="AB139">IF(ROW(AB139)&lt;=COUNTA(W:W)*2,IF(MOD(ROW(AB139),2)=1,INDEX(W:W,(ROW(AB139)+1)/2),INDEX(Y:Y,ROW(AB139)/2)),"")</f>
        <v>125.0524</v>
      </c>
    </row>
    <row r="140" spans="1:28" s="2" customFormat="1" x14ac:dyDescent="0.25">
      <c r="A140" s="19"/>
      <c r="B140" s="20"/>
      <c r="C140" s="21"/>
      <c r="D140" s="22"/>
      <c r="F140" s="34">
        <f t="shared" si="29"/>
        <v>-283.55</v>
      </c>
      <c r="G140" s="34">
        <f t="shared" si="30"/>
        <v>112.5</v>
      </c>
      <c r="H140" s="34">
        <f t="shared" si="24"/>
        <v>-286.55</v>
      </c>
      <c r="I140" s="34">
        <f t="shared" si="31"/>
        <v>112.5</v>
      </c>
      <c r="J140" s="20"/>
      <c r="K140" s="34">
        <f t="array" ref="K140">IF(ROW(K140)&lt;=COUNTA(F:F)*2,IF(MOD(ROW(K140),2)=1,INDEX(F:F,(ROW(K140)+1)/2),INDEX(H:H,ROW(K140)/2)),"")</f>
        <v>-99.45</v>
      </c>
      <c r="L140" s="34">
        <f t="array" ref="L140">IF(ROW(L140)&lt;=COUNTA(G:G)*2,IF(MOD(ROW(L140),2)=1,INDEX(G:G,(ROW(L140)+1)/2),INDEX(I:I,ROW(L140)/2)),"")</f>
        <v>112.4</v>
      </c>
      <c r="N140" s="21">
        <f t="shared" si="32"/>
        <v>-283.55</v>
      </c>
      <c r="O140" s="21">
        <f t="shared" si="33"/>
        <v>114.7</v>
      </c>
      <c r="P140" s="21">
        <f t="shared" si="25"/>
        <v>-286.55</v>
      </c>
      <c r="Q140" s="21">
        <f t="shared" si="34"/>
        <v>114.7</v>
      </c>
      <c r="R140" s="21"/>
      <c r="S140" s="21">
        <f t="array" ref="S140">IF(ROW(S140)&lt;=COUNTA(N:N)*2,IF(MOD(ROW(S140),2)=1,INDEX(N:N,(ROW(S140)+1)/2),INDEX(P:P,ROW(S140)/2)),"")</f>
        <v>-99.45</v>
      </c>
      <c r="T140" s="21">
        <f t="array" ref="T140">IF(ROW(T140)&lt;=COUNTA(O:O)*2,IF(MOD(ROW(T140),2)=1,INDEX(O:O,(ROW(T140)+1)/2),INDEX(Q:Q,ROW(T140)/2)),"")</f>
        <v>118</v>
      </c>
      <c r="V140" s="22">
        <f t="shared" si="35"/>
        <v>-283.55</v>
      </c>
      <c r="W140" s="22">
        <f t="shared" si="26"/>
        <v>125.762975</v>
      </c>
      <c r="X140" s="22">
        <f t="shared" si="27"/>
        <v>-286.55</v>
      </c>
      <c r="Y140" s="22">
        <f t="shared" si="28"/>
        <v>125.762975</v>
      </c>
      <c r="Z140" s="22"/>
      <c r="AA140" s="22">
        <f t="array" ref="AA140">IF(ROW(AA140)&lt;=COUNTA(V:V)*2,IF(MOD(ROW(AA140),2)=1,INDEX(V:V,(ROW(AA140)+1)/2),INDEX(X:X,ROW(AA140)/2)),"")</f>
        <v>-99.45</v>
      </c>
      <c r="AB140" s="22">
        <f t="array" ref="AB140">IF(ROW(AB140)&lt;=COUNTA(W:W)*2,IF(MOD(ROW(AB140),2)=1,INDEX(W:W,(ROW(AB140)+1)/2),INDEX(Y:Y,ROW(AB140)/2)),"")</f>
        <v>125.0524</v>
      </c>
    </row>
    <row r="141" spans="1:28" s="2" customFormat="1" x14ac:dyDescent="0.25">
      <c r="A141" s="19"/>
      <c r="B141" s="20"/>
      <c r="C141" s="21"/>
      <c r="D141" s="22"/>
      <c r="F141" s="34">
        <f t="shared" si="29"/>
        <v>-286.55</v>
      </c>
      <c r="G141" s="34">
        <f t="shared" si="30"/>
        <v>112.4</v>
      </c>
      <c r="H141" s="34">
        <f t="shared" si="24"/>
        <v>-289.55</v>
      </c>
      <c r="I141" s="34">
        <f t="shared" si="31"/>
        <v>112.4</v>
      </c>
      <c r="J141" s="20"/>
      <c r="K141" s="34">
        <f t="array" ref="K141">IF(ROW(K141)&lt;=COUNTA(F:F)*2,IF(MOD(ROW(K141),2)=1,INDEX(F:F,(ROW(K141)+1)/2),INDEX(H:H,ROW(K141)/2)),"")</f>
        <v>-99.45</v>
      </c>
      <c r="L141" s="34">
        <f t="array" ref="L141">IF(ROW(L141)&lt;=COUNTA(G:G)*2,IF(MOD(ROW(L141),2)=1,INDEX(G:G,(ROW(L141)+1)/2),INDEX(I:I,ROW(L141)/2)),"")</f>
        <v>112.3</v>
      </c>
      <c r="N141" s="21">
        <f t="shared" si="32"/>
        <v>-286.55</v>
      </c>
      <c r="O141" s="21">
        <f t="shared" si="33"/>
        <v>118.8</v>
      </c>
      <c r="P141" s="21">
        <f t="shared" si="25"/>
        <v>-289.55</v>
      </c>
      <c r="Q141" s="21">
        <f t="shared" si="34"/>
        <v>118.8</v>
      </c>
      <c r="R141" s="21"/>
      <c r="S141" s="21">
        <f t="array" ref="S141">IF(ROW(S141)&lt;=COUNTA(N:N)*2,IF(MOD(ROW(S141),2)=1,INDEX(N:N,(ROW(S141)+1)/2),INDEX(P:P,ROW(S141)/2)),"")</f>
        <v>-99.45</v>
      </c>
      <c r="T141" s="21">
        <f t="array" ref="T141">IF(ROW(T141)&lt;=COUNTA(O:O)*2,IF(MOD(ROW(T141),2)=1,INDEX(O:O,(ROW(T141)+1)/2),INDEX(Q:Q,ROW(T141)/2)),"")</f>
        <v>116.6</v>
      </c>
      <c r="V141" s="22">
        <f t="shared" si="35"/>
        <v>-286.55</v>
      </c>
      <c r="W141" s="22">
        <f t="shared" si="26"/>
        <v>125.2024</v>
      </c>
      <c r="X141" s="22">
        <f t="shared" si="27"/>
        <v>-289.55</v>
      </c>
      <c r="Y141" s="22">
        <f t="shared" si="28"/>
        <v>125.2024</v>
      </c>
      <c r="Z141" s="22"/>
      <c r="AA141" s="22">
        <f t="array" ref="AA141">IF(ROW(AA141)&lt;=COUNTA(V:V)*2,IF(MOD(ROW(AA141),2)=1,INDEX(V:V,(ROW(AA141)+1)/2),INDEX(X:X,ROW(AA141)/2)),"")</f>
        <v>-99.45</v>
      </c>
      <c r="AB141" s="22">
        <f t="array" ref="AB141">IF(ROW(AB141)&lt;=COUNTA(W:W)*2,IF(MOD(ROW(AB141),2)=1,INDEX(W:W,(ROW(AB141)+1)/2),INDEX(Y:Y,ROW(AB141)/2)),"")</f>
        <v>125.0524</v>
      </c>
    </row>
    <row r="142" spans="1:28" s="2" customFormat="1" x14ac:dyDescent="0.25">
      <c r="A142" s="19"/>
      <c r="B142" s="20"/>
      <c r="C142" s="21"/>
      <c r="D142" s="22"/>
      <c r="F142" s="34">
        <f t="shared" si="29"/>
        <v>-289.55</v>
      </c>
      <c r="G142" s="34">
        <f t="shared" si="30"/>
        <v>112.2</v>
      </c>
      <c r="H142" s="34">
        <f t="shared" si="24"/>
        <v>-291.45</v>
      </c>
      <c r="I142" s="34">
        <f t="shared" si="31"/>
        <v>112.2</v>
      </c>
      <c r="J142" s="20"/>
      <c r="K142" s="34">
        <f t="array" ref="K142">IF(ROW(K142)&lt;=COUNTA(F:F)*2,IF(MOD(ROW(K142),2)=1,INDEX(F:F,(ROW(K142)+1)/2),INDEX(H:H,ROW(K142)/2)),"")</f>
        <v>-100.95</v>
      </c>
      <c r="L142" s="34">
        <f t="array" ref="L142">IF(ROW(L142)&lt;=COUNTA(G:G)*2,IF(MOD(ROW(L142),2)=1,INDEX(G:G,(ROW(L142)+1)/2),INDEX(I:I,ROW(L142)/2)),"")</f>
        <v>112.3</v>
      </c>
      <c r="N142" s="21">
        <f t="shared" si="32"/>
        <v>-289.55</v>
      </c>
      <c r="O142" s="21">
        <f t="shared" si="33"/>
        <v>117.2</v>
      </c>
      <c r="P142" s="21">
        <f t="shared" si="25"/>
        <v>-291.45</v>
      </c>
      <c r="Q142" s="21">
        <f t="shared" si="34"/>
        <v>117.2</v>
      </c>
      <c r="R142" s="21"/>
      <c r="S142" s="21">
        <f t="array" ref="S142">IF(ROW(S142)&lt;=COUNTA(N:N)*2,IF(MOD(ROW(S142),2)=1,INDEX(N:N,(ROW(S142)+1)/2),INDEX(P:P,ROW(S142)/2)),"")</f>
        <v>-100.95</v>
      </c>
      <c r="T142" s="21">
        <f t="array" ref="T142">IF(ROW(T142)&lt;=COUNTA(O:O)*2,IF(MOD(ROW(T142),2)=1,INDEX(O:O,(ROW(T142)+1)/2),INDEX(Q:Q,ROW(T142)/2)),"")</f>
        <v>116.6</v>
      </c>
      <c r="V142" s="22">
        <f t="shared" si="35"/>
        <v>-289.55</v>
      </c>
      <c r="W142" s="22">
        <f t="shared" si="26"/>
        <v>125.200975</v>
      </c>
      <c r="X142" s="22">
        <f t="shared" si="27"/>
        <v>-291.45</v>
      </c>
      <c r="Y142" s="22">
        <f t="shared" si="28"/>
        <v>125.200975</v>
      </c>
      <c r="Z142" s="22"/>
      <c r="AA142" s="22">
        <f t="array" ref="AA142">IF(ROW(AA142)&lt;=COUNTA(V:V)*2,IF(MOD(ROW(AA142),2)=1,INDEX(V:V,(ROW(AA142)+1)/2),INDEX(X:X,ROW(AA142)/2)),"")</f>
        <v>-100.95</v>
      </c>
      <c r="AB142" s="22">
        <f t="array" ref="AB142">IF(ROW(AB142)&lt;=COUNTA(W:W)*2,IF(MOD(ROW(AB142),2)=1,INDEX(W:W,(ROW(AB142)+1)/2),INDEX(Y:Y,ROW(AB142)/2)),"")</f>
        <v>125.0524</v>
      </c>
    </row>
    <row r="143" spans="1:28" s="2" customFormat="1" x14ac:dyDescent="0.25">
      <c r="A143" s="19"/>
      <c r="B143" s="20"/>
      <c r="C143" s="21"/>
      <c r="D143" s="22"/>
      <c r="F143" s="34">
        <f t="shared" si="29"/>
        <v>-291.45</v>
      </c>
      <c r="G143" s="34">
        <f t="shared" si="30"/>
        <v>112.4</v>
      </c>
      <c r="H143" s="34">
        <f t="shared" si="24"/>
        <v>-294.45</v>
      </c>
      <c r="I143" s="34">
        <f t="shared" si="31"/>
        <v>112.4</v>
      </c>
      <c r="J143" s="20"/>
      <c r="K143" s="34">
        <f t="array" ref="K143">IF(ROW(K143)&lt;=COUNTA(F:F)*2,IF(MOD(ROW(K143),2)=1,INDEX(F:F,(ROW(K143)+1)/2),INDEX(H:H,ROW(K143)/2)),"")</f>
        <v>-100.95</v>
      </c>
      <c r="L143" s="34">
        <f t="array" ref="L143">IF(ROW(L143)&lt;=COUNTA(G:G)*2,IF(MOD(ROW(L143),2)=1,INDEX(G:G,(ROW(L143)+1)/2),INDEX(I:I,ROW(L143)/2)),"")</f>
        <v>112.4</v>
      </c>
      <c r="N143" s="21">
        <f t="shared" si="32"/>
        <v>-291.45</v>
      </c>
      <c r="O143" s="21">
        <f t="shared" si="33"/>
        <v>116.1</v>
      </c>
      <c r="P143" s="21">
        <f t="shared" si="25"/>
        <v>-294.45</v>
      </c>
      <c r="Q143" s="21">
        <f t="shared" si="34"/>
        <v>116.1</v>
      </c>
      <c r="R143" s="21"/>
      <c r="S143" s="21">
        <f t="array" ref="S143">IF(ROW(S143)&lt;=COUNTA(N:N)*2,IF(MOD(ROW(S143),2)=1,INDEX(N:N,(ROW(S143)+1)/2),INDEX(P:P,ROW(S143)/2)),"")</f>
        <v>-100.95</v>
      </c>
      <c r="T143" s="21">
        <f t="array" ref="T143">IF(ROW(T143)&lt;=COUNTA(O:O)*2,IF(MOD(ROW(T143),2)=1,INDEX(O:O,(ROW(T143)+1)/2),INDEX(Q:Q,ROW(T143)/2)),"")</f>
        <v>118.8</v>
      </c>
      <c r="V143" s="22">
        <f t="shared" si="35"/>
        <v>-291.45</v>
      </c>
      <c r="W143" s="22">
        <f t="shared" si="26"/>
        <v>125.2024</v>
      </c>
      <c r="X143" s="22">
        <f t="shared" si="27"/>
        <v>-294.45</v>
      </c>
      <c r="Y143" s="22">
        <f t="shared" si="28"/>
        <v>125.2024</v>
      </c>
      <c r="Z143" s="22"/>
      <c r="AA143" s="22">
        <f t="array" ref="AA143">IF(ROW(AA143)&lt;=COUNTA(V:V)*2,IF(MOD(ROW(AA143),2)=1,INDEX(V:V,(ROW(AA143)+1)/2),INDEX(X:X,ROW(AA143)/2)),"")</f>
        <v>-100.95</v>
      </c>
      <c r="AB143" s="22">
        <f t="array" ref="AB143">IF(ROW(AB143)&lt;=COUNTA(W:W)*2,IF(MOD(ROW(AB143),2)=1,INDEX(W:W,(ROW(AB143)+1)/2),INDEX(Y:Y,ROW(AB143)/2)),"")</f>
        <v>125.0524</v>
      </c>
    </row>
    <row r="144" spans="1:28" s="2" customFormat="1" x14ac:dyDescent="0.25">
      <c r="A144" s="19"/>
      <c r="B144" s="20"/>
      <c r="C144" s="21"/>
      <c r="D144" s="22"/>
      <c r="F144" s="34">
        <f t="shared" si="29"/>
        <v>-294.45</v>
      </c>
      <c r="G144" s="34">
        <f t="shared" si="30"/>
        <v>112.2</v>
      </c>
      <c r="H144" s="34">
        <f t="shared" si="24"/>
        <v>-296.45</v>
      </c>
      <c r="I144" s="34">
        <f t="shared" si="31"/>
        <v>112.2</v>
      </c>
      <c r="J144" s="20"/>
      <c r="K144" s="34">
        <f t="array" ref="K144">IF(ROW(K144)&lt;=COUNTA(F:F)*2,IF(MOD(ROW(K144),2)=1,INDEX(F:F,(ROW(K144)+1)/2),INDEX(H:H,ROW(K144)/2)),"")</f>
        <v>-102.45</v>
      </c>
      <c r="L144" s="34">
        <f t="array" ref="L144">IF(ROW(L144)&lt;=COUNTA(G:G)*2,IF(MOD(ROW(L144),2)=1,INDEX(G:G,(ROW(L144)+1)/2),INDEX(I:I,ROW(L144)/2)),"")</f>
        <v>112.4</v>
      </c>
      <c r="N144" s="21">
        <f t="shared" si="32"/>
        <v>-294.45</v>
      </c>
      <c r="O144" s="21">
        <f t="shared" si="33"/>
        <v>118.7</v>
      </c>
      <c r="P144" s="21">
        <f t="shared" si="25"/>
        <v>-296.45</v>
      </c>
      <c r="Q144" s="21">
        <f t="shared" si="34"/>
        <v>118.7</v>
      </c>
      <c r="R144" s="21"/>
      <c r="S144" s="21">
        <f t="array" ref="S144">IF(ROW(S144)&lt;=COUNTA(N:N)*2,IF(MOD(ROW(S144),2)=1,INDEX(N:N,(ROW(S144)+1)/2),INDEX(P:P,ROW(S144)/2)),"")</f>
        <v>-102.45</v>
      </c>
      <c r="T144" s="21">
        <f t="array" ref="T144">IF(ROW(T144)&lt;=COUNTA(O:O)*2,IF(MOD(ROW(T144),2)=1,INDEX(O:O,(ROW(T144)+1)/2),INDEX(Q:Q,ROW(T144)/2)),"")</f>
        <v>118.8</v>
      </c>
      <c r="V144" s="22">
        <f t="shared" si="35"/>
        <v>-294.45</v>
      </c>
      <c r="W144" s="22">
        <f t="shared" si="26"/>
        <v>125.20495</v>
      </c>
      <c r="X144" s="22">
        <f t="shared" si="27"/>
        <v>-296.45</v>
      </c>
      <c r="Y144" s="22">
        <f t="shared" si="28"/>
        <v>125.20495</v>
      </c>
      <c r="Z144" s="22"/>
      <c r="AA144" s="22">
        <f t="array" ref="AA144">IF(ROW(AA144)&lt;=COUNTA(V:V)*2,IF(MOD(ROW(AA144),2)=1,INDEX(V:V,(ROW(AA144)+1)/2),INDEX(X:X,ROW(AA144)/2)),"")</f>
        <v>-102.45</v>
      </c>
      <c r="AB144" s="22">
        <f t="array" ref="AB144">IF(ROW(AB144)&lt;=COUNTA(W:W)*2,IF(MOD(ROW(AB144),2)=1,INDEX(W:W,(ROW(AB144)+1)/2),INDEX(Y:Y,ROW(AB144)/2)),"")</f>
        <v>125.0524</v>
      </c>
    </row>
    <row r="145" spans="1:28" s="2" customFormat="1" x14ac:dyDescent="0.25">
      <c r="A145" s="19"/>
      <c r="B145" s="20"/>
      <c r="C145" s="21"/>
      <c r="D145" s="22"/>
      <c r="F145" s="34">
        <f t="shared" si="29"/>
        <v>-296.45</v>
      </c>
      <c r="G145" s="34">
        <f t="shared" si="30"/>
        <v>112.5</v>
      </c>
      <c r="H145" s="34">
        <f t="shared" si="24"/>
        <v>-298.95</v>
      </c>
      <c r="I145" s="34">
        <f t="shared" si="31"/>
        <v>112.5</v>
      </c>
      <c r="J145" s="20"/>
      <c r="K145" s="34">
        <f t="array" ref="K145">IF(ROW(K145)&lt;=COUNTA(F:F)*2,IF(MOD(ROW(K145),2)=1,INDEX(F:F,(ROW(K145)+1)/2),INDEX(H:H,ROW(K145)/2)),"")</f>
        <v>-102.45</v>
      </c>
      <c r="L145" s="34">
        <f t="array" ref="L145">IF(ROW(L145)&lt;=COUNTA(G:G)*2,IF(MOD(ROW(L145),2)=1,INDEX(G:G,(ROW(L145)+1)/2),INDEX(I:I,ROW(L145)/2)),"")</f>
        <v>111.8</v>
      </c>
      <c r="N145" s="21">
        <f t="shared" si="32"/>
        <v>-296.45</v>
      </c>
      <c r="O145" s="21">
        <f t="shared" si="33"/>
        <v>119.6</v>
      </c>
      <c r="P145" s="21">
        <f t="shared" si="25"/>
        <v>-298.95</v>
      </c>
      <c r="Q145" s="21">
        <f t="shared" si="34"/>
        <v>119.6</v>
      </c>
      <c r="R145" s="21"/>
      <c r="S145" s="21">
        <f t="array" ref="S145">IF(ROW(S145)&lt;=COUNTA(N:N)*2,IF(MOD(ROW(S145),2)=1,INDEX(N:N,(ROW(S145)+1)/2),INDEX(P:P,ROW(S145)/2)),"")</f>
        <v>-102.45</v>
      </c>
      <c r="T145" s="21">
        <f t="array" ref="T145">IF(ROW(T145)&lt;=COUNTA(O:O)*2,IF(MOD(ROW(T145),2)=1,INDEX(O:O,(ROW(T145)+1)/2),INDEX(Q:Q,ROW(T145)/2)),"")</f>
        <v>117.6</v>
      </c>
      <c r="V145" s="22">
        <f t="shared" si="35"/>
        <v>-296.45</v>
      </c>
      <c r="W145" s="22">
        <f t="shared" si="26"/>
        <v>125.222325</v>
      </c>
      <c r="X145" s="22">
        <f t="shared" si="27"/>
        <v>-298.95</v>
      </c>
      <c r="Y145" s="22">
        <f t="shared" si="28"/>
        <v>125.222325</v>
      </c>
      <c r="Z145" s="22"/>
      <c r="AA145" s="22">
        <f t="array" ref="AA145">IF(ROW(AA145)&lt;=COUNTA(V:V)*2,IF(MOD(ROW(AA145),2)=1,INDEX(V:V,(ROW(AA145)+1)/2),INDEX(X:X,ROW(AA145)/2)),"")</f>
        <v>-102.45</v>
      </c>
      <c r="AB145" s="22">
        <f t="array" ref="AB145">IF(ROW(AB145)&lt;=COUNTA(W:W)*2,IF(MOD(ROW(AB145),2)=1,INDEX(W:W,(ROW(AB145)+1)/2),INDEX(Y:Y,ROW(AB145)/2)),"")</f>
        <v>125.0524</v>
      </c>
    </row>
    <row r="146" spans="1:28" s="2" customFormat="1" x14ac:dyDescent="0.25">
      <c r="A146" s="19"/>
      <c r="B146" s="20"/>
      <c r="C146" s="21"/>
      <c r="D146" s="22"/>
      <c r="F146" s="34">
        <f t="shared" si="29"/>
        <v>-298.95</v>
      </c>
      <c r="G146" s="34">
        <f t="shared" si="30"/>
        <v>112.2</v>
      </c>
      <c r="H146" s="34">
        <f t="shared" si="24"/>
        <v>-301.95</v>
      </c>
      <c r="I146" s="34">
        <f t="shared" si="31"/>
        <v>112.2</v>
      </c>
      <c r="J146" s="20"/>
      <c r="K146" s="34">
        <f t="array" ref="K146">IF(ROW(K146)&lt;=COUNTA(F:F)*2,IF(MOD(ROW(K146),2)=1,INDEX(F:F,(ROW(K146)+1)/2),INDEX(H:H,ROW(K146)/2)),"")</f>
        <v>-103.95</v>
      </c>
      <c r="L146" s="34">
        <f t="array" ref="L146">IF(ROW(L146)&lt;=COUNTA(G:G)*2,IF(MOD(ROW(L146),2)=1,INDEX(G:G,(ROW(L146)+1)/2),INDEX(I:I,ROW(L146)/2)),"")</f>
        <v>111.8</v>
      </c>
      <c r="N146" s="21">
        <f t="shared" si="32"/>
        <v>-298.95</v>
      </c>
      <c r="O146" s="21">
        <f t="shared" si="33"/>
        <v>114.2</v>
      </c>
      <c r="P146" s="21">
        <f t="shared" si="25"/>
        <v>-301.95</v>
      </c>
      <c r="Q146" s="21">
        <f t="shared" si="34"/>
        <v>114.2</v>
      </c>
      <c r="R146" s="21"/>
      <c r="S146" s="21">
        <f t="array" ref="S146">IF(ROW(S146)&lt;=COUNTA(N:N)*2,IF(MOD(ROW(S146),2)=1,INDEX(N:N,(ROW(S146)+1)/2),INDEX(P:P,ROW(S146)/2)),"")</f>
        <v>-103.95</v>
      </c>
      <c r="T146" s="21">
        <f t="array" ref="T146">IF(ROW(T146)&lt;=COUNTA(O:O)*2,IF(MOD(ROW(T146),2)=1,INDEX(O:O,(ROW(T146)+1)/2),INDEX(Q:Q,ROW(T146)/2)),"")</f>
        <v>117.6</v>
      </c>
      <c r="V146" s="22">
        <f t="shared" si="35"/>
        <v>-298.95</v>
      </c>
      <c r="W146" s="22">
        <f t="shared" si="26"/>
        <v>125.133375</v>
      </c>
      <c r="X146" s="22">
        <f t="shared" si="27"/>
        <v>-301.95</v>
      </c>
      <c r="Y146" s="22">
        <f t="shared" si="28"/>
        <v>125.133375</v>
      </c>
      <c r="Z146" s="22"/>
      <c r="AA146" s="22">
        <f t="array" ref="AA146">IF(ROW(AA146)&lt;=COUNTA(V:V)*2,IF(MOD(ROW(AA146),2)=1,INDEX(V:V,(ROW(AA146)+1)/2),INDEX(X:X,ROW(AA146)/2)),"")</f>
        <v>-103.95</v>
      </c>
      <c r="AB146" s="22">
        <f t="array" ref="AB146">IF(ROW(AB146)&lt;=COUNTA(W:W)*2,IF(MOD(ROW(AB146),2)=1,INDEX(W:W,(ROW(AB146)+1)/2),INDEX(Y:Y,ROW(AB146)/2)),"")</f>
        <v>125.0524</v>
      </c>
    </row>
    <row r="147" spans="1:28" s="2" customFormat="1" x14ac:dyDescent="0.25">
      <c r="A147" s="19"/>
      <c r="B147" s="20"/>
      <c r="C147" s="21"/>
      <c r="D147" s="22"/>
      <c r="F147" s="34">
        <f t="shared" si="29"/>
        <v>-301.95</v>
      </c>
      <c r="G147" s="34">
        <f t="shared" si="30"/>
        <v>112.4</v>
      </c>
      <c r="H147" s="34">
        <f t="shared" si="24"/>
        <v>-304.95</v>
      </c>
      <c r="I147" s="34">
        <f t="shared" si="31"/>
        <v>112.4</v>
      </c>
      <c r="J147" s="20"/>
      <c r="K147" s="34">
        <f t="array" ref="K147">IF(ROW(K147)&lt;=COUNTA(F:F)*2,IF(MOD(ROW(K147),2)=1,INDEX(F:F,(ROW(K147)+1)/2),INDEX(H:H,ROW(K147)/2)),"")</f>
        <v>-103.95</v>
      </c>
      <c r="L147" s="34">
        <f t="array" ref="L147">IF(ROW(L147)&lt;=COUNTA(G:G)*2,IF(MOD(ROW(L147),2)=1,INDEX(G:G,(ROW(L147)+1)/2),INDEX(I:I,ROW(L147)/2)),"")</f>
        <v>112.4</v>
      </c>
      <c r="N147" s="21">
        <f t="shared" si="32"/>
        <v>-301.95</v>
      </c>
      <c r="O147" s="21">
        <f t="shared" si="33"/>
        <v>116.4</v>
      </c>
      <c r="P147" s="21">
        <f t="shared" si="25"/>
        <v>-304.95</v>
      </c>
      <c r="Q147" s="21">
        <f t="shared" si="34"/>
        <v>116.4</v>
      </c>
      <c r="R147" s="21"/>
      <c r="S147" s="21">
        <f t="array" ref="S147">IF(ROW(S147)&lt;=COUNTA(N:N)*2,IF(MOD(ROW(S147),2)=1,INDEX(N:N,(ROW(S147)+1)/2),INDEX(P:P,ROW(S147)/2)),"")</f>
        <v>-103.95</v>
      </c>
      <c r="T147" s="21">
        <f t="array" ref="T147">IF(ROW(T147)&lt;=COUNTA(O:O)*2,IF(MOD(ROW(T147),2)=1,INDEX(O:O,(ROW(T147)+1)/2),INDEX(Q:Q,ROW(T147)/2)),"")</f>
        <v>113.8</v>
      </c>
      <c r="V147" s="22">
        <f t="shared" si="35"/>
        <v>-301.95</v>
      </c>
      <c r="W147" s="22">
        <f t="shared" si="26"/>
        <v>125.273075</v>
      </c>
      <c r="X147" s="22">
        <f t="shared" si="27"/>
        <v>-304.95</v>
      </c>
      <c r="Y147" s="22">
        <f t="shared" si="28"/>
        <v>125.273075</v>
      </c>
      <c r="Z147" s="22"/>
      <c r="AA147" s="22">
        <f t="array" ref="AA147">IF(ROW(AA147)&lt;=COUNTA(V:V)*2,IF(MOD(ROW(AA147),2)=1,INDEX(V:V,(ROW(AA147)+1)/2),INDEX(X:X,ROW(AA147)/2)),"")</f>
        <v>-103.95</v>
      </c>
      <c r="AB147" s="22">
        <f t="array" ref="AB147">IF(ROW(AB147)&lt;=COUNTA(W:W)*2,IF(MOD(ROW(AB147),2)=1,INDEX(W:W,(ROW(AB147)+1)/2),INDEX(Y:Y,ROW(AB147)/2)),"")</f>
        <v>125.05095</v>
      </c>
    </row>
    <row r="148" spans="1:28" s="2" customFormat="1" x14ac:dyDescent="0.25">
      <c r="A148" s="19"/>
      <c r="B148" s="20"/>
      <c r="C148" s="21"/>
      <c r="D148" s="22"/>
      <c r="F148" s="34">
        <f t="shared" si="29"/>
        <v>-304.95</v>
      </c>
      <c r="G148" s="34">
        <f t="shared" si="30"/>
        <v>112.2</v>
      </c>
      <c r="H148" s="34">
        <f t="shared" si="24"/>
        <v>-307.95</v>
      </c>
      <c r="I148" s="34">
        <f t="shared" si="31"/>
        <v>112.2</v>
      </c>
      <c r="J148" s="20"/>
      <c r="K148" s="34">
        <f t="array" ref="K148">IF(ROW(K148)&lt;=COUNTA(F:F)*2,IF(MOD(ROW(K148),2)=1,INDEX(F:F,(ROW(K148)+1)/2),INDEX(H:H,ROW(K148)/2)),"")</f>
        <v>-105.55</v>
      </c>
      <c r="L148" s="34">
        <f t="array" ref="L148">IF(ROW(L148)&lt;=COUNTA(G:G)*2,IF(MOD(ROW(L148),2)=1,INDEX(G:G,(ROW(L148)+1)/2),INDEX(I:I,ROW(L148)/2)),"")</f>
        <v>112.4</v>
      </c>
      <c r="N148" s="21">
        <f t="shared" si="32"/>
        <v>-304.95</v>
      </c>
      <c r="O148" s="21">
        <f t="shared" si="33"/>
        <v>115.4</v>
      </c>
      <c r="P148" s="21">
        <f t="shared" si="25"/>
        <v>-307.95</v>
      </c>
      <c r="Q148" s="21">
        <f t="shared" si="34"/>
        <v>115.4</v>
      </c>
      <c r="R148" s="21"/>
      <c r="S148" s="21">
        <f t="array" ref="S148">IF(ROW(S148)&lt;=COUNTA(N:N)*2,IF(MOD(ROW(S148),2)=1,INDEX(N:N,(ROW(S148)+1)/2),INDEX(P:P,ROW(S148)/2)),"")</f>
        <v>-105.55</v>
      </c>
      <c r="T148" s="21">
        <f t="array" ref="T148">IF(ROW(T148)&lt;=COUNTA(O:O)*2,IF(MOD(ROW(T148),2)=1,INDEX(O:O,(ROW(T148)+1)/2),INDEX(Q:Q,ROW(T148)/2)),"")</f>
        <v>113.8</v>
      </c>
      <c r="V148" s="22">
        <f t="shared" si="35"/>
        <v>-304.95</v>
      </c>
      <c r="W148" s="22">
        <f t="shared" si="26"/>
        <v>125.30195</v>
      </c>
      <c r="X148" s="22">
        <f t="shared" si="27"/>
        <v>-307.95</v>
      </c>
      <c r="Y148" s="22">
        <f t="shared" si="28"/>
        <v>125.30195</v>
      </c>
      <c r="Z148" s="22"/>
      <c r="AA148" s="22">
        <f t="array" ref="AA148">IF(ROW(AA148)&lt;=COUNTA(V:V)*2,IF(MOD(ROW(AA148),2)=1,INDEX(V:V,(ROW(AA148)+1)/2),INDEX(X:X,ROW(AA148)/2)),"")</f>
        <v>-105.55</v>
      </c>
      <c r="AB148" s="22">
        <f t="array" ref="AB148">IF(ROW(AB148)&lt;=COUNTA(W:W)*2,IF(MOD(ROW(AB148),2)=1,INDEX(W:W,(ROW(AB148)+1)/2),INDEX(Y:Y,ROW(AB148)/2)),"")</f>
        <v>125.05095</v>
      </c>
    </row>
    <row r="149" spans="1:28" s="2" customFormat="1" x14ac:dyDescent="0.25">
      <c r="A149" s="19"/>
      <c r="B149" s="20"/>
      <c r="C149" s="21"/>
      <c r="D149" s="22"/>
      <c r="F149" s="34">
        <f t="shared" si="29"/>
        <v>-307.95</v>
      </c>
      <c r="G149" s="34">
        <f t="shared" si="30"/>
        <v>112.2</v>
      </c>
      <c r="H149" s="34">
        <f t="shared" si="24"/>
        <v>-310.95</v>
      </c>
      <c r="I149" s="34">
        <f t="shared" si="31"/>
        <v>112.2</v>
      </c>
      <c r="J149" s="20"/>
      <c r="K149" s="34">
        <f t="array" ref="K149">IF(ROW(K149)&lt;=COUNTA(F:F)*2,IF(MOD(ROW(K149),2)=1,INDEX(F:F,(ROW(K149)+1)/2),INDEX(H:H,ROW(K149)/2)),"")</f>
        <v>-105.55</v>
      </c>
      <c r="L149" s="34">
        <f t="array" ref="L149">IF(ROW(L149)&lt;=COUNTA(G:G)*2,IF(MOD(ROW(L149),2)=1,INDEX(G:G,(ROW(L149)+1)/2),INDEX(I:I,ROW(L149)/2)),"")</f>
        <v>112.4</v>
      </c>
      <c r="N149" s="21">
        <f t="shared" si="32"/>
        <v>-307.95</v>
      </c>
      <c r="O149" s="21">
        <f t="shared" si="33"/>
        <v>115.4</v>
      </c>
      <c r="P149" s="21">
        <f t="shared" si="25"/>
        <v>-310.95</v>
      </c>
      <c r="Q149" s="21">
        <f t="shared" si="34"/>
        <v>115.4</v>
      </c>
      <c r="R149" s="21"/>
      <c r="S149" s="21">
        <f t="array" ref="S149">IF(ROW(S149)&lt;=COUNTA(N:N)*2,IF(MOD(ROW(S149),2)=1,INDEX(N:N,(ROW(S149)+1)/2),INDEX(P:P,ROW(S149)/2)),"")</f>
        <v>-105.55</v>
      </c>
      <c r="T149" s="21">
        <f t="array" ref="T149">IF(ROW(T149)&lt;=COUNTA(O:O)*2,IF(MOD(ROW(T149),2)=1,INDEX(O:O,(ROW(T149)+1)/2),INDEX(Q:Q,ROW(T149)/2)),"")</f>
        <v>117.5</v>
      </c>
      <c r="V149" s="22">
        <f t="shared" si="35"/>
        <v>-307.95</v>
      </c>
      <c r="W149" s="22">
        <f t="shared" si="26"/>
        <v>124.789025</v>
      </c>
      <c r="X149" s="22">
        <f t="shared" si="27"/>
        <v>-310.95</v>
      </c>
      <c r="Y149" s="22">
        <f t="shared" si="28"/>
        <v>124.789025</v>
      </c>
      <c r="Z149" s="22"/>
      <c r="AA149" s="22">
        <f t="array" ref="AA149">IF(ROW(AA149)&lt;=COUNTA(V:V)*2,IF(MOD(ROW(AA149),2)=1,INDEX(V:V,(ROW(AA149)+1)/2),INDEX(X:X,ROW(AA149)/2)),"")</f>
        <v>-105.55</v>
      </c>
      <c r="AB149" s="22">
        <f t="array" ref="AB149">IF(ROW(AB149)&lt;=COUNTA(W:W)*2,IF(MOD(ROW(AB149),2)=1,INDEX(W:W,(ROW(AB149)+1)/2),INDEX(Y:Y,ROW(AB149)/2)),"")</f>
        <v>122.68285</v>
      </c>
    </row>
    <row r="150" spans="1:28" s="2" customFormat="1" x14ac:dyDescent="0.25">
      <c r="A150" s="19"/>
      <c r="B150" s="20"/>
      <c r="C150" s="21"/>
      <c r="D150" s="22"/>
      <c r="F150" s="34">
        <f t="shared" si="29"/>
        <v>-310.95</v>
      </c>
      <c r="G150" s="34">
        <f t="shared" si="30"/>
        <v>112.5</v>
      </c>
      <c r="H150" s="34">
        <f t="shared" si="24"/>
        <v>-313.05</v>
      </c>
      <c r="I150" s="34">
        <f t="shared" si="31"/>
        <v>112.5</v>
      </c>
      <c r="J150" s="20"/>
      <c r="K150" s="34">
        <f t="array" ref="K150">IF(ROW(K150)&lt;=COUNTA(F:F)*2,IF(MOD(ROW(K150),2)=1,INDEX(F:F,(ROW(K150)+1)/2),INDEX(H:H,ROW(K150)/2)),"")</f>
        <v>-106.4</v>
      </c>
      <c r="L150" s="34">
        <f t="array" ref="L150">IF(ROW(L150)&lt;=COUNTA(G:G)*2,IF(MOD(ROW(L150),2)=1,INDEX(G:G,(ROW(L150)+1)/2),INDEX(I:I,ROW(L150)/2)),"")</f>
        <v>112.4</v>
      </c>
      <c r="N150" s="21">
        <f t="shared" si="32"/>
        <v>-310.95</v>
      </c>
      <c r="O150" s="21">
        <f t="shared" si="33"/>
        <v>115.8</v>
      </c>
      <c r="P150" s="21">
        <f t="shared" si="25"/>
        <v>-313.05</v>
      </c>
      <c r="Q150" s="21">
        <f t="shared" si="34"/>
        <v>115.8</v>
      </c>
      <c r="R150" s="21"/>
      <c r="S150" s="21">
        <f t="array" ref="S150">IF(ROW(S150)&lt;=COUNTA(N:N)*2,IF(MOD(ROW(S150),2)=1,INDEX(N:N,(ROW(S150)+1)/2),INDEX(P:P,ROW(S150)/2)),"")</f>
        <v>-106.4</v>
      </c>
      <c r="T150" s="21">
        <f t="array" ref="T150">IF(ROW(T150)&lt;=COUNTA(O:O)*2,IF(MOD(ROW(T150),2)=1,INDEX(O:O,(ROW(T150)+1)/2),INDEX(Q:Q,ROW(T150)/2)),"")</f>
        <v>117.5</v>
      </c>
      <c r="V150" s="22">
        <f t="shared" si="35"/>
        <v>-310.95</v>
      </c>
      <c r="W150" s="22">
        <f t="shared" si="26"/>
        <v>125.273075</v>
      </c>
      <c r="X150" s="22">
        <f t="shared" si="27"/>
        <v>-313.05</v>
      </c>
      <c r="Y150" s="22">
        <f t="shared" si="28"/>
        <v>125.273075</v>
      </c>
      <c r="Z150" s="22"/>
      <c r="AA150" s="22">
        <f t="array" ref="AA150">IF(ROW(AA150)&lt;=COUNTA(V:V)*2,IF(MOD(ROW(AA150),2)=1,INDEX(V:V,(ROW(AA150)+1)/2),INDEX(X:X,ROW(AA150)/2)),"")</f>
        <v>-106.4</v>
      </c>
      <c r="AB150" s="22">
        <f t="array" ref="AB150">IF(ROW(AB150)&lt;=COUNTA(W:W)*2,IF(MOD(ROW(AB150),2)=1,INDEX(W:W,(ROW(AB150)+1)/2),INDEX(Y:Y,ROW(AB150)/2)),"")</f>
        <v>122.68285</v>
      </c>
    </row>
    <row r="151" spans="1:28" s="2" customFormat="1" x14ac:dyDescent="0.25">
      <c r="A151" s="19"/>
      <c r="B151" s="20"/>
      <c r="C151" s="21"/>
      <c r="D151" s="22"/>
      <c r="F151" s="34">
        <f t="shared" si="29"/>
        <v>-313.05</v>
      </c>
      <c r="G151" s="34">
        <f t="shared" si="30"/>
        <v>112.5</v>
      </c>
      <c r="H151" s="34">
        <f t="shared" si="24"/>
        <v>-315.45</v>
      </c>
      <c r="I151" s="34">
        <f t="shared" si="31"/>
        <v>112.5</v>
      </c>
      <c r="J151" s="20"/>
      <c r="K151" s="34">
        <f t="array" ref="K151">IF(ROW(K151)&lt;=COUNTA(F:F)*2,IF(MOD(ROW(K151),2)=1,INDEX(F:F,(ROW(K151)+1)/2),INDEX(H:H,ROW(K151)/2)),"")</f>
        <v>-106.4</v>
      </c>
      <c r="L151" s="34">
        <f t="array" ref="L151">IF(ROW(L151)&lt;=COUNTA(G:G)*2,IF(MOD(ROW(L151),2)=1,INDEX(G:G,(ROW(L151)+1)/2),INDEX(I:I,ROW(L151)/2)),"")</f>
        <v>112.5</v>
      </c>
      <c r="N151" s="21">
        <f t="shared" si="32"/>
        <v>-313.05</v>
      </c>
      <c r="O151" s="21">
        <f t="shared" si="33"/>
        <v>117.2</v>
      </c>
      <c r="P151" s="21">
        <f t="shared" si="25"/>
        <v>-315.45</v>
      </c>
      <c r="Q151" s="21">
        <f t="shared" si="34"/>
        <v>117.2</v>
      </c>
      <c r="R151" s="21"/>
      <c r="S151" s="21">
        <f t="array" ref="S151">IF(ROW(S151)&lt;=COUNTA(N:N)*2,IF(MOD(ROW(S151),2)=1,INDEX(N:N,(ROW(S151)+1)/2),INDEX(P:P,ROW(S151)/2)),"")</f>
        <v>-106.4</v>
      </c>
      <c r="T151" s="21">
        <f t="array" ref="T151">IF(ROW(T151)&lt;=COUNTA(O:O)*2,IF(MOD(ROW(T151),2)=1,INDEX(O:O,(ROW(T151)+1)/2),INDEX(Q:Q,ROW(T151)/2)),"")</f>
        <v>119.7</v>
      </c>
      <c r="V151" s="22">
        <f t="shared" si="35"/>
        <v>-313.05</v>
      </c>
      <c r="W151" s="22">
        <f t="shared" si="26"/>
        <v>125.09255</v>
      </c>
      <c r="X151" s="22">
        <f t="shared" si="27"/>
        <v>-315.45</v>
      </c>
      <c r="Y151" s="22">
        <f t="shared" si="28"/>
        <v>125.09255</v>
      </c>
      <c r="Z151" s="22"/>
      <c r="AA151" s="22">
        <f t="array" ref="AA151">IF(ROW(AA151)&lt;=COUNTA(V:V)*2,IF(MOD(ROW(AA151),2)=1,INDEX(V:V,(ROW(AA151)+1)/2),INDEX(X:X,ROW(AA151)/2)),"")</f>
        <v>-106.4</v>
      </c>
      <c r="AB151" s="22">
        <f t="array" ref="AB151">IF(ROW(AB151)&lt;=COUNTA(W:W)*2,IF(MOD(ROW(AB151),2)=1,INDEX(W:W,(ROW(AB151)+1)/2),INDEX(Y:Y,ROW(AB151)/2)),"")</f>
        <v>122.664975</v>
      </c>
    </row>
    <row r="152" spans="1:28" s="2" customFormat="1" x14ac:dyDescent="0.25">
      <c r="A152" s="19"/>
      <c r="B152" s="20"/>
      <c r="C152" s="21"/>
      <c r="D152" s="22"/>
      <c r="F152" s="34">
        <f t="shared" si="29"/>
        <v>-315.45</v>
      </c>
      <c r="G152" s="34">
        <f t="shared" si="30"/>
        <v>111.5</v>
      </c>
      <c r="H152" s="34">
        <f t="shared" si="24"/>
        <v>-318.45</v>
      </c>
      <c r="I152" s="34">
        <f t="shared" si="31"/>
        <v>111.5</v>
      </c>
      <c r="J152" s="20"/>
      <c r="K152" s="34">
        <f t="array" ref="K152">IF(ROW(K152)&lt;=COUNTA(F:F)*2,IF(MOD(ROW(K152),2)=1,INDEX(F:F,(ROW(K152)+1)/2),INDEX(H:H,ROW(K152)/2)),"")</f>
        <v>-108.45</v>
      </c>
      <c r="L152" s="34">
        <f t="array" ref="L152">IF(ROW(L152)&lt;=COUNTA(G:G)*2,IF(MOD(ROW(L152),2)=1,INDEX(G:G,(ROW(L152)+1)/2),INDEX(I:I,ROW(L152)/2)),"")</f>
        <v>112.5</v>
      </c>
      <c r="N152" s="21">
        <f t="shared" si="32"/>
        <v>-315.45</v>
      </c>
      <c r="O152" s="21">
        <f t="shared" si="33"/>
        <v>115</v>
      </c>
      <c r="P152" s="21">
        <f t="shared" si="25"/>
        <v>-318.45</v>
      </c>
      <c r="Q152" s="21">
        <f t="shared" si="34"/>
        <v>115</v>
      </c>
      <c r="R152" s="21"/>
      <c r="S152" s="21">
        <f t="array" ref="S152">IF(ROW(S152)&lt;=COUNTA(N:N)*2,IF(MOD(ROW(S152),2)=1,INDEX(N:N,(ROW(S152)+1)/2),INDEX(P:P,ROW(S152)/2)),"")</f>
        <v>-108.45</v>
      </c>
      <c r="T152" s="21">
        <f t="array" ref="T152">IF(ROW(T152)&lt;=COUNTA(O:O)*2,IF(MOD(ROW(T152),2)=1,INDEX(O:O,(ROW(T152)+1)/2),INDEX(Q:Q,ROW(T152)/2)),"")</f>
        <v>119.7</v>
      </c>
      <c r="V152" s="22">
        <f t="shared" si="35"/>
        <v>-315.45</v>
      </c>
      <c r="W152" s="22">
        <f t="shared" si="26"/>
        <v>124.82745</v>
      </c>
      <c r="X152" s="22">
        <f t="shared" si="27"/>
        <v>-318.45</v>
      </c>
      <c r="Y152" s="22">
        <f t="shared" si="28"/>
        <v>124.82745</v>
      </c>
      <c r="Z152" s="22"/>
      <c r="AA152" s="22">
        <f t="array" ref="AA152">IF(ROW(AA152)&lt;=COUNTA(V:V)*2,IF(MOD(ROW(AA152),2)=1,INDEX(V:V,(ROW(AA152)+1)/2),INDEX(X:X,ROW(AA152)/2)),"")</f>
        <v>-108.45</v>
      </c>
      <c r="AB152" s="22">
        <f t="array" ref="AB152">IF(ROW(AB152)&lt;=COUNTA(W:W)*2,IF(MOD(ROW(AB152),2)=1,INDEX(W:W,(ROW(AB152)+1)/2),INDEX(Y:Y,ROW(AB152)/2)),"")</f>
        <v>122.664975</v>
      </c>
    </row>
    <row r="153" spans="1:28" s="2" customFormat="1" x14ac:dyDescent="0.25">
      <c r="A153" s="19"/>
      <c r="B153" s="20"/>
      <c r="C153" s="21"/>
      <c r="D153" s="22"/>
      <c r="F153" s="34">
        <f t="shared" si="29"/>
        <v>-318.45</v>
      </c>
      <c r="G153" s="34">
        <f t="shared" si="30"/>
        <v>112</v>
      </c>
      <c r="H153" s="34">
        <f t="shared" si="24"/>
        <v>-321.45</v>
      </c>
      <c r="I153" s="34">
        <f t="shared" si="31"/>
        <v>112</v>
      </c>
      <c r="J153" s="20"/>
      <c r="K153" s="34">
        <f t="array" ref="K153">IF(ROW(K153)&lt;=COUNTA(F:F)*2,IF(MOD(ROW(K153),2)=1,INDEX(F:F,(ROW(K153)+1)/2),INDEX(H:H,ROW(K153)/2)),"")</f>
        <v>-108.45</v>
      </c>
      <c r="L153" s="34">
        <f t="array" ref="L153">IF(ROW(L153)&lt;=COUNTA(G:G)*2,IF(MOD(ROW(L153),2)=1,INDEX(G:G,(ROW(L153)+1)/2),INDEX(I:I,ROW(L153)/2)),"")</f>
        <v>112.2</v>
      </c>
      <c r="N153" s="21">
        <f t="shared" si="32"/>
        <v>-318.45</v>
      </c>
      <c r="O153" s="21">
        <f t="shared" si="33"/>
        <v>118.1</v>
      </c>
      <c r="P153" s="21">
        <f t="shared" si="25"/>
        <v>-321.45</v>
      </c>
      <c r="Q153" s="21">
        <f t="shared" si="34"/>
        <v>118.1</v>
      </c>
      <c r="R153" s="21"/>
      <c r="S153" s="21">
        <f t="array" ref="S153">IF(ROW(S153)&lt;=COUNTA(N:N)*2,IF(MOD(ROW(S153),2)=1,INDEX(N:N,(ROW(S153)+1)/2),INDEX(P:P,ROW(S153)/2)),"")</f>
        <v>-108.45</v>
      </c>
      <c r="T153" s="21">
        <f t="array" ref="T153">IF(ROW(T153)&lt;=COUNTA(O:O)*2,IF(MOD(ROW(T153),2)=1,INDEX(O:O,(ROW(T153)+1)/2),INDEX(Q:Q,ROW(T153)/2)),"")</f>
        <v>120.3</v>
      </c>
      <c r="V153" s="22">
        <f t="shared" si="35"/>
        <v>-318.45</v>
      </c>
      <c r="W153" s="22">
        <f t="shared" si="26"/>
        <v>124.8898</v>
      </c>
      <c r="X153" s="22">
        <f t="shared" si="27"/>
        <v>-321.45</v>
      </c>
      <c r="Y153" s="22">
        <f t="shared" si="28"/>
        <v>124.8898</v>
      </c>
      <c r="Z153" s="22"/>
      <c r="AA153" s="22">
        <f t="array" ref="AA153">IF(ROW(AA153)&lt;=COUNTA(V:V)*2,IF(MOD(ROW(AA153),2)=1,INDEX(V:V,(ROW(AA153)+1)/2),INDEX(X:X,ROW(AA153)/2)),"")</f>
        <v>-108.45</v>
      </c>
      <c r="AB153" s="22">
        <f t="array" ref="AB153">IF(ROW(AB153)&lt;=COUNTA(W:W)*2,IF(MOD(ROW(AB153),2)=1,INDEX(W:W,(ROW(AB153)+1)/2),INDEX(Y:Y,ROW(AB153)/2)),"")</f>
        <v>122.654975</v>
      </c>
    </row>
    <row r="154" spans="1:28" s="2" customFormat="1" x14ac:dyDescent="0.25">
      <c r="A154" s="19"/>
      <c r="B154" s="20"/>
      <c r="C154" s="21"/>
      <c r="D154" s="22"/>
      <c r="F154" s="34">
        <f t="shared" si="29"/>
        <v>-321.45</v>
      </c>
      <c r="G154" s="34">
        <f t="shared" si="30"/>
        <v>112</v>
      </c>
      <c r="H154" s="34">
        <f t="shared" si="24"/>
        <v>-324.45</v>
      </c>
      <c r="I154" s="34">
        <f t="shared" si="31"/>
        <v>112</v>
      </c>
      <c r="J154" s="20"/>
      <c r="K154" s="34">
        <f t="array" ref="K154">IF(ROW(K154)&lt;=COUNTA(F:F)*2,IF(MOD(ROW(K154),2)=1,INDEX(F:F,(ROW(K154)+1)/2),INDEX(H:H,ROW(K154)/2)),"")</f>
        <v>-111.45</v>
      </c>
      <c r="L154" s="34">
        <f t="array" ref="L154">IF(ROW(L154)&lt;=COUNTA(G:G)*2,IF(MOD(ROW(L154),2)=1,INDEX(G:G,(ROW(L154)+1)/2),INDEX(I:I,ROW(L154)/2)),"")</f>
        <v>112.2</v>
      </c>
      <c r="N154" s="21">
        <f t="shared" si="32"/>
        <v>-321.45</v>
      </c>
      <c r="O154" s="21">
        <f t="shared" si="33"/>
        <v>117.4</v>
      </c>
      <c r="P154" s="21">
        <f t="shared" si="25"/>
        <v>-324.45</v>
      </c>
      <c r="Q154" s="21">
        <f t="shared" si="34"/>
        <v>117.4</v>
      </c>
      <c r="R154" s="21"/>
      <c r="S154" s="21">
        <f t="array" ref="S154">IF(ROW(S154)&lt;=COUNTA(N:N)*2,IF(MOD(ROW(S154),2)=1,INDEX(N:N,(ROW(S154)+1)/2),INDEX(P:P,ROW(S154)/2)),"")</f>
        <v>-111.45</v>
      </c>
      <c r="T154" s="21">
        <f t="array" ref="T154">IF(ROW(T154)&lt;=COUNTA(O:O)*2,IF(MOD(ROW(T154),2)=1,INDEX(O:O,(ROW(T154)+1)/2),INDEX(Q:Q,ROW(T154)/2)),"")</f>
        <v>120.3</v>
      </c>
      <c r="V154" s="22">
        <f t="shared" si="35"/>
        <v>-321.45</v>
      </c>
      <c r="W154" s="22">
        <f t="shared" si="26"/>
        <v>125.09255</v>
      </c>
      <c r="X154" s="22">
        <f t="shared" si="27"/>
        <v>-324.45</v>
      </c>
      <c r="Y154" s="22">
        <f t="shared" si="28"/>
        <v>125.09255</v>
      </c>
      <c r="Z154" s="22"/>
      <c r="AA154" s="22">
        <f t="array" ref="AA154">IF(ROW(AA154)&lt;=COUNTA(V:V)*2,IF(MOD(ROW(AA154),2)=1,INDEX(V:V,(ROW(AA154)+1)/2),INDEX(X:X,ROW(AA154)/2)),"")</f>
        <v>-111.45</v>
      </c>
      <c r="AB154" s="22">
        <f t="array" ref="AB154">IF(ROW(AB154)&lt;=COUNTA(W:W)*2,IF(MOD(ROW(AB154),2)=1,INDEX(W:W,(ROW(AB154)+1)/2),INDEX(Y:Y,ROW(AB154)/2)),"")</f>
        <v>122.654975</v>
      </c>
    </row>
    <row r="155" spans="1:28" s="2" customFormat="1" x14ac:dyDescent="0.25">
      <c r="A155" s="19"/>
      <c r="B155" s="20"/>
      <c r="C155" s="21"/>
      <c r="D155" s="22"/>
      <c r="F155" s="34">
        <f t="shared" si="29"/>
        <v>-324.45</v>
      </c>
      <c r="G155" s="34">
        <f t="shared" si="30"/>
        <v>112.5</v>
      </c>
      <c r="H155" s="34">
        <f t="shared" si="24"/>
        <v>-327.15</v>
      </c>
      <c r="I155" s="34">
        <f t="shared" si="31"/>
        <v>112.5</v>
      </c>
      <c r="J155" s="20"/>
      <c r="K155" s="34">
        <f t="array" ref="K155">IF(ROW(K155)&lt;=COUNTA(F:F)*2,IF(MOD(ROW(K155),2)=1,INDEX(F:F,(ROW(K155)+1)/2),INDEX(H:H,ROW(K155)/2)),"")</f>
        <v>-111.45</v>
      </c>
      <c r="L155" s="34">
        <f t="array" ref="L155">IF(ROW(L155)&lt;=COUNTA(G:G)*2,IF(MOD(ROW(L155),2)=1,INDEX(G:G,(ROW(L155)+1)/2),INDEX(I:I,ROW(L155)/2)),"")</f>
        <v>112.5</v>
      </c>
      <c r="N155" s="21">
        <f t="shared" si="32"/>
        <v>-324.45</v>
      </c>
      <c r="O155" s="21">
        <f t="shared" si="33"/>
        <v>118.5</v>
      </c>
      <c r="P155" s="21">
        <f t="shared" si="25"/>
        <v>-327.15</v>
      </c>
      <c r="Q155" s="21">
        <f t="shared" si="34"/>
        <v>118.5</v>
      </c>
      <c r="R155" s="21"/>
      <c r="S155" s="21">
        <f t="array" ref="S155">IF(ROW(S155)&lt;=COUNTA(N:N)*2,IF(MOD(ROW(S155),2)=1,INDEX(N:N,(ROW(S155)+1)/2),INDEX(P:P,ROW(S155)/2)),"")</f>
        <v>-111.45</v>
      </c>
      <c r="T155" s="21">
        <f t="array" ref="T155">IF(ROW(T155)&lt;=COUNTA(O:O)*2,IF(MOD(ROW(T155),2)=1,INDEX(O:O,(ROW(T155)+1)/2),INDEX(Q:Q,ROW(T155)/2)),"")</f>
        <v>121.2</v>
      </c>
      <c r="V155" s="22">
        <f t="shared" si="35"/>
        <v>-324.45</v>
      </c>
      <c r="W155" s="22">
        <f t="shared" si="26"/>
        <v>125.759</v>
      </c>
      <c r="X155" s="22">
        <f t="shared" si="27"/>
        <v>-327.15</v>
      </c>
      <c r="Y155" s="22">
        <f t="shared" si="28"/>
        <v>125.759</v>
      </c>
      <c r="Z155" s="22"/>
      <c r="AA155" s="22">
        <f t="array" ref="AA155">IF(ROW(AA155)&lt;=COUNTA(V:V)*2,IF(MOD(ROW(AA155),2)=1,INDEX(V:V,(ROW(AA155)+1)/2),INDEX(X:X,ROW(AA155)/2)),"")</f>
        <v>-111.45</v>
      </c>
      <c r="AB155" s="22">
        <f t="array" ref="AB155">IF(ROW(AB155)&lt;=COUNTA(W:W)*2,IF(MOD(ROW(AB155),2)=1,INDEX(W:W,(ROW(AB155)+1)/2),INDEX(Y:Y,ROW(AB155)/2)),"")</f>
        <v>122.653175</v>
      </c>
    </row>
    <row r="156" spans="1:28" s="2" customFormat="1" x14ac:dyDescent="0.25">
      <c r="A156" s="19"/>
      <c r="B156" s="20"/>
      <c r="C156" s="21"/>
      <c r="D156" s="22"/>
      <c r="F156" s="34">
        <f t="shared" si="29"/>
        <v>-327.15</v>
      </c>
      <c r="G156" s="34">
        <f t="shared" si="30"/>
        <v>112.2</v>
      </c>
      <c r="H156" s="34">
        <f t="shared" si="24"/>
        <v>-330.15</v>
      </c>
      <c r="I156" s="34">
        <f t="shared" si="31"/>
        <v>112.2</v>
      </c>
      <c r="J156" s="20"/>
      <c r="K156" s="34">
        <f t="array" ref="K156">IF(ROW(K156)&lt;=COUNTA(F:F)*2,IF(MOD(ROW(K156),2)=1,INDEX(F:F,(ROW(K156)+1)/2),INDEX(H:H,ROW(K156)/2)),"")</f>
        <v>-114.45</v>
      </c>
      <c r="L156" s="34">
        <f t="array" ref="L156">IF(ROW(L156)&lt;=COUNTA(G:G)*2,IF(MOD(ROW(L156),2)=1,INDEX(G:G,(ROW(L156)+1)/2),INDEX(I:I,ROW(L156)/2)),"")</f>
        <v>112.5</v>
      </c>
      <c r="N156" s="21">
        <f t="shared" si="32"/>
        <v>-327.15</v>
      </c>
      <c r="O156" s="21">
        <f t="shared" si="33"/>
        <v>119.5</v>
      </c>
      <c r="P156" s="21">
        <f t="shared" si="25"/>
        <v>-330.15</v>
      </c>
      <c r="Q156" s="21">
        <f t="shared" si="34"/>
        <v>119.5</v>
      </c>
      <c r="R156" s="21"/>
      <c r="S156" s="21">
        <f t="array" ref="S156">IF(ROW(S156)&lt;=COUNTA(N:N)*2,IF(MOD(ROW(S156),2)=1,INDEX(N:N,(ROW(S156)+1)/2),INDEX(P:P,ROW(S156)/2)),"")</f>
        <v>-114.45</v>
      </c>
      <c r="T156" s="21">
        <f t="array" ref="T156">IF(ROW(T156)&lt;=COUNTA(O:O)*2,IF(MOD(ROW(T156),2)=1,INDEX(O:O,(ROW(T156)+1)/2),INDEX(Q:Q,ROW(T156)/2)),"")</f>
        <v>121.2</v>
      </c>
      <c r="V156" s="22">
        <f t="shared" si="35"/>
        <v>-327.15</v>
      </c>
      <c r="W156" s="22">
        <f t="shared" si="26"/>
        <v>125.319575</v>
      </c>
      <c r="X156" s="22">
        <f t="shared" si="27"/>
        <v>-330.15</v>
      </c>
      <c r="Y156" s="22">
        <f t="shared" si="28"/>
        <v>125.319575</v>
      </c>
      <c r="Z156" s="22"/>
      <c r="AA156" s="22">
        <f t="array" ref="AA156">IF(ROW(AA156)&lt;=COUNTA(V:V)*2,IF(MOD(ROW(AA156),2)=1,INDEX(V:V,(ROW(AA156)+1)/2),INDEX(X:X,ROW(AA156)/2)),"")</f>
        <v>-114.45</v>
      </c>
      <c r="AB156" s="22">
        <f t="array" ref="AB156">IF(ROW(AB156)&lt;=COUNTA(W:W)*2,IF(MOD(ROW(AB156),2)=1,INDEX(W:W,(ROW(AB156)+1)/2),INDEX(Y:Y,ROW(AB156)/2)),"")</f>
        <v>122.653175</v>
      </c>
    </row>
    <row r="157" spans="1:28" s="2" customFormat="1" x14ac:dyDescent="0.25">
      <c r="A157" s="19"/>
      <c r="B157" s="20"/>
      <c r="C157" s="21"/>
      <c r="D157" s="22"/>
      <c r="F157" s="34">
        <f t="shared" si="29"/>
        <v>-330.15</v>
      </c>
      <c r="G157" s="34">
        <f t="shared" si="30"/>
        <v>112.5</v>
      </c>
      <c r="H157" s="34">
        <f t="shared" si="24"/>
        <v>-333.15</v>
      </c>
      <c r="I157" s="34">
        <f t="shared" si="31"/>
        <v>112.5</v>
      </c>
      <c r="J157" s="20"/>
      <c r="K157" s="34">
        <f t="array" ref="K157">IF(ROW(K157)&lt;=COUNTA(F:F)*2,IF(MOD(ROW(K157),2)=1,INDEX(F:F,(ROW(K157)+1)/2),INDEX(H:H,ROW(K157)/2)),"")</f>
        <v>-114.45</v>
      </c>
      <c r="L157" s="34">
        <f t="array" ref="L157">IF(ROW(L157)&lt;=COUNTA(G:G)*2,IF(MOD(ROW(L157),2)=1,INDEX(G:G,(ROW(L157)+1)/2),INDEX(I:I,ROW(L157)/2)),"")</f>
        <v>112.4</v>
      </c>
      <c r="N157" s="21">
        <f t="shared" si="32"/>
        <v>-330.15</v>
      </c>
      <c r="O157" s="21">
        <f t="shared" si="33"/>
        <v>119.1</v>
      </c>
      <c r="P157" s="21">
        <f t="shared" si="25"/>
        <v>-333.15</v>
      </c>
      <c r="Q157" s="21">
        <f t="shared" si="34"/>
        <v>119.1</v>
      </c>
      <c r="R157" s="21"/>
      <c r="S157" s="21">
        <f t="array" ref="S157">IF(ROW(S157)&lt;=COUNTA(N:N)*2,IF(MOD(ROW(S157),2)=1,INDEX(N:N,(ROW(S157)+1)/2),INDEX(P:P,ROW(S157)/2)),"")</f>
        <v>-114.45</v>
      </c>
      <c r="T157" s="21">
        <f t="array" ref="T157">IF(ROW(T157)&lt;=COUNTA(O:O)*2,IF(MOD(ROW(T157),2)=1,INDEX(O:O,(ROW(T157)+1)/2),INDEX(Q:Q,ROW(T157)/2)),"")</f>
        <v>119.5</v>
      </c>
      <c r="V157" s="22">
        <f t="shared" si="35"/>
        <v>-330.15</v>
      </c>
      <c r="W157" s="22">
        <f t="shared" si="26"/>
        <v>125.3227</v>
      </c>
      <c r="X157" s="22">
        <f t="shared" si="27"/>
        <v>-333.15</v>
      </c>
      <c r="Y157" s="22">
        <f t="shared" si="28"/>
        <v>125.3227</v>
      </c>
      <c r="Z157" s="22"/>
      <c r="AA157" s="22">
        <f t="array" ref="AA157">IF(ROW(AA157)&lt;=COUNTA(V:V)*2,IF(MOD(ROW(AA157),2)=1,INDEX(V:V,(ROW(AA157)+1)/2),INDEX(X:X,ROW(AA157)/2)),"")</f>
        <v>-114.45</v>
      </c>
      <c r="AB157" s="22">
        <f t="array" ref="AB157">IF(ROW(AB157)&lt;=COUNTA(W:W)*2,IF(MOD(ROW(AB157),2)=1,INDEX(W:W,(ROW(AB157)+1)/2),INDEX(Y:Y,ROW(AB157)/2)),"")</f>
        <v>122.653175</v>
      </c>
    </row>
    <row r="158" spans="1:28" s="2" customFormat="1" x14ac:dyDescent="0.25">
      <c r="A158" s="19"/>
      <c r="B158" s="20"/>
      <c r="C158" s="21"/>
      <c r="D158" s="22"/>
      <c r="F158" s="34">
        <f t="shared" si="29"/>
        <v>-333.15</v>
      </c>
      <c r="G158" s="34">
        <f t="shared" si="30"/>
        <v>112.4</v>
      </c>
      <c r="H158" s="34">
        <f t="shared" si="24"/>
        <v>-336.15</v>
      </c>
      <c r="I158" s="34">
        <f t="shared" si="31"/>
        <v>112.4</v>
      </c>
      <c r="J158" s="20"/>
      <c r="K158" s="34">
        <f t="array" ref="K158">IF(ROW(K158)&lt;=COUNTA(F:F)*2,IF(MOD(ROW(K158),2)=1,INDEX(F:F,(ROW(K158)+1)/2),INDEX(H:H,ROW(K158)/2)),"")</f>
        <v>-117.45</v>
      </c>
      <c r="L158" s="34">
        <f t="array" ref="L158">IF(ROW(L158)&lt;=COUNTA(G:G)*2,IF(MOD(ROW(L158),2)=1,INDEX(G:G,(ROW(L158)+1)/2),INDEX(I:I,ROW(L158)/2)),"")</f>
        <v>112.4</v>
      </c>
      <c r="N158" s="21">
        <f t="shared" si="32"/>
        <v>-333.15</v>
      </c>
      <c r="O158" s="21">
        <f t="shared" si="33"/>
        <v>117.3</v>
      </c>
      <c r="P158" s="21">
        <f t="shared" si="25"/>
        <v>-336.15</v>
      </c>
      <c r="Q158" s="21">
        <f t="shared" si="34"/>
        <v>117.3</v>
      </c>
      <c r="R158" s="21"/>
      <c r="S158" s="21">
        <f t="array" ref="S158">IF(ROW(S158)&lt;=COUNTA(N:N)*2,IF(MOD(ROW(S158),2)=1,INDEX(N:N,(ROW(S158)+1)/2),INDEX(P:P,ROW(S158)/2)),"")</f>
        <v>-117.45</v>
      </c>
      <c r="T158" s="21">
        <f t="array" ref="T158">IF(ROW(T158)&lt;=COUNTA(O:O)*2,IF(MOD(ROW(T158),2)=1,INDEX(O:O,(ROW(T158)+1)/2),INDEX(Q:Q,ROW(T158)/2)),"")</f>
        <v>119.5</v>
      </c>
      <c r="V158" s="22">
        <f t="shared" si="35"/>
        <v>-333.15</v>
      </c>
      <c r="W158" s="22">
        <f t="shared" si="26"/>
        <v>125.3227</v>
      </c>
      <c r="X158" s="22">
        <f t="shared" si="27"/>
        <v>-336.15</v>
      </c>
      <c r="Y158" s="22">
        <f t="shared" si="28"/>
        <v>125.3227</v>
      </c>
      <c r="Z158" s="22"/>
      <c r="AA158" s="22">
        <f t="array" ref="AA158">IF(ROW(AA158)&lt;=COUNTA(V:V)*2,IF(MOD(ROW(AA158),2)=1,INDEX(V:V,(ROW(AA158)+1)/2),INDEX(X:X,ROW(AA158)/2)),"")</f>
        <v>-117.45</v>
      </c>
      <c r="AB158" s="22">
        <f t="array" ref="AB158">IF(ROW(AB158)&lt;=COUNTA(W:W)*2,IF(MOD(ROW(AB158),2)=1,INDEX(W:W,(ROW(AB158)+1)/2),INDEX(Y:Y,ROW(AB158)/2)),"")</f>
        <v>122.653175</v>
      </c>
    </row>
    <row r="159" spans="1:28" s="2" customFormat="1" x14ac:dyDescent="0.25">
      <c r="A159" s="19"/>
      <c r="B159" s="20"/>
      <c r="C159" s="21"/>
      <c r="D159" s="22"/>
      <c r="F159" s="34">
        <f t="shared" si="29"/>
        <v>-336.15</v>
      </c>
      <c r="G159" s="34">
        <f t="shared" si="30"/>
        <v>112.5</v>
      </c>
      <c r="H159" s="34">
        <f t="shared" si="24"/>
        <v>-339.15</v>
      </c>
      <c r="I159" s="34">
        <f t="shared" si="31"/>
        <v>112.5</v>
      </c>
      <c r="J159" s="20"/>
      <c r="K159" s="34">
        <f t="array" ref="K159">IF(ROW(K159)&lt;=COUNTA(F:F)*2,IF(MOD(ROW(K159),2)=1,INDEX(F:F,(ROW(K159)+1)/2),INDEX(H:H,ROW(K159)/2)),"")</f>
        <v>-117.45</v>
      </c>
      <c r="L159" s="34">
        <f t="array" ref="L159">IF(ROW(L159)&lt;=COUNTA(G:G)*2,IF(MOD(ROW(L159),2)=1,INDEX(G:G,(ROW(L159)+1)/2),INDEX(I:I,ROW(L159)/2)),"")</f>
        <v>112.5</v>
      </c>
      <c r="N159" s="21">
        <f t="shared" si="32"/>
        <v>-336.15</v>
      </c>
      <c r="O159" s="21">
        <f t="shared" si="33"/>
        <v>117.2</v>
      </c>
      <c r="P159" s="21">
        <f t="shared" si="25"/>
        <v>-339.15</v>
      </c>
      <c r="Q159" s="21">
        <f t="shared" si="34"/>
        <v>117.2</v>
      </c>
      <c r="R159" s="21"/>
      <c r="S159" s="21">
        <f t="array" ref="S159">IF(ROW(S159)&lt;=COUNTA(N:N)*2,IF(MOD(ROW(S159),2)=1,INDEX(N:N,(ROW(S159)+1)/2),INDEX(P:P,ROW(S159)/2)),"")</f>
        <v>-117.45</v>
      </c>
      <c r="T159" s="21">
        <f t="array" ref="T159">IF(ROW(T159)&lt;=COUNTA(O:O)*2,IF(MOD(ROW(T159),2)=1,INDEX(O:O,(ROW(T159)+1)/2),INDEX(Q:Q,ROW(T159)/2)),"")</f>
        <v>113.6</v>
      </c>
      <c r="V159" s="22">
        <f t="shared" si="35"/>
        <v>-336.15</v>
      </c>
      <c r="W159" s="22">
        <f t="shared" si="26"/>
        <v>125.3227</v>
      </c>
      <c r="X159" s="22">
        <f t="shared" si="27"/>
        <v>-339.15</v>
      </c>
      <c r="Y159" s="22">
        <f t="shared" si="28"/>
        <v>125.3227</v>
      </c>
      <c r="Z159" s="22"/>
      <c r="AA159" s="22">
        <f t="array" ref="AA159">IF(ROW(AA159)&lt;=COUNTA(V:V)*2,IF(MOD(ROW(AA159),2)=1,INDEX(V:V,(ROW(AA159)+1)/2),INDEX(X:X,ROW(AA159)/2)),"")</f>
        <v>-117.45</v>
      </c>
      <c r="AB159" s="22">
        <f t="array" ref="AB159">IF(ROW(AB159)&lt;=COUNTA(W:W)*2,IF(MOD(ROW(AB159),2)=1,INDEX(W:W,(ROW(AB159)+1)/2),INDEX(Y:Y,ROW(AB159)/2)),"")</f>
        <v>122.6518</v>
      </c>
    </row>
    <row r="160" spans="1:28" s="2" customFormat="1" x14ac:dyDescent="0.25">
      <c r="A160" s="19"/>
      <c r="B160" s="20"/>
      <c r="C160" s="21"/>
      <c r="D160" s="22"/>
      <c r="F160" s="34">
        <f t="shared" si="29"/>
        <v>-339.15</v>
      </c>
      <c r="G160" s="34">
        <f t="shared" si="30"/>
        <v>112.5</v>
      </c>
      <c r="H160" s="34">
        <f t="shared" si="24"/>
        <v>-342.15</v>
      </c>
      <c r="I160" s="34">
        <f t="shared" si="31"/>
        <v>112.5</v>
      </c>
      <c r="J160" s="20"/>
      <c r="K160" s="34">
        <f t="array" ref="K160">IF(ROW(K160)&lt;=COUNTA(F:F)*2,IF(MOD(ROW(K160),2)=1,INDEX(F:F,(ROW(K160)+1)/2),INDEX(H:H,ROW(K160)/2)),"")</f>
        <v>-120.45</v>
      </c>
      <c r="L160" s="34">
        <f t="array" ref="L160">IF(ROW(L160)&lt;=COUNTA(G:G)*2,IF(MOD(ROW(L160),2)=1,INDEX(G:G,(ROW(L160)+1)/2),INDEX(I:I,ROW(L160)/2)),"")</f>
        <v>112.5</v>
      </c>
      <c r="N160" s="21">
        <f t="shared" si="32"/>
        <v>-339.15</v>
      </c>
      <c r="O160" s="21">
        <f t="shared" si="33"/>
        <v>120.6</v>
      </c>
      <c r="P160" s="21">
        <f t="shared" si="25"/>
        <v>-342.15</v>
      </c>
      <c r="Q160" s="21">
        <f t="shared" si="34"/>
        <v>120.6</v>
      </c>
      <c r="R160" s="21"/>
      <c r="S160" s="21">
        <f t="array" ref="S160">IF(ROW(S160)&lt;=COUNTA(N:N)*2,IF(MOD(ROW(S160),2)=1,INDEX(N:N,(ROW(S160)+1)/2),INDEX(P:P,ROW(S160)/2)),"")</f>
        <v>-120.45</v>
      </c>
      <c r="T160" s="21">
        <f t="array" ref="T160">IF(ROW(T160)&lt;=COUNTA(O:O)*2,IF(MOD(ROW(T160),2)=1,INDEX(O:O,(ROW(T160)+1)/2),INDEX(Q:Q,ROW(T160)/2)),"")</f>
        <v>113.6</v>
      </c>
      <c r="V160" s="22">
        <f t="shared" si="35"/>
        <v>-339.15</v>
      </c>
      <c r="W160" s="22">
        <f t="shared" si="26"/>
        <v>125.3227</v>
      </c>
      <c r="X160" s="22">
        <f t="shared" si="27"/>
        <v>-342.15</v>
      </c>
      <c r="Y160" s="22">
        <f t="shared" si="28"/>
        <v>125.3227</v>
      </c>
      <c r="Z160" s="22"/>
      <c r="AA160" s="22">
        <f t="array" ref="AA160">IF(ROW(AA160)&lt;=COUNTA(V:V)*2,IF(MOD(ROW(AA160),2)=1,INDEX(V:V,(ROW(AA160)+1)/2),INDEX(X:X,ROW(AA160)/2)),"")</f>
        <v>-120.45</v>
      </c>
      <c r="AB160" s="22">
        <f t="array" ref="AB160">IF(ROW(AB160)&lt;=COUNTA(W:W)*2,IF(MOD(ROW(AB160),2)=1,INDEX(W:W,(ROW(AB160)+1)/2),INDEX(Y:Y,ROW(AB160)/2)),"")</f>
        <v>122.6518</v>
      </c>
    </row>
    <row r="161" spans="1:28" s="2" customFormat="1" x14ac:dyDescent="0.25">
      <c r="A161" s="19"/>
      <c r="B161" s="20"/>
      <c r="C161" s="21"/>
      <c r="D161" s="22"/>
      <c r="F161" s="34">
        <f t="shared" si="29"/>
        <v>-342.15</v>
      </c>
      <c r="G161" s="34">
        <f t="shared" si="30"/>
        <v>112.4</v>
      </c>
      <c r="H161" s="34">
        <f t="shared" si="24"/>
        <v>-345.15</v>
      </c>
      <c r="I161" s="34">
        <f t="shared" si="31"/>
        <v>112.4</v>
      </c>
      <c r="J161" s="20"/>
      <c r="K161" s="34">
        <f t="array" ref="K161">IF(ROW(K161)&lt;=COUNTA(F:F)*2,IF(MOD(ROW(K161),2)=1,INDEX(F:F,(ROW(K161)+1)/2),INDEX(H:H,ROW(K161)/2)),"")</f>
        <v>-120.45</v>
      </c>
      <c r="L161" s="34">
        <f t="array" ref="L161">IF(ROW(L161)&lt;=COUNTA(G:G)*2,IF(MOD(ROW(L161),2)=1,INDEX(G:G,(ROW(L161)+1)/2),INDEX(I:I,ROW(L161)/2)),"")</f>
        <v>112.4</v>
      </c>
      <c r="N161" s="21">
        <f t="shared" si="32"/>
        <v>-342.15</v>
      </c>
      <c r="O161" s="21">
        <f t="shared" si="33"/>
        <v>117.3</v>
      </c>
      <c r="P161" s="21">
        <f t="shared" si="25"/>
        <v>-345.15</v>
      </c>
      <c r="Q161" s="21">
        <f t="shared" si="34"/>
        <v>117.3</v>
      </c>
      <c r="R161" s="21"/>
      <c r="S161" s="21">
        <f t="array" ref="S161">IF(ROW(S161)&lt;=COUNTA(N:N)*2,IF(MOD(ROW(S161),2)=1,INDEX(N:N,(ROW(S161)+1)/2),INDEX(P:P,ROW(S161)/2)),"")</f>
        <v>-120.45</v>
      </c>
      <c r="T161" s="21">
        <f t="array" ref="T161">IF(ROW(T161)&lt;=COUNTA(O:O)*2,IF(MOD(ROW(T161),2)=1,INDEX(O:O,(ROW(T161)+1)/2),INDEX(Q:Q,ROW(T161)/2)),"")</f>
        <v>119.5</v>
      </c>
      <c r="V161" s="22">
        <f t="shared" si="35"/>
        <v>-342.15</v>
      </c>
      <c r="W161" s="22">
        <f t="shared" si="26"/>
        <v>125.3227</v>
      </c>
      <c r="X161" s="22">
        <f t="shared" si="27"/>
        <v>-345.15</v>
      </c>
      <c r="Y161" s="22">
        <f t="shared" si="28"/>
        <v>125.3227</v>
      </c>
      <c r="Z161" s="22"/>
      <c r="AA161" s="22">
        <f t="array" ref="AA161">IF(ROW(AA161)&lt;=COUNTA(V:V)*2,IF(MOD(ROW(AA161),2)=1,INDEX(V:V,(ROW(AA161)+1)/2),INDEX(X:X,ROW(AA161)/2)),"")</f>
        <v>-120.45</v>
      </c>
      <c r="AB161" s="22">
        <f t="array" ref="AB161">IF(ROW(AB161)&lt;=COUNTA(W:W)*2,IF(MOD(ROW(AB161),2)=1,INDEX(W:W,(ROW(AB161)+1)/2),INDEX(Y:Y,ROW(AB161)/2)),"")</f>
        <v>122.653175</v>
      </c>
    </row>
    <row r="162" spans="1:28" s="2" customFormat="1" x14ac:dyDescent="0.25">
      <c r="A162" s="19"/>
      <c r="B162" s="20"/>
      <c r="C162" s="21"/>
      <c r="D162" s="22"/>
      <c r="F162" s="34">
        <f t="shared" si="29"/>
        <v>-345.15</v>
      </c>
      <c r="G162" s="34">
        <f t="shared" si="30"/>
        <v>112.4</v>
      </c>
      <c r="H162" s="34">
        <f t="shared" si="24"/>
        <v>-348.15</v>
      </c>
      <c r="I162" s="34">
        <f t="shared" si="31"/>
        <v>112.4</v>
      </c>
      <c r="J162" s="20"/>
      <c r="K162" s="34">
        <f t="array" ref="K162">IF(ROW(K162)&lt;=COUNTA(F:F)*2,IF(MOD(ROW(K162),2)=1,INDEX(F:F,(ROW(K162)+1)/2),INDEX(H:H,ROW(K162)/2)),"")</f>
        <v>-123.45</v>
      </c>
      <c r="L162" s="34">
        <f t="array" ref="L162">IF(ROW(L162)&lt;=COUNTA(G:G)*2,IF(MOD(ROW(L162),2)=1,INDEX(G:G,(ROW(L162)+1)/2),INDEX(I:I,ROW(L162)/2)),"")</f>
        <v>112.4</v>
      </c>
      <c r="N162" s="21">
        <f t="shared" si="32"/>
        <v>-345.15</v>
      </c>
      <c r="O162" s="21">
        <f t="shared" si="33"/>
        <v>120.9</v>
      </c>
      <c r="P162" s="21">
        <f t="shared" si="25"/>
        <v>-348.15</v>
      </c>
      <c r="Q162" s="21">
        <f t="shared" si="34"/>
        <v>120.9</v>
      </c>
      <c r="R162" s="21"/>
      <c r="S162" s="21">
        <f t="array" ref="S162">IF(ROW(S162)&lt;=COUNTA(N:N)*2,IF(MOD(ROW(S162),2)=1,INDEX(N:N,(ROW(S162)+1)/2),INDEX(P:P,ROW(S162)/2)),"")</f>
        <v>-123.45</v>
      </c>
      <c r="T162" s="21">
        <f t="array" ref="T162">IF(ROW(T162)&lt;=COUNTA(O:O)*2,IF(MOD(ROW(T162),2)=1,INDEX(O:O,(ROW(T162)+1)/2),INDEX(Q:Q,ROW(T162)/2)),"")</f>
        <v>119.5</v>
      </c>
      <c r="V162" s="22">
        <f t="shared" si="35"/>
        <v>-345.15</v>
      </c>
      <c r="W162" s="22">
        <f t="shared" si="26"/>
        <v>125.319575</v>
      </c>
      <c r="X162" s="22">
        <f t="shared" si="27"/>
        <v>-348.15</v>
      </c>
      <c r="Y162" s="22">
        <f t="shared" si="28"/>
        <v>125.319575</v>
      </c>
      <c r="Z162" s="22"/>
      <c r="AA162" s="22">
        <f t="array" ref="AA162">IF(ROW(AA162)&lt;=COUNTA(V:V)*2,IF(MOD(ROW(AA162),2)=1,INDEX(V:V,(ROW(AA162)+1)/2),INDEX(X:X,ROW(AA162)/2)),"")</f>
        <v>-123.45</v>
      </c>
      <c r="AB162" s="22">
        <f t="array" ref="AB162">IF(ROW(AB162)&lt;=COUNTA(W:W)*2,IF(MOD(ROW(AB162),2)=1,INDEX(W:W,(ROW(AB162)+1)/2),INDEX(Y:Y,ROW(AB162)/2)),"")</f>
        <v>122.653175</v>
      </c>
    </row>
    <row r="163" spans="1:28" s="2" customFormat="1" x14ac:dyDescent="0.25">
      <c r="A163" s="19"/>
      <c r="B163" s="20"/>
      <c r="C163" s="21"/>
      <c r="D163" s="22"/>
      <c r="F163" s="34">
        <f t="shared" si="29"/>
        <v>-348.15</v>
      </c>
      <c r="G163" s="34">
        <f t="shared" si="30"/>
        <v>112.5</v>
      </c>
      <c r="H163" s="34">
        <f t="shared" si="24"/>
        <v>-351.15</v>
      </c>
      <c r="I163" s="34">
        <f t="shared" si="31"/>
        <v>112.5</v>
      </c>
      <c r="J163" s="20"/>
      <c r="K163" s="34">
        <f t="array" ref="K163">IF(ROW(K163)&lt;=COUNTA(F:F)*2,IF(MOD(ROW(K163),2)=1,INDEX(F:F,(ROW(K163)+1)/2),INDEX(H:H,ROW(K163)/2)),"")</f>
        <v>-123.45</v>
      </c>
      <c r="L163" s="34">
        <f t="array" ref="L163">IF(ROW(L163)&lt;=COUNTA(G:G)*2,IF(MOD(ROW(L163),2)=1,INDEX(G:G,(ROW(L163)+1)/2),INDEX(I:I,ROW(L163)/2)),"")</f>
        <v>112.5</v>
      </c>
      <c r="N163" s="21">
        <f t="shared" si="32"/>
        <v>-348.15</v>
      </c>
      <c r="O163" s="21">
        <f t="shared" si="33"/>
        <v>121.1</v>
      </c>
      <c r="P163" s="21">
        <f t="shared" si="25"/>
        <v>-351.15</v>
      </c>
      <c r="Q163" s="21">
        <f t="shared" si="34"/>
        <v>121.1</v>
      </c>
      <c r="R163" s="21"/>
      <c r="S163" s="21">
        <f t="array" ref="S163">IF(ROW(S163)&lt;=COUNTA(N:N)*2,IF(MOD(ROW(S163),2)=1,INDEX(N:N,(ROW(S163)+1)/2),INDEX(P:P,ROW(S163)/2)),"")</f>
        <v>-123.45</v>
      </c>
      <c r="T163" s="21">
        <f t="array" ref="T163">IF(ROW(T163)&lt;=COUNTA(O:O)*2,IF(MOD(ROW(T163),2)=1,INDEX(O:O,(ROW(T163)+1)/2),INDEX(Q:Q,ROW(T163)/2)),"")</f>
        <v>120</v>
      </c>
      <c r="V163" s="22">
        <f t="shared" si="35"/>
        <v>-348.15</v>
      </c>
      <c r="W163" s="22">
        <f t="shared" si="26"/>
        <v>125.31955</v>
      </c>
      <c r="X163" s="22">
        <f t="shared" si="27"/>
        <v>-351.15</v>
      </c>
      <c r="Y163" s="22">
        <f t="shared" si="28"/>
        <v>125.31955</v>
      </c>
      <c r="Z163" s="22"/>
      <c r="AA163" s="22">
        <f t="array" ref="AA163">IF(ROW(AA163)&lt;=COUNTA(V:V)*2,IF(MOD(ROW(AA163),2)=1,INDEX(V:V,(ROW(AA163)+1)/2),INDEX(X:X,ROW(AA163)/2)),"")</f>
        <v>-123.45</v>
      </c>
      <c r="AB163" s="22">
        <f t="array" ref="AB163">IF(ROW(AB163)&lt;=COUNTA(W:W)*2,IF(MOD(ROW(AB163),2)=1,INDEX(W:W,(ROW(AB163)+1)/2),INDEX(Y:Y,ROW(AB163)/2)),"")</f>
        <v>122.6518</v>
      </c>
    </row>
    <row r="164" spans="1:28" s="2" customFormat="1" x14ac:dyDescent="0.25">
      <c r="A164" s="19"/>
      <c r="B164" s="20"/>
      <c r="C164" s="21"/>
      <c r="D164" s="22"/>
      <c r="F164" s="34">
        <f t="shared" si="29"/>
        <v>-351.15</v>
      </c>
      <c r="G164" s="34">
        <f t="shared" si="30"/>
        <v>112.4</v>
      </c>
      <c r="H164" s="34">
        <f t="shared" si="24"/>
        <v>-354.15</v>
      </c>
      <c r="I164" s="34">
        <f t="shared" si="31"/>
        <v>112.4</v>
      </c>
      <c r="J164" s="20"/>
      <c r="K164" s="34">
        <f t="array" ref="K164">IF(ROW(K164)&lt;=COUNTA(F:F)*2,IF(MOD(ROW(K164),2)=1,INDEX(F:F,(ROW(K164)+1)/2),INDEX(H:H,ROW(K164)/2)),"")</f>
        <v>-126.45</v>
      </c>
      <c r="L164" s="34">
        <f t="array" ref="L164">IF(ROW(L164)&lt;=COUNTA(G:G)*2,IF(MOD(ROW(L164),2)=1,INDEX(G:G,(ROW(L164)+1)/2),INDEX(I:I,ROW(L164)/2)),"")</f>
        <v>112.5</v>
      </c>
      <c r="N164" s="21">
        <f t="shared" si="32"/>
        <v>-351.15</v>
      </c>
      <c r="O164" s="21">
        <f t="shared" si="33"/>
        <v>121.6</v>
      </c>
      <c r="P164" s="21">
        <f t="shared" si="25"/>
        <v>-354.15</v>
      </c>
      <c r="Q164" s="21">
        <f t="shared" si="34"/>
        <v>121.6</v>
      </c>
      <c r="R164" s="21"/>
      <c r="S164" s="21">
        <f t="array" ref="S164">IF(ROW(S164)&lt;=COUNTA(N:N)*2,IF(MOD(ROW(S164),2)=1,INDEX(N:N,(ROW(S164)+1)/2),INDEX(P:P,ROW(S164)/2)),"")</f>
        <v>-126.45</v>
      </c>
      <c r="T164" s="21">
        <f t="array" ref="T164">IF(ROW(T164)&lt;=COUNTA(O:O)*2,IF(MOD(ROW(T164),2)=1,INDEX(O:O,(ROW(T164)+1)/2),INDEX(Q:Q,ROW(T164)/2)),"")</f>
        <v>120</v>
      </c>
      <c r="V164" s="22">
        <f t="shared" si="35"/>
        <v>-351.15</v>
      </c>
      <c r="W164" s="22">
        <f t="shared" si="26"/>
        <v>125.31955</v>
      </c>
      <c r="X164" s="22">
        <f t="shared" si="27"/>
        <v>-354.15</v>
      </c>
      <c r="Y164" s="22">
        <f t="shared" si="28"/>
        <v>125.31955</v>
      </c>
      <c r="Z164" s="22"/>
      <c r="AA164" s="22">
        <f t="array" ref="AA164">IF(ROW(AA164)&lt;=COUNTA(V:V)*2,IF(MOD(ROW(AA164),2)=1,INDEX(V:V,(ROW(AA164)+1)/2),INDEX(X:X,ROW(AA164)/2)),"")</f>
        <v>-126.45</v>
      </c>
      <c r="AB164" s="22">
        <f t="array" ref="AB164">IF(ROW(AB164)&lt;=COUNTA(W:W)*2,IF(MOD(ROW(AB164),2)=1,INDEX(W:W,(ROW(AB164)+1)/2),INDEX(Y:Y,ROW(AB164)/2)),"")</f>
        <v>122.6518</v>
      </c>
    </row>
    <row r="165" spans="1:28" s="2" customFormat="1" x14ac:dyDescent="0.25">
      <c r="A165" s="19"/>
      <c r="B165" s="20"/>
      <c r="C165" s="21"/>
      <c r="D165" s="22"/>
      <c r="F165" s="34">
        <f t="shared" si="29"/>
        <v>-354.15</v>
      </c>
      <c r="G165" s="34">
        <f t="shared" si="30"/>
        <v>112.5</v>
      </c>
      <c r="H165" s="34">
        <f t="shared" si="24"/>
        <v>-357.15</v>
      </c>
      <c r="I165" s="34">
        <f t="shared" si="31"/>
        <v>112.5</v>
      </c>
      <c r="J165" s="20"/>
      <c r="K165" s="34">
        <f t="array" ref="K165">IF(ROW(K165)&lt;=COUNTA(F:F)*2,IF(MOD(ROW(K165),2)=1,INDEX(F:F,(ROW(K165)+1)/2),INDEX(H:H,ROW(K165)/2)),"")</f>
        <v>-126.45</v>
      </c>
      <c r="L165" s="34">
        <f t="array" ref="L165">IF(ROW(L165)&lt;=COUNTA(G:G)*2,IF(MOD(ROW(L165),2)=1,INDEX(G:G,(ROW(L165)+1)/2),INDEX(I:I,ROW(L165)/2)),"")</f>
        <v>112.5</v>
      </c>
      <c r="N165" s="21">
        <f t="shared" si="32"/>
        <v>-354.15</v>
      </c>
      <c r="O165" s="21">
        <f t="shared" si="33"/>
        <v>118.6</v>
      </c>
      <c r="P165" s="21">
        <f t="shared" si="25"/>
        <v>-357.15</v>
      </c>
      <c r="Q165" s="21">
        <f t="shared" si="34"/>
        <v>118.6</v>
      </c>
      <c r="R165" s="21"/>
      <c r="S165" s="21">
        <f t="array" ref="S165">IF(ROW(S165)&lt;=COUNTA(N:N)*2,IF(MOD(ROW(S165),2)=1,INDEX(N:N,(ROW(S165)+1)/2),INDEX(P:P,ROW(S165)/2)),"")</f>
        <v>-126.45</v>
      </c>
      <c r="T165" s="21">
        <f t="array" ref="T165">IF(ROW(T165)&lt;=COUNTA(O:O)*2,IF(MOD(ROW(T165),2)=1,INDEX(O:O,(ROW(T165)+1)/2),INDEX(Q:Q,ROW(T165)/2)),"")</f>
        <v>119</v>
      </c>
      <c r="V165" s="22">
        <f t="shared" si="35"/>
        <v>-354.15</v>
      </c>
      <c r="W165" s="22">
        <f t="shared" si="26"/>
        <v>125.3227</v>
      </c>
      <c r="X165" s="22">
        <f t="shared" si="27"/>
        <v>-357.15</v>
      </c>
      <c r="Y165" s="22">
        <f t="shared" si="28"/>
        <v>125.3227</v>
      </c>
      <c r="Z165" s="22"/>
      <c r="AA165" s="22">
        <f t="array" ref="AA165">IF(ROW(AA165)&lt;=COUNTA(V:V)*2,IF(MOD(ROW(AA165),2)=1,INDEX(V:V,(ROW(AA165)+1)/2),INDEX(X:X,ROW(AA165)/2)),"")</f>
        <v>-126.45</v>
      </c>
      <c r="AB165" s="22">
        <f t="array" ref="AB165">IF(ROW(AB165)&lt;=COUNTA(W:W)*2,IF(MOD(ROW(AB165),2)=1,INDEX(W:W,(ROW(AB165)+1)/2),INDEX(Y:Y,ROW(AB165)/2)),"")</f>
        <v>122.6511</v>
      </c>
    </row>
    <row r="166" spans="1:28" s="2" customFormat="1" x14ac:dyDescent="0.25">
      <c r="A166" s="19"/>
      <c r="B166" s="20"/>
      <c r="C166" s="21"/>
      <c r="D166" s="22"/>
      <c r="F166" s="34">
        <f t="shared" si="29"/>
        <v>-357.15</v>
      </c>
      <c r="G166" s="34">
        <f t="shared" si="30"/>
        <v>112.5</v>
      </c>
      <c r="H166" s="34">
        <f t="shared" si="24"/>
        <v>-360.15</v>
      </c>
      <c r="I166" s="34">
        <f t="shared" si="31"/>
        <v>112.5</v>
      </c>
      <c r="J166" s="20"/>
      <c r="K166" s="34">
        <f t="array" ref="K166">IF(ROW(K166)&lt;=COUNTA(F:F)*2,IF(MOD(ROW(K166),2)=1,INDEX(F:F,(ROW(K166)+1)/2),INDEX(H:H,ROW(K166)/2)),"")</f>
        <v>-129.45</v>
      </c>
      <c r="L166" s="34">
        <f t="array" ref="L166">IF(ROW(L166)&lt;=COUNTA(G:G)*2,IF(MOD(ROW(L166),2)=1,INDEX(G:G,(ROW(L166)+1)/2),INDEX(I:I,ROW(L166)/2)),"")</f>
        <v>112.5</v>
      </c>
      <c r="N166" s="21">
        <f t="shared" si="32"/>
        <v>-357.15</v>
      </c>
      <c r="O166" s="21">
        <f t="shared" si="33"/>
        <v>120.6</v>
      </c>
      <c r="P166" s="21">
        <f t="shared" si="25"/>
        <v>-360.15</v>
      </c>
      <c r="Q166" s="21">
        <f t="shared" si="34"/>
        <v>120.6</v>
      </c>
      <c r="R166" s="21"/>
      <c r="S166" s="21">
        <f t="array" ref="S166">IF(ROW(S166)&lt;=COUNTA(N:N)*2,IF(MOD(ROW(S166),2)=1,INDEX(N:N,(ROW(S166)+1)/2),INDEX(P:P,ROW(S166)/2)),"")</f>
        <v>-129.45</v>
      </c>
      <c r="T166" s="21">
        <f t="array" ref="T166">IF(ROW(T166)&lt;=COUNTA(O:O)*2,IF(MOD(ROW(T166),2)=1,INDEX(O:O,(ROW(T166)+1)/2),INDEX(Q:Q,ROW(T166)/2)),"")</f>
        <v>119</v>
      </c>
      <c r="V166" s="22">
        <f t="shared" si="35"/>
        <v>-357.15</v>
      </c>
      <c r="W166" s="22">
        <f t="shared" si="26"/>
        <v>125.3227</v>
      </c>
      <c r="X166" s="22">
        <f t="shared" si="27"/>
        <v>-360.15</v>
      </c>
      <c r="Y166" s="22">
        <f t="shared" si="28"/>
        <v>125.3227</v>
      </c>
      <c r="Z166" s="22"/>
      <c r="AA166" s="22">
        <f t="array" ref="AA166">IF(ROW(AA166)&lt;=COUNTA(V:V)*2,IF(MOD(ROW(AA166),2)=1,INDEX(V:V,(ROW(AA166)+1)/2),INDEX(X:X,ROW(AA166)/2)),"")</f>
        <v>-129.45</v>
      </c>
      <c r="AB166" s="22">
        <f t="array" ref="AB166">IF(ROW(AB166)&lt;=COUNTA(W:W)*2,IF(MOD(ROW(AB166),2)=1,INDEX(W:W,(ROW(AB166)+1)/2),INDEX(Y:Y,ROW(AB166)/2)),"")</f>
        <v>122.6511</v>
      </c>
    </row>
    <row r="167" spans="1:28" s="2" customFormat="1" x14ac:dyDescent="0.25">
      <c r="A167" s="19"/>
      <c r="B167" s="20"/>
      <c r="C167" s="21"/>
      <c r="D167" s="22"/>
      <c r="F167" s="34">
        <f t="shared" si="29"/>
        <v>-360.15</v>
      </c>
      <c r="G167" s="34">
        <f t="shared" si="30"/>
        <v>112.5</v>
      </c>
      <c r="H167" s="34">
        <f t="shared" si="24"/>
        <v>-363.15</v>
      </c>
      <c r="I167" s="34">
        <f t="shared" si="31"/>
        <v>112.5</v>
      </c>
      <c r="J167" s="20"/>
      <c r="K167" s="34">
        <f t="array" ref="K167">IF(ROW(K167)&lt;=COUNTA(F:F)*2,IF(MOD(ROW(K167),2)=1,INDEX(F:F,(ROW(K167)+1)/2),INDEX(H:H,ROW(K167)/2)),"")</f>
        <v>-129.45</v>
      </c>
      <c r="L167" s="34">
        <f t="array" ref="L167">IF(ROW(L167)&lt;=COUNTA(G:G)*2,IF(MOD(ROW(L167),2)=1,INDEX(G:G,(ROW(L167)+1)/2),INDEX(I:I,ROW(L167)/2)),"")</f>
        <v>112.4</v>
      </c>
      <c r="N167" s="21">
        <f t="shared" si="32"/>
        <v>-360.15</v>
      </c>
      <c r="O167" s="21">
        <f t="shared" si="33"/>
        <v>116.7</v>
      </c>
      <c r="P167" s="21">
        <f t="shared" si="25"/>
        <v>-363.15</v>
      </c>
      <c r="Q167" s="21">
        <f t="shared" si="34"/>
        <v>116.7</v>
      </c>
      <c r="R167" s="21"/>
      <c r="S167" s="21">
        <f t="array" ref="S167">IF(ROW(S167)&lt;=COUNTA(N:N)*2,IF(MOD(ROW(S167),2)=1,INDEX(N:N,(ROW(S167)+1)/2),INDEX(P:P,ROW(S167)/2)),"")</f>
        <v>-129.45</v>
      </c>
      <c r="T167" s="21">
        <f t="array" ref="T167">IF(ROW(T167)&lt;=COUNTA(O:O)*2,IF(MOD(ROW(T167),2)=1,INDEX(O:O,(ROW(T167)+1)/2),INDEX(Q:Q,ROW(T167)/2)),"")</f>
        <v>119.6</v>
      </c>
      <c r="V167" s="22">
        <f t="shared" si="35"/>
        <v>-360.15</v>
      </c>
      <c r="W167" s="22">
        <f t="shared" si="26"/>
        <v>125.319575</v>
      </c>
      <c r="X167" s="22">
        <f t="shared" si="27"/>
        <v>-363.15</v>
      </c>
      <c r="Y167" s="22">
        <f t="shared" si="28"/>
        <v>125.319575</v>
      </c>
      <c r="Z167" s="22"/>
      <c r="AA167" s="22">
        <f t="array" ref="AA167">IF(ROW(AA167)&lt;=COUNTA(V:V)*2,IF(MOD(ROW(AA167),2)=1,INDEX(V:V,(ROW(AA167)+1)/2),INDEX(X:X,ROW(AA167)/2)),"")</f>
        <v>-129.45</v>
      </c>
      <c r="AB167" s="22">
        <f t="array" ref="AB167">IF(ROW(AB167)&lt;=COUNTA(W:W)*2,IF(MOD(ROW(AB167),2)=1,INDEX(W:W,(ROW(AB167)+1)/2),INDEX(Y:Y,ROW(AB167)/2)),"")</f>
        <v>122.6518</v>
      </c>
    </row>
    <row r="168" spans="1:28" s="2" customFormat="1" x14ac:dyDescent="0.25">
      <c r="A168" s="19"/>
      <c r="B168" s="20"/>
      <c r="C168" s="21"/>
      <c r="D168" s="22"/>
      <c r="F168" s="34">
        <f t="shared" si="29"/>
        <v>-363.15</v>
      </c>
      <c r="G168" s="34">
        <f t="shared" si="30"/>
        <v>112.5</v>
      </c>
      <c r="H168" s="34">
        <f t="shared" si="24"/>
        <v>-364.45</v>
      </c>
      <c r="I168" s="34">
        <f t="shared" si="31"/>
        <v>112.5</v>
      </c>
      <c r="J168" s="20"/>
      <c r="K168" s="34">
        <f t="array" ref="K168">IF(ROW(K168)&lt;=COUNTA(F:F)*2,IF(MOD(ROW(K168),2)=1,INDEX(F:F,(ROW(K168)+1)/2),INDEX(H:H,ROW(K168)/2)),"")</f>
        <v>-132.45</v>
      </c>
      <c r="L168" s="34">
        <f t="array" ref="L168">IF(ROW(L168)&lt;=COUNTA(G:G)*2,IF(MOD(ROW(L168),2)=1,INDEX(G:G,(ROW(L168)+1)/2),INDEX(I:I,ROW(L168)/2)),"")</f>
        <v>112.4</v>
      </c>
      <c r="N168" s="21">
        <f t="shared" si="32"/>
        <v>-363.15</v>
      </c>
      <c r="O168" s="21">
        <f t="shared" si="33"/>
        <v>115.9</v>
      </c>
      <c r="P168" s="21">
        <f t="shared" si="25"/>
        <v>-364.45</v>
      </c>
      <c r="Q168" s="21">
        <f t="shared" si="34"/>
        <v>115.9</v>
      </c>
      <c r="R168" s="21"/>
      <c r="S168" s="21">
        <f t="array" ref="S168">IF(ROW(S168)&lt;=COUNTA(N:N)*2,IF(MOD(ROW(S168),2)=1,INDEX(N:N,(ROW(S168)+1)/2),INDEX(P:P,ROW(S168)/2)),"")</f>
        <v>-132.45</v>
      </c>
      <c r="T168" s="21">
        <f t="array" ref="T168">IF(ROW(T168)&lt;=COUNTA(O:O)*2,IF(MOD(ROW(T168),2)=1,INDEX(O:O,(ROW(T168)+1)/2),INDEX(Q:Q,ROW(T168)/2)),"")</f>
        <v>119.6</v>
      </c>
      <c r="V168" s="22">
        <f t="shared" si="35"/>
        <v>-363.15</v>
      </c>
      <c r="W168" s="22">
        <f t="shared" si="26"/>
        <v>125.2762</v>
      </c>
      <c r="X168" s="22">
        <f t="shared" si="27"/>
        <v>-364.45</v>
      </c>
      <c r="Y168" s="22">
        <f t="shared" si="28"/>
        <v>125.2762</v>
      </c>
      <c r="Z168" s="22"/>
      <c r="AA168" s="22">
        <f t="array" ref="AA168">IF(ROW(AA168)&lt;=COUNTA(V:V)*2,IF(MOD(ROW(AA168),2)=1,INDEX(V:V,(ROW(AA168)+1)/2),INDEX(X:X,ROW(AA168)/2)),"")</f>
        <v>-132.45</v>
      </c>
      <c r="AB168" s="22">
        <f t="array" ref="AB168">IF(ROW(AB168)&lt;=COUNTA(W:W)*2,IF(MOD(ROW(AB168),2)=1,INDEX(W:W,(ROW(AB168)+1)/2),INDEX(Y:Y,ROW(AB168)/2)),"")</f>
        <v>122.6518</v>
      </c>
    </row>
    <row r="169" spans="1:28" s="2" customFormat="1" x14ac:dyDescent="0.25">
      <c r="A169" s="19"/>
      <c r="B169" s="20"/>
      <c r="C169" s="21"/>
      <c r="D169" s="22"/>
      <c r="F169" s="34">
        <f t="shared" si="29"/>
        <v>-364.45</v>
      </c>
      <c r="G169" s="34">
        <f t="shared" si="30"/>
        <v>112.3</v>
      </c>
      <c r="H169" s="34">
        <f t="shared" si="24"/>
        <v>-366.45</v>
      </c>
      <c r="I169" s="34">
        <f t="shared" si="31"/>
        <v>112.3</v>
      </c>
      <c r="J169" s="20"/>
      <c r="K169" s="34">
        <f t="array" ref="K169">IF(ROW(K169)&lt;=COUNTA(F:F)*2,IF(MOD(ROW(K169),2)=1,INDEX(F:F,(ROW(K169)+1)/2),INDEX(H:H,ROW(K169)/2)),"")</f>
        <v>-132.45</v>
      </c>
      <c r="L169" s="34">
        <f t="array" ref="L169">IF(ROW(L169)&lt;=COUNTA(G:G)*2,IF(MOD(ROW(L169),2)=1,INDEX(G:G,(ROW(L169)+1)/2),INDEX(I:I,ROW(L169)/2)),"")</f>
        <v>112.5</v>
      </c>
      <c r="N169" s="21">
        <f t="shared" si="32"/>
        <v>-364.45</v>
      </c>
      <c r="O169" s="21">
        <f t="shared" si="33"/>
        <v>117.7</v>
      </c>
      <c r="P169" s="21">
        <f t="shared" si="25"/>
        <v>-366.45</v>
      </c>
      <c r="Q169" s="21">
        <f t="shared" si="34"/>
        <v>117.7</v>
      </c>
      <c r="R169" s="21"/>
      <c r="S169" s="21">
        <f t="array" ref="S169">IF(ROW(S169)&lt;=COUNTA(N:N)*2,IF(MOD(ROW(S169),2)=1,INDEX(N:N,(ROW(S169)+1)/2),INDEX(P:P,ROW(S169)/2)),"")</f>
        <v>-132.45</v>
      </c>
      <c r="T169" s="21">
        <f t="array" ref="T169">IF(ROW(T169)&lt;=COUNTA(O:O)*2,IF(MOD(ROW(T169),2)=1,INDEX(O:O,(ROW(T169)+1)/2),INDEX(Q:Q,ROW(T169)/2)),"")</f>
        <v>121.8</v>
      </c>
      <c r="V169" s="22">
        <f t="shared" si="35"/>
        <v>-364.45</v>
      </c>
      <c r="W169" s="22">
        <f t="shared" si="26"/>
        <v>125.2762</v>
      </c>
      <c r="X169" s="22">
        <f t="shared" si="27"/>
        <v>-366.45</v>
      </c>
      <c r="Y169" s="22">
        <f t="shared" si="28"/>
        <v>125.2762</v>
      </c>
      <c r="Z169" s="22"/>
      <c r="AA169" s="22">
        <f t="array" ref="AA169">IF(ROW(AA169)&lt;=COUNTA(V:V)*2,IF(MOD(ROW(AA169),2)=1,INDEX(V:V,(ROW(AA169)+1)/2),INDEX(X:X,ROW(AA169)/2)),"")</f>
        <v>-132.45</v>
      </c>
      <c r="AB169" s="22">
        <f t="array" ref="AB169">IF(ROW(AB169)&lt;=COUNTA(W:W)*2,IF(MOD(ROW(AB169),2)=1,INDEX(W:W,(ROW(AB169)+1)/2),INDEX(Y:Y,ROW(AB169)/2)),"")</f>
        <v>122.6518</v>
      </c>
    </row>
    <row r="170" spans="1:28" s="2" customFormat="1" x14ac:dyDescent="0.25">
      <c r="A170" s="19"/>
      <c r="B170" s="20"/>
      <c r="C170" s="21"/>
      <c r="D170" s="22"/>
      <c r="F170" s="34">
        <f t="shared" si="29"/>
        <v>-366.45</v>
      </c>
      <c r="G170" s="34">
        <f t="shared" si="30"/>
        <v>112.3</v>
      </c>
      <c r="H170" s="34">
        <f t="shared" si="24"/>
        <v>-368.2</v>
      </c>
      <c r="I170" s="34">
        <f t="shared" si="31"/>
        <v>112.3</v>
      </c>
      <c r="J170" s="20"/>
      <c r="K170" s="34">
        <f t="array" ref="K170">IF(ROW(K170)&lt;=COUNTA(F:F)*2,IF(MOD(ROW(K170),2)=1,INDEX(F:F,(ROW(K170)+1)/2),INDEX(H:H,ROW(K170)/2)),"")</f>
        <v>-135.45</v>
      </c>
      <c r="L170" s="34">
        <f t="array" ref="L170">IF(ROW(L170)&lt;=COUNTA(G:G)*2,IF(MOD(ROW(L170),2)=1,INDEX(G:G,(ROW(L170)+1)/2),INDEX(I:I,ROW(L170)/2)),"")</f>
        <v>112.5</v>
      </c>
      <c r="N170" s="21">
        <f t="shared" si="32"/>
        <v>-366.45</v>
      </c>
      <c r="O170" s="21">
        <f t="shared" si="33"/>
        <v>121.1</v>
      </c>
      <c r="P170" s="21">
        <f t="shared" si="25"/>
        <v>-368.2</v>
      </c>
      <c r="Q170" s="21">
        <f t="shared" si="34"/>
        <v>121.1</v>
      </c>
      <c r="R170" s="21"/>
      <c r="S170" s="21">
        <f t="array" ref="S170">IF(ROW(S170)&lt;=COUNTA(N:N)*2,IF(MOD(ROW(S170),2)=1,INDEX(N:N,(ROW(S170)+1)/2),INDEX(P:P,ROW(S170)/2)),"")</f>
        <v>-135.45</v>
      </c>
      <c r="T170" s="21">
        <f t="array" ref="T170">IF(ROW(T170)&lt;=COUNTA(O:O)*2,IF(MOD(ROW(T170),2)=1,INDEX(O:O,(ROW(T170)+1)/2),INDEX(Q:Q,ROW(T170)/2)),"")</f>
        <v>121.8</v>
      </c>
      <c r="V170" s="22">
        <f t="shared" si="35"/>
        <v>-366.45</v>
      </c>
      <c r="W170" s="22">
        <f t="shared" si="26"/>
        <v>125.2138</v>
      </c>
      <c r="X170" s="22">
        <f t="shared" si="27"/>
        <v>-368.2</v>
      </c>
      <c r="Y170" s="22">
        <f t="shared" si="28"/>
        <v>125.2138</v>
      </c>
      <c r="Z170" s="22"/>
      <c r="AA170" s="22">
        <f t="array" ref="AA170">IF(ROW(AA170)&lt;=COUNTA(V:V)*2,IF(MOD(ROW(AA170),2)=1,INDEX(V:V,(ROW(AA170)+1)/2),INDEX(X:X,ROW(AA170)/2)),"")</f>
        <v>-135.45</v>
      </c>
      <c r="AB170" s="22">
        <f t="array" ref="AB170">IF(ROW(AB170)&lt;=COUNTA(W:W)*2,IF(MOD(ROW(AB170),2)=1,INDEX(W:W,(ROW(AB170)+1)/2),INDEX(Y:Y,ROW(AB170)/2)),"")</f>
        <v>122.6518</v>
      </c>
    </row>
    <row r="171" spans="1:28" s="2" customFormat="1" x14ac:dyDescent="0.25">
      <c r="A171" s="19"/>
      <c r="B171" s="20"/>
      <c r="C171" s="21"/>
      <c r="D171" s="22"/>
      <c r="F171" s="34">
        <f t="shared" si="29"/>
        <v>-368.2</v>
      </c>
      <c r="G171" s="34">
        <f t="shared" si="30"/>
        <v>112.3</v>
      </c>
      <c r="H171" s="34">
        <f t="shared" si="24"/>
        <v>-369.6</v>
      </c>
      <c r="I171" s="34">
        <f t="shared" si="31"/>
        <v>112.3</v>
      </c>
      <c r="J171" s="20"/>
      <c r="K171" s="34">
        <f t="array" ref="K171">IF(ROW(K171)&lt;=COUNTA(F:F)*2,IF(MOD(ROW(K171),2)=1,INDEX(F:F,(ROW(K171)+1)/2),INDEX(H:H,ROW(K171)/2)),"")</f>
        <v>-135.45</v>
      </c>
      <c r="L171" s="34">
        <f t="array" ref="L171">IF(ROW(L171)&lt;=COUNTA(G:G)*2,IF(MOD(ROW(L171),2)=1,INDEX(G:G,(ROW(L171)+1)/2),INDEX(I:I,ROW(L171)/2)),"")</f>
        <v>112.4</v>
      </c>
      <c r="N171" s="21">
        <f t="shared" si="32"/>
        <v>-368.2</v>
      </c>
      <c r="O171" s="21">
        <f t="shared" si="33"/>
        <v>120.3</v>
      </c>
      <c r="P171" s="21">
        <f t="shared" si="25"/>
        <v>-369.6</v>
      </c>
      <c r="Q171" s="21">
        <f t="shared" si="34"/>
        <v>120.3</v>
      </c>
      <c r="R171" s="21"/>
      <c r="S171" s="21">
        <f t="array" ref="S171">IF(ROW(S171)&lt;=COUNTA(N:N)*2,IF(MOD(ROW(S171),2)=1,INDEX(N:N,(ROW(S171)+1)/2),INDEX(P:P,ROW(S171)/2)),"")</f>
        <v>-135.45</v>
      </c>
      <c r="T171" s="21">
        <f t="array" ref="T171">IF(ROW(T171)&lt;=COUNTA(O:O)*2,IF(MOD(ROW(T171),2)=1,INDEX(O:O,(ROW(T171)+1)/2),INDEX(Q:Q,ROW(T171)/2)),"")</f>
        <v>121.1</v>
      </c>
      <c r="V171" s="22">
        <f t="shared" si="35"/>
        <v>-368.2</v>
      </c>
      <c r="W171" s="22">
        <f t="shared" si="26"/>
        <v>125.1698</v>
      </c>
      <c r="X171" s="22">
        <f t="shared" si="27"/>
        <v>-369.6</v>
      </c>
      <c r="Y171" s="22">
        <f t="shared" si="28"/>
        <v>125.1698</v>
      </c>
      <c r="Z171" s="22"/>
      <c r="AA171" s="22">
        <f t="array" ref="AA171">IF(ROW(AA171)&lt;=COUNTA(V:V)*2,IF(MOD(ROW(AA171),2)=1,INDEX(V:V,(ROW(AA171)+1)/2),INDEX(X:X,ROW(AA171)/2)),"")</f>
        <v>-135.45</v>
      </c>
      <c r="AB171" s="22">
        <f t="array" ref="AB171">IF(ROW(AB171)&lt;=COUNTA(W:W)*2,IF(MOD(ROW(AB171),2)=1,INDEX(W:W,(ROW(AB171)+1)/2),INDEX(Y:Y,ROW(AB171)/2)),"")</f>
        <v>122.6533</v>
      </c>
    </row>
    <row r="172" spans="1:28" s="2" customFormat="1" x14ac:dyDescent="0.25">
      <c r="A172" s="19"/>
      <c r="B172" s="20"/>
      <c r="C172" s="21"/>
      <c r="D172" s="22"/>
      <c r="F172" s="34">
        <f t="shared" si="29"/>
        <v>-369.6</v>
      </c>
      <c r="G172" s="34">
        <f t="shared" si="30"/>
        <v>112.4</v>
      </c>
      <c r="H172" s="34">
        <f t="shared" si="24"/>
        <v>-371.2</v>
      </c>
      <c r="I172" s="34">
        <f t="shared" si="31"/>
        <v>112.4</v>
      </c>
      <c r="J172" s="20"/>
      <c r="K172" s="34">
        <f t="array" ref="K172">IF(ROW(K172)&lt;=COUNTA(F:F)*2,IF(MOD(ROW(K172),2)=1,INDEX(F:F,(ROW(K172)+1)/2),INDEX(H:H,ROW(K172)/2)),"")</f>
        <v>-138.45</v>
      </c>
      <c r="L172" s="34">
        <f t="array" ref="L172">IF(ROW(L172)&lt;=COUNTA(G:G)*2,IF(MOD(ROW(L172),2)=1,INDEX(G:G,(ROW(L172)+1)/2),INDEX(I:I,ROW(L172)/2)),"")</f>
        <v>112.4</v>
      </c>
      <c r="N172" s="21">
        <f t="shared" si="32"/>
        <v>-369.6</v>
      </c>
      <c r="O172" s="21">
        <f t="shared" si="33"/>
        <v>121.3</v>
      </c>
      <c r="P172" s="21">
        <f t="shared" si="25"/>
        <v>-371.2</v>
      </c>
      <c r="Q172" s="21">
        <f t="shared" si="34"/>
        <v>121.3</v>
      </c>
      <c r="R172" s="21"/>
      <c r="S172" s="21">
        <f t="array" ref="S172">IF(ROW(S172)&lt;=COUNTA(N:N)*2,IF(MOD(ROW(S172),2)=1,INDEX(N:N,(ROW(S172)+1)/2),INDEX(P:P,ROW(S172)/2)),"")</f>
        <v>-138.45</v>
      </c>
      <c r="T172" s="21">
        <f t="array" ref="T172">IF(ROW(T172)&lt;=COUNTA(O:O)*2,IF(MOD(ROW(T172),2)=1,INDEX(O:O,(ROW(T172)+1)/2),INDEX(Q:Q,ROW(T172)/2)),"")</f>
        <v>121.1</v>
      </c>
      <c r="V172" s="22">
        <f t="shared" si="35"/>
        <v>-369.6</v>
      </c>
      <c r="W172" s="22">
        <f t="shared" si="26"/>
        <v>125.277125</v>
      </c>
      <c r="X172" s="22">
        <f t="shared" si="27"/>
        <v>-371.2</v>
      </c>
      <c r="Y172" s="22">
        <f t="shared" si="28"/>
        <v>125.277125</v>
      </c>
      <c r="Z172" s="22"/>
      <c r="AA172" s="22">
        <f t="array" ref="AA172">IF(ROW(AA172)&lt;=COUNTA(V:V)*2,IF(MOD(ROW(AA172),2)=1,INDEX(V:V,(ROW(AA172)+1)/2),INDEX(X:X,ROW(AA172)/2)),"")</f>
        <v>-138.45</v>
      </c>
      <c r="AB172" s="22">
        <f t="array" ref="AB172">IF(ROW(AB172)&lt;=COUNTA(W:W)*2,IF(MOD(ROW(AB172),2)=1,INDEX(W:W,(ROW(AB172)+1)/2),INDEX(Y:Y,ROW(AB172)/2)),"")</f>
        <v>122.6533</v>
      </c>
    </row>
    <row r="173" spans="1:28" s="2" customFormat="1" x14ac:dyDescent="0.25">
      <c r="A173" s="19"/>
      <c r="B173" s="20"/>
      <c r="C173" s="21"/>
      <c r="D173" s="22"/>
      <c r="F173" s="34">
        <f t="shared" si="29"/>
        <v>-371.2</v>
      </c>
      <c r="G173" s="34">
        <f t="shared" si="30"/>
        <v>112.4</v>
      </c>
      <c r="H173" s="34">
        <f t="shared" si="24"/>
        <v>-373.95</v>
      </c>
      <c r="I173" s="34">
        <f t="shared" si="31"/>
        <v>112.4</v>
      </c>
      <c r="J173" s="20"/>
      <c r="K173" s="34">
        <f t="array" ref="K173">IF(ROW(K173)&lt;=COUNTA(F:F)*2,IF(MOD(ROW(K173),2)=1,INDEX(F:F,(ROW(K173)+1)/2),INDEX(H:H,ROW(K173)/2)),"")</f>
        <v>-138.45</v>
      </c>
      <c r="L173" s="34">
        <f t="array" ref="L173">IF(ROW(L173)&lt;=COUNTA(G:G)*2,IF(MOD(ROW(L173),2)=1,INDEX(G:G,(ROW(L173)+1)/2),INDEX(I:I,ROW(L173)/2)),"")</f>
        <v>112.5</v>
      </c>
      <c r="N173" s="21">
        <f t="shared" si="32"/>
        <v>-371.2</v>
      </c>
      <c r="O173" s="21">
        <f t="shared" si="33"/>
        <v>120.8</v>
      </c>
      <c r="P173" s="21">
        <f t="shared" si="25"/>
        <v>-373.95</v>
      </c>
      <c r="Q173" s="21">
        <f t="shared" si="34"/>
        <v>120.8</v>
      </c>
      <c r="R173" s="21"/>
      <c r="S173" s="21">
        <f t="array" ref="S173">IF(ROW(S173)&lt;=COUNTA(N:N)*2,IF(MOD(ROW(S173),2)=1,INDEX(N:N,(ROW(S173)+1)/2),INDEX(P:P,ROW(S173)/2)),"")</f>
        <v>-138.45</v>
      </c>
      <c r="T173" s="21">
        <f t="array" ref="T173">IF(ROW(T173)&lt;=COUNTA(O:O)*2,IF(MOD(ROW(T173),2)=1,INDEX(O:O,(ROW(T173)+1)/2),INDEX(Q:Q,ROW(T173)/2)),"")</f>
        <v>121</v>
      </c>
      <c r="V173" s="22">
        <f t="shared" si="35"/>
        <v>-371.2</v>
      </c>
      <c r="W173" s="22">
        <f t="shared" si="26"/>
        <v>125.38115</v>
      </c>
      <c r="X173" s="22">
        <f t="shared" si="27"/>
        <v>-373.95</v>
      </c>
      <c r="Y173" s="22">
        <f t="shared" si="28"/>
        <v>125.38115</v>
      </c>
      <c r="Z173" s="22"/>
      <c r="AA173" s="22">
        <f t="array" ref="AA173">IF(ROW(AA173)&lt;=COUNTA(V:V)*2,IF(MOD(ROW(AA173),2)=1,INDEX(V:V,(ROW(AA173)+1)/2),INDEX(X:X,ROW(AA173)/2)),"")</f>
        <v>-138.45</v>
      </c>
      <c r="AB173" s="22">
        <f t="array" ref="AB173">IF(ROW(AB173)&lt;=COUNTA(W:W)*2,IF(MOD(ROW(AB173),2)=1,INDEX(W:W,(ROW(AB173)+1)/2),INDEX(Y:Y,ROW(AB173)/2)),"")</f>
        <v>122.6518</v>
      </c>
    </row>
    <row r="174" spans="1:28" s="2" customFormat="1" x14ac:dyDescent="0.25">
      <c r="A174" s="19"/>
      <c r="B174" s="20"/>
      <c r="C174" s="21"/>
      <c r="D174" s="22"/>
      <c r="F174" s="34">
        <f t="shared" si="29"/>
        <v>-373.95</v>
      </c>
      <c r="G174" s="34">
        <f t="shared" si="30"/>
        <v>112.5</v>
      </c>
      <c r="H174" s="34">
        <f t="shared" si="24"/>
        <v>-376.95</v>
      </c>
      <c r="I174" s="34">
        <f t="shared" si="31"/>
        <v>112.5</v>
      </c>
      <c r="J174" s="20"/>
      <c r="K174" s="34">
        <f t="array" ref="K174">IF(ROW(K174)&lt;=COUNTA(F:F)*2,IF(MOD(ROW(K174),2)=1,INDEX(F:F,(ROW(K174)+1)/2),INDEX(H:H,ROW(K174)/2)),"")</f>
        <v>-141.45</v>
      </c>
      <c r="L174" s="34">
        <f t="array" ref="L174">IF(ROW(L174)&lt;=COUNTA(G:G)*2,IF(MOD(ROW(L174),2)=1,INDEX(G:G,(ROW(L174)+1)/2),INDEX(I:I,ROW(L174)/2)),"")</f>
        <v>112.5</v>
      </c>
      <c r="N174" s="21">
        <f t="shared" si="32"/>
        <v>-373.95</v>
      </c>
      <c r="O174" s="21">
        <f t="shared" si="33"/>
        <v>119.5</v>
      </c>
      <c r="P174" s="21">
        <f t="shared" si="25"/>
        <v>-376.95</v>
      </c>
      <c r="Q174" s="21">
        <f t="shared" si="34"/>
        <v>119.5</v>
      </c>
      <c r="R174" s="21"/>
      <c r="S174" s="21">
        <f t="array" ref="S174">IF(ROW(S174)&lt;=COUNTA(N:N)*2,IF(MOD(ROW(S174),2)=1,INDEX(N:N,(ROW(S174)+1)/2),INDEX(P:P,ROW(S174)/2)),"")</f>
        <v>-141.45</v>
      </c>
      <c r="T174" s="21">
        <f t="array" ref="T174">IF(ROW(T174)&lt;=COUNTA(O:O)*2,IF(MOD(ROW(T174),2)=1,INDEX(O:O,(ROW(T174)+1)/2),INDEX(Q:Q,ROW(T174)/2)),"")</f>
        <v>121</v>
      </c>
      <c r="V174" s="22">
        <f t="shared" si="35"/>
        <v>-373.95</v>
      </c>
      <c r="W174" s="22">
        <f t="shared" si="26"/>
        <v>125.786525</v>
      </c>
      <c r="X174" s="22">
        <f t="shared" si="27"/>
        <v>-376.95</v>
      </c>
      <c r="Y174" s="22">
        <f t="shared" si="28"/>
        <v>125.786525</v>
      </c>
      <c r="Z174" s="22"/>
      <c r="AA174" s="22">
        <f t="array" ref="AA174">IF(ROW(AA174)&lt;=COUNTA(V:V)*2,IF(MOD(ROW(AA174),2)=1,INDEX(V:V,(ROW(AA174)+1)/2),INDEX(X:X,ROW(AA174)/2)),"")</f>
        <v>-141.45</v>
      </c>
      <c r="AB174" s="22">
        <f t="array" ref="AB174">IF(ROW(AB174)&lt;=COUNTA(W:W)*2,IF(MOD(ROW(AB174),2)=1,INDEX(W:W,(ROW(AB174)+1)/2),INDEX(Y:Y,ROW(AB174)/2)),"")</f>
        <v>122.6518</v>
      </c>
    </row>
    <row r="175" spans="1:28" s="2" customFormat="1" x14ac:dyDescent="0.25">
      <c r="A175" s="19"/>
      <c r="B175" s="20"/>
      <c r="C175" s="21"/>
      <c r="D175" s="22"/>
      <c r="F175" s="34">
        <f t="shared" si="29"/>
        <v>-376.95</v>
      </c>
      <c r="G175" s="34">
        <f t="shared" si="30"/>
        <v>112.5</v>
      </c>
      <c r="H175" s="34">
        <f t="shared" si="24"/>
        <v>-379.95</v>
      </c>
      <c r="I175" s="34">
        <f t="shared" si="31"/>
        <v>112.5</v>
      </c>
      <c r="J175" s="20"/>
      <c r="K175" s="34">
        <f t="array" ref="K175">IF(ROW(K175)&lt;=COUNTA(F:F)*2,IF(MOD(ROW(K175),2)=1,INDEX(F:F,(ROW(K175)+1)/2),INDEX(H:H,ROW(K175)/2)),"")</f>
        <v>-141.45</v>
      </c>
      <c r="L175" s="34">
        <f t="array" ref="L175">IF(ROW(L175)&lt;=COUNTA(G:G)*2,IF(MOD(ROW(L175),2)=1,INDEX(G:G,(ROW(L175)+1)/2),INDEX(I:I,ROW(L175)/2)),"")</f>
        <v>112.4</v>
      </c>
      <c r="N175" s="21">
        <f t="shared" si="32"/>
        <v>-376.95</v>
      </c>
      <c r="O175" s="21">
        <f t="shared" si="33"/>
        <v>119.5</v>
      </c>
      <c r="P175" s="21">
        <f t="shared" si="25"/>
        <v>-379.95</v>
      </c>
      <c r="Q175" s="21">
        <f t="shared" si="34"/>
        <v>119.5</v>
      </c>
      <c r="R175" s="21"/>
      <c r="S175" s="21">
        <f t="array" ref="S175">IF(ROW(S175)&lt;=COUNTA(N:N)*2,IF(MOD(ROW(S175),2)=1,INDEX(N:N,(ROW(S175)+1)/2),INDEX(P:P,ROW(S175)/2)),"")</f>
        <v>-141.45</v>
      </c>
      <c r="T175" s="21">
        <f t="array" ref="T175">IF(ROW(T175)&lt;=COUNTA(O:O)*2,IF(MOD(ROW(T175),2)=1,INDEX(O:O,(ROW(T175)+1)/2),INDEX(Q:Q,ROW(T175)/2)),"")</f>
        <v>121.2</v>
      </c>
      <c r="V175" s="22">
        <f t="shared" si="35"/>
        <v>-376.95</v>
      </c>
      <c r="W175" s="22">
        <f t="shared" si="26"/>
        <v>125.18245</v>
      </c>
      <c r="X175" s="22">
        <f t="shared" si="27"/>
        <v>-379.95</v>
      </c>
      <c r="Y175" s="22">
        <f t="shared" si="28"/>
        <v>125.18245</v>
      </c>
      <c r="Z175" s="22"/>
      <c r="AA175" s="22">
        <f t="array" ref="AA175">IF(ROW(AA175)&lt;=COUNTA(V:V)*2,IF(MOD(ROW(AA175),2)=1,INDEX(V:V,(ROW(AA175)+1)/2),INDEX(X:X,ROW(AA175)/2)),"")</f>
        <v>-141.45</v>
      </c>
      <c r="AB175" s="22">
        <f t="array" ref="AB175">IF(ROW(AB175)&lt;=COUNTA(W:W)*2,IF(MOD(ROW(AB175),2)=1,INDEX(W:W,(ROW(AB175)+1)/2),INDEX(Y:Y,ROW(AB175)/2)),"")</f>
        <v>122.6533</v>
      </c>
    </row>
    <row r="176" spans="1:28" s="2" customFormat="1" x14ac:dyDescent="0.25">
      <c r="A176" s="19"/>
      <c r="B176" s="20"/>
      <c r="C176" s="21"/>
      <c r="D176" s="22"/>
      <c r="F176" s="34">
        <f t="shared" si="29"/>
        <v>-379.95</v>
      </c>
      <c r="G176" s="34">
        <f t="shared" si="30"/>
        <v>112.5</v>
      </c>
      <c r="H176" s="34">
        <f t="shared" si="24"/>
        <v>-382.95</v>
      </c>
      <c r="I176" s="34">
        <f t="shared" si="31"/>
        <v>112.5</v>
      </c>
      <c r="J176" s="20"/>
      <c r="K176" s="34">
        <f t="array" ref="K176">IF(ROW(K176)&lt;=COUNTA(F:F)*2,IF(MOD(ROW(K176),2)=1,INDEX(F:F,(ROW(K176)+1)/2),INDEX(H:H,ROW(K176)/2)),"")</f>
        <v>-144.45</v>
      </c>
      <c r="L176" s="34">
        <f t="array" ref="L176">IF(ROW(L176)&lt;=COUNTA(G:G)*2,IF(MOD(ROW(L176),2)=1,INDEX(G:G,(ROW(L176)+1)/2),INDEX(I:I,ROW(L176)/2)),"")</f>
        <v>112.4</v>
      </c>
      <c r="N176" s="21">
        <f t="shared" si="32"/>
        <v>-379.95</v>
      </c>
      <c r="O176" s="21">
        <f t="shared" si="33"/>
        <v>120.6</v>
      </c>
      <c r="P176" s="21">
        <f t="shared" si="25"/>
        <v>-382.95</v>
      </c>
      <c r="Q176" s="21">
        <f t="shared" si="34"/>
        <v>120.6</v>
      </c>
      <c r="R176" s="21"/>
      <c r="S176" s="21">
        <f t="array" ref="S176">IF(ROW(S176)&lt;=COUNTA(N:N)*2,IF(MOD(ROW(S176),2)=1,INDEX(N:N,(ROW(S176)+1)/2),INDEX(P:P,ROW(S176)/2)),"")</f>
        <v>-144.45</v>
      </c>
      <c r="T176" s="21">
        <f t="array" ref="T176">IF(ROW(T176)&lt;=COUNTA(O:O)*2,IF(MOD(ROW(T176),2)=1,INDEX(O:O,(ROW(T176)+1)/2),INDEX(Q:Q,ROW(T176)/2)),"")</f>
        <v>121.2</v>
      </c>
      <c r="V176" s="22">
        <f t="shared" si="35"/>
        <v>-379.95</v>
      </c>
      <c r="W176" s="22">
        <f t="shared" si="26"/>
        <v>125.18245</v>
      </c>
      <c r="X176" s="22">
        <f t="shared" si="27"/>
        <v>-382.95</v>
      </c>
      <c r="Y176" s="22">
        <f t="shared" si="28"/>
        <v>125.18245</v>
      </c>
      <c r="Z176" s="22"/>
      <c r="AA176" s="22">
        <f t="array" ref="AA176">IF(ROW(AA176)&lt;=COUNTA(V:V)*2,IF(MOD(ROW(AA176),2)=1,INDEX(V:V,(ROW(AA176)+1)/2),INDEX(X:X,ROW(AA176)/2)),"")</f>
        <v>-144.45</v>
      </c>
      <c r="AB176" s="22">
        <f t="array" ref="AB176">IF(ROW(AB176)&lt;=COUNTA(W:W)*2,IF(MOD(ROW(AB176),2)=1,INDEX(W:W,(ROW(AB176)+1)/2),INDEX(Y:Y,ROW(AB176)/2)),"")</f>
        <v>122.6533</v>
      </c>
    </row>
    <row r="177" spans="1:28" s="2" customFormat="1" x14ac:dyDescent="0.25">
      <c r="A177" s="19"/>
      <c r="B177" s="20"/>
      <c r="C177" s="21"/>
      <c r="D177" s="22"/>
      <c r="F177" s="34">
        <f t="shared" si="29"/>
        <v>-382.95</v>
      </c>
      <c r="G177" s="34">
        <f t="shared" si="30"/>
        <v>112.5</v>
      </c>
      <c r="H177" s="34">
        <f t="shared" si="24"/>
        <v>-385.95</v>
      </c>
      <c r="I177" s="34">
        <f t="shared" si="31"/>
        <v>112.5</v>
      </c>
      <c r="J177" s="20"/>
      <c r="K177" s="34">
        <f t="array" ref="K177">IF(ROW(K177)&lt;=COUNTA(F:F)*2,IF(MOD(ROW(K177),2)=1,INDEX(F:F,(ROW(K177)+1)/2),INDEX(H:H,ROW(K177)/2)),"")</f>
        <v>-144.45</v>
      </c>
      <c r="L177" s="34">
        <f t="array" ref="L177">IF(ROW(L177)&lt;=COUNTA(G:G)*2,IF(MOD(ROW(L177),2)=1,INDEX(G:G,(ROW(L177)+1)/2),INDEX(I:I,ROW(L177)/2)),"")</f>
        <v>112.5</v>
      </c>
      <c r="N177" s="21">
        <f t="shared" si="32"/>
        <v>-382.95</v>
      </c>
      <c r="O177" s="21">
        <f t="shared" si="33"/>
        <v>119.4</v>
      </c>
      <c r="P177" s="21">
        <f t="shared" si="25"/>
        <v>-385.95</v>
      </c>
      <c r="Q177" s="21">
        <f t="shared" si="34"/>
        <v>119.4</v>
      </c>
      <c r="R177" s="21"/>
      <c r="S177" s="21">
        <f t="array" ref="S177">IF(ROW(S177)&lt;=COUNTA(N:N)*2,IF(MOD(ROW(S177),2)=1,INDEX(N:N,(ROW(S177)+1)/2),INDEX(P:P,ROW(S177)/2)),"")</f>
        <v>-144.45</v>
      </c>
      <c r="T177" s="21">
        <f t="array" ref="T177">IF(ROW(T177)&lt;=COUNTA(O:O)*2,IF(MOD(ROW(T177),2)=1,INDEX(O:O,(ROW(T177)+1)/2),INDEX(Q:Q,ROW(T177)/2)),"")</f>
        <v>117.2</v>
      </c>
      <c r="V177" s="22">
        <f t="shared" si="35"/>
        <v>-382.95</v>
      </c>
      <c r="W177" s="22">
        <f t="shared" si="26"/>
        <v>125.18245</v>
      </c>
      <c r="X177" s="22">
        <f t="shared" si="27"/>
        <v>-385.95</v>
      </c>
      <c r="Y177" s="22">
        <f t="shared" si="28"/>
        <v>125.18245</v>
      </c>
      <c r="Z177" s="22"/>
      <c r="AA177" s="22">
        <f t="array" ref="AA177">IF(ROW(AA177)&lt;=COUNTA(V:V)*2,IF(MOD(ROW(AA177),2)=1,INDEX(V:V,(ROW(AA177)+1)/2),INDEX(X:X,ROW(AA177)/2)),"")</f>
        <v>-144.45</v>
      </c>
      <c r="AB177" s="22">
        <f t="array" ref="AB177">IF(ROW(AB177)&lt;=COUNTA(W:W)*2,IF(MOD(ROW(AB177),2)=1,INDEX(W:W,(ROW(AB177)+1)/2),INDEX(Y:Y,ROW(AB177)/2)),"")</f>
        <v>125.10325</v>
      </c>
    </row>
    <row r="178" spans="1:28" s="2" customFormat="1" x14ac:dyDescent="0.25">
      <c r="A178" s="19"/>
      <c r="B178" s="20"/>
      <c r="C178" s="21"/>
      <c r="D178" s="22"/>
      <c r="F178" s="34">
        <f t="shared" si="29"/>
        <v>-385.95</v>
      </c>
      <c r="G178" s="34">
        <f t="shared" si="30"/>
        <v>112.5</v>
      </c>
      <c r="H178" s="34">
        <f t="shared" si="24"/>
        <v>-388.95</v>
      </c>
      <c r="I178" s="34">
        <f t="shared" si="31"/>
        <v>112.5</v>
      </c>
      <c r="J178" s="20"/>
      <c r="K178" s="34">
        <f t="array" ref="K178">IF(ROW(K178)&lt;=COUNTA(F:F)*2,IF(MOD(ROW(K178),2)=1,INDEX(F:F,(ROW(K178)+1)/2),INDEX(H:H,ROW(K178)/2)),"")</f>
        <v>-147.45</v>
      </c>
      <c r="L178" s="34">
        <f t="array" ref="L178">IF(ROW(L178)&lt;=COUNTA(G:G)*2,IF(MOD(ROW(L178),2)=1,INDEX(G:G,(ROW(L178)+1)/2),INDEX(I:I,ROW(L178)/2)),"")</f>
        <v>112.5</v>
      </c>
      <c r="N178" s="21">
        <f t="shared" si="32"/>
        <v>-385.95</v>
      </c>
      <c r="O178" s="21">
        <f t="shared" si="33"/>
        <v>119.7</v>
      </c>
      <c r="P178" s="21">
        <f t="shared" si="25"/>
        <v>-388.95</v>
      </c>
      <c r="Q178" s="21">
        <f t="shared" si="34"/>
        <v>119.7</v>
      </c>
      <c r="R178" s="21"/>
      <c r="S178" s="21">
        <f t="array" ref="S178">IF(ROW(S178)&lt;=COUNTA(N:N)*2,IF(MOD(ROW(S178),2)=1,INDEX(N:N,(ROW(S178)+1)/2),INDEX(P:P,ROW(S178)/2)),"")</f>
        <v>-147.45</v>
      </c>
      <c r="T178" s="21">
        <f t="array" ref="T178">IF(ROW(T178)&lt;=COUNTA(O:O)*2,IF(MOD(ROW(T178),2)=1,INDEX(O:O,(ROW(T178)+1)/2),INDEX(Q:Q,ROW(T178)/2)),"")</f>
        <v>117.2</v>
      </c>
      <c r="V178" s="22">
        <f t="shared" si="35"/>
        <v>-385.95</v>
      </c>
      <c r="W178" s="22">
        <f t="shared" si="26"/>
        <v>125.38115</v>
      </c>
      <c r="X178" s="22">
        <f t="shared" si="27"/>
        <v>-388.95</v>
      </c>
      <c r="Y178" s="22">
        <f t="shared" si="28"/>
        <v>125.38115</v>
      </c>
      <c r="Z178" s="22"/>
      <c r="AA178" s="22">
        <f t="array" ref="AA178">IF(ROW(AA178)&lt;=COUNTA(V:V)*2,IF(MOD(ROW(AA178),2)=1,INDEX(V:V,(ROW(AA178)+1)/2),INDEX(X:X,ROW(AA178)/2)),"")</f>
        <v>-147.45</v>
      </c>
      <c r="AB178" s="22">
        <f t="array" ref="AB178">IF(ROW(AB178)&lt;=COUNTA(W:W)*2,IF(MOD(ROW(AB178),2)=1,INDEX(W:W,(ROW(AB178)+1)/2),INDEX(Y:Y,ROW(AB178)/2)),"")</f>
        <v>125.10325</v>
      </c>
    </row>
    <row r="179" spans="1:28" s="2" customFormat="1" x14ac:dyDescent="0.25">
      <c r="A179" s="19"/>
      <c r="B179" s="20"/>
      <c r="C179" s="21"/>
      <c r="D179" s="22"/>
      <c r="F179" s="34">
        <f t="shared" si="29"/>
        <v>-388.95</v>
      </c>
      <c r="G179" s="34">
        <f t="shared" si="30"/>
        <v>112.5</v>
      </c>
      <c r="H179" s="34">
        <f t="shared" si="24"/>
        <v>-391.95</v>
      </c>
      <c r="I179" s="34">
        <f t="shared" si="31"/>
        <v>112.5</v>
      </c>
      <c r="J179" s="20"/>
      <c r="K179" s="34">
        <f t="array" ref="K179">IF(ROW(K179)&lt;=COUNTA(F:F)*2,IF(MOD(ROW(K179),2)=1,INDEX(F:F,(ROW(K179)+1)/2),INDEX(H:H,ROW(K179)/2)),"")</f>
        <v>-147.45</v>
      </c>
      <c r="L179" s="34">
        <f t="array" ref="L179">IF(ROW(L179)&lt;=COUNTA(G:G)*2,IF(MOD(ROW(L179),2)=1,INDEX(G:G,(ROW(L179)+1)/2),INDEX(I:I,ROW(L179)/2)),"")</f>
        <v>111.5</v>
      </c>
      <c r="N179" s="21">
        <f t="shared" si="32"/>
        <v>-388.95</v>
      </c>
      <c r="O179" s="21">
        <f t="shared" si="33"/>
        <v>118.7</v>
      </c>
      <c r="P179" s="21">
        <f t="shared" si="25"/>
        <v>-391.95</v>
      </c>
      <c r="Q179" s="21">
        <f t="shared" si="34"/>
        <v>118.7</v>
      </c>
      <c r="R179" s="21"/>
      <c r="S179" s="21">
        <f t="array" ref="S179">IF(ROW(S179)&lt;=COUNTA(N:N)*2,IF(MOD(ROW(S179),2)=1,INDEX(N:N,(ROW(S179)+1)/2),INDEX(P:P,ROW(S179)/2)),"")</f>
        <v>-147.45</v>
      </c>
      <c r="T179" s="21">
        <f t="array" ref="T179">IF(ROW(T179)&lt;=COUNTA(O:O)*2,IF(MOD(ROW(T179),2)=1,INDEX(O:O,(ROW(T179)+1)/2),INDEX(Q:Q,ROW(T179)/2)),"")</f>
        <v>119.6</v>
      </c>
      <c r="V179" s="22">
        <f t="shared" si="35"/>
        <v>-388.95</v>
      </c>
      <c r="W179" s="22">
        <f t="shared" si="26"/>
        <v>125.13715</v>
      </c>
      <c r="X179" s="22">
        <f t="shared" si="27"/>
        <v>-391.95</v>
      </c>
      <c r="Y179" s="22">
        <f t="shared" si="28"/>
        <v>125.13715</v>
      </c>
      <c r="Z179" s="22"/>
      <c r="AA179" s="22">
        <f t="array" ref="AA179">IF(ROW(AA179)&lt;=COUNTA(V:V)*2,IF(MOD(ROW(AA179),2)=1,INDEX(V:V,(ROW(AA179)+1)/2),INDEX(X:X,ROW(AA179)/2)),"")</f>
        <v>-147.45</v>
      </c>
      <c r="AB179" s="22">
        <f t="array" ref="AB179">IF(ROW(AB179)&lt;=COUNTA(W:W)*2,IF(MOD(ROW(AB179),2)=1,INDEX(W:W,(ROW(AB179)+1)/2),INDEX(Y:Y,ROW(AB179)/2)),"")</f>
        <v>125.1163</v>
      </c>
    </row>
    <row r="180" spans="1:28" s="2" customFormat="1" x14ac:dyDescent="0.25">
      <c r="A180" s="19"/>
      <c r="B180" s="20"/>
      <c r="C180" s="21"/>
      <c r="D180" s="22"/>
      <c r="F180" s="34">
        <f t="shared" si="29"/>
        <v>-391.95</v>
      </c>
      <c r="G180" s="34">
        <f t="shared" si="30"/>
        <v>112.5</v>
      </c>
      <c r="H180" s="34">
        <f t="shared" si="24"/>
        <v>-394.95</v>
      </c>
      <c r="I180" s="34">
        <f t="shared" si="31"/>
        <v>112.5</v>
      </c>
      <c r="J180" s="20"/>
      <c r="K180" s="34">
        <f t="array" ref="K180">IF(ROW(K180)&lt;=COUNTA(F:F)*2,IF(MOD(ROW(K180),2)=1,INDEX(F:F,(ROW(K180)+1)/2),INDEX(H:H,ROW(K180)/2)),"")</f>
        <v>-150.45</v>
      </c>
      <c r="L180" s="34">
        <f t="array" ref="L180">IF(ROW(L180)&lt;=COUNTA(G:G)*2,IF(MOD(ROW(L180),2)=1,INDEX(G:G,(ROW(L180)+1)/2),INDEX(I:I,ROW(L180)/2)),"")</f>
        <v>111.5</v>
      </c>
      <c r="N180" s="21">
        <f t="shared" si="32"/>
        <v>-391.95</v>
      </c>
      <c r="O180" s="21">
        <f t="shared" si="33"/>
        <v>122</v>
      </c>
      <c r="P180" s="21">
        <f t="shared" si="25"/>
        <v>-394.95</v>
      </c>
      <c r="Q180" s="21">
        <f t="shared" si="34"/>
        <v>122</v>
      </c>
      <c r="R180" s="21"/>
      <c r="S180" s="21">
        <f t="array" ref="S180">IF(ROW(S180)&lt;=COUNTA(N:N)*2,IF(MOD(ROW(S180),2)=1,INDEX(N:N,(ROW(S180)+1)/2),INDEX(P:P,ROW(S180)/2)),"")</f>
        <v>-150.45</v>
      </c>
      <c r="T180" s="21">
        <f t="array" ref="T180">IF(ROW(T180)&lt;=COUNTA(O:O)*2,IF(MOD(ROW(T180),2)=1,INDEX(O:O,(ROW(T180)+1)/2),INDEX(Q:Q,ROW(T180)/2)),"")</f>
        <v>119.6</v>
      </c>
      <c r="V180" s="22">
        <f t="shared" si="35"/>
        <v>-391.95</v>
      </c>
      <c r="W180" s="22">
        <f t="shared" si="26"/>
        <v>125.18245</v>
      </c>
      <c r="X180" s="22">
        <f t="shared" si="27"/>
        <v>-394.95</v>
      </c>
      <c r="Y180" s="22">
        <f t="shared" si="28"/>
        <v>125.18245</v>
      </c>
      <c r="Z180" s="22"/>
      <c r="AA180" s="22">
        <f t="array" ref="AA180">IF(ROW(AA180)&lt;=COUNTA(V:V)*2,IF(MOD(ROW(AA180),2)=1,INDEX(V:V,(ROW(AA180)+1)/2),INDEX(X:X,ROW(AA180)/2)),"")</f>
        <v>-150.45</v>
      </c>
      <c r="AB180" s="22">
        <f t="array" ref="AB180">IF(ROW(AB180)&lt;=COUNTA(W:W)*2,IF(MOD(ROW(AB180),2)=1,INDEX(W:W,(ROW(AB180)+1)/2),INDEX(Y:Y,ROW(AB180)/2)),"")</f>
        <v>125.1163</v>
      </c>
    </row>
    <row r="181" spans="1:28" s="2" customFormat="1" x14ac:dyDescent="0.25">
      <c r="A181" s="19"/>
      <c r="B181" s="20"/>
      <c r="C181" s="21"/>
      <c r="D181" s="22"/>
      <c r="F181" s="34">
        <f t="shared" si="29"/>
        <v>-394.95</v>
      </c>
      <c r="G181" s="34">
        <f t="shared" si="30"/>
        <v>112.5</v>
      </c>
      <c r="H181" s="34">
        <f t="shared" si="24"/>
        <v>-397.95</v>
      </c>
      <c r="I181" s="34">
        <f t="shared" si="31"/>
        <v>112.5</v>
      </c>
      <c r="J181" s="20"/>
      <c r="K181" s="34">
        <f t="array" ref="K181">IF(ROW(K181)&lt;=COUNTA(F:F)*2,IF(MOD(ROW(K181),2)=1,INDEX(F:F,(ROW(K181)+1)/2),INDEX(H:H,ROW(K181)/2)),"")</f>
        <v>-150.45</v>
      </c>
      <c r="L181" s="34">
        <f t="array" ref="L181">IF(ROW(L181)&lt;=COUNTA(G:G)*2,IF(MOD(ROW(L181),2)=1,INDEX(G:G,(ROW(L181)+1)/2),INDEX(I:I,ROW(L181)/2)),"")</f>
        <v>112</v>
      </c>
      <c r="N181" s="21">
        <f t="shared" si="32"/>
        <v>-394.95</v>
      </c>
      <c r="O181" s="21">
        <f t="shared" si="33"/>
        <v>119.8</v>
      </c>
      <c r="P181" s="21">
        <f t="shared" si="25"/>
        <v>-397.95</v>
      </c>
      <c r="Q181" s="21">
        <f t="shared" si="34"/>
        <v>119.8</v>
      </c>
      <c r="R181" s="21"/>
      <c r="S181" s="21">
        <f t="array" ref="S181">IF(ROW(S181)&lt;=COUNTA(N:N)*2,IF(MOD(ROW(S181),2)=1,INDEX(N:N,(ROW(S181)+1)/2),INDEX(P:P,ROW(S181)/2)),"")</f>
        <v>-150.45</v>
      </c>
      <c r="T181" s="21">
        <f t="array" ref="T181">IF(ROW(T181)&lt;=COUNTA(O:O)*2,IF(MOD(ROW(T181),2)=1,INDEX(O:O,(ROW(T181)+1)/2),INDEX(Q:Q,ROW(T181)/2)),"")</f>
        <v>118.6</v>
      </c>
      <c r="V181" s="22">
        <f t="shared" si="35"/>
        <v>-394.95</v>
      </c>
      <c r="W181" s="22">
        <f t="shared" si="26"/>
        <v>125.18245</v>
      </c>
      <c r="X181" s="22">
        <f t="shared" si="27"/>
        <v>-397.95</v>
      </c>
      <c r="Y181" s="22">
        <f t="shared" si="28"/>
        <v>125.18245</v>
      </c>
      <c r="Z181" s="22"/>
      <c r="AA181" s="22">
        <f t="array" ref="AA181">IF(ROW(AA181)&lt;=COUNTA(V:V)*2,IF(MOD(ROW(AA181),2)=1,INDEX(V:V,(ROW(AA181)+1)/2),INDEX(X:X,ROW(AA181)/2)),"")</f>
        <v>-150.45</v>
      </c>
      <c r="AB181" s="22">
        <f t="array" ref="AB181">IF(ROW(AB181)&lt;=COUNTA(W:W)*2,IF(MOD(ROW(AB181),2)=1,INDEX(W:W,(ROW(AB181)+1)/2),INDEX(Y:Y,ROW(AB181)/2)),"")</f>
        <v>125.1163</v>
      </c>
    </row>
    <row r="182" spans="1:28" s="2" customFormat="1" x14ac:dyDescent="0.25">
      <c r="A182" s="19"/>
      <c r="B182" s="20"/>
      <c r="C182" s="21"/>
      <c r="D182" s="22"/>
      <c r="F182" s="34">
        <f t="shared" si="29"/>
        <v>-397.95</v>
      </c>
      <c r="G182" s="34">
        <f t="shared" si="30"/>
        <v>112.5</v>
      </c>
      <c r="H182" s="34">
        <f t="shared" si="24"/>
        <v>-400.95</v>
      </c>
      <c r="I182" s="34">
        <f t="shared" si="31"/>
        <v>112.5</v>
      </c>
      <c r="J182" s="20"/>
      <c r="K182" s="34">
        <f t="array" ref="K182">IF(ROW(K182)&lt;=COUNTA(F:F)*2,IF(MOD(ROW(K182),2)=1,INDEX(F:F,(ROW(K182)+1)/2),INDEX(H:H,ROW(K182)/2)),"")</f>
        <v>-153.45</v>
      </c>
      <c r="L182" s="34">
        <f t="array" ref="L182">IF(ROW(L182)&lt;=COUNTA(G:G)*2,IF(MOD(ROW(L182),2)=1,INDEX(G:G,(ROW(L182)+1)/2),INDEX(I:I,ROW(L182)/2)),"")</f>
        <v>112</v>
      </c>
      <c r="N182" s="21">
        <f t="shared" si="32"/>
        <v>-397.95</v>
      </c>
      <c r="O182" s="21">
        <f t="shared" si="33"/>
        <v>121.3</v>
      </c>
      <c r="P182" s="21">
        <f t="shared" si="25"/>
        <v>-400.95</v>
      </c>
      <c r="Q182" s="21">
        <f t="shared" si="34"/>
        <v>121.3</v>
      </c>
      <c r="R182" s="21"/>
      <c r="S182" s="21">
        <f t="array" ref="S182">IF(ROW(S182)&lt;=COUNTA(N:N)*2,IF(MOD(ROW(S182),2)=1,INDEX(N:N,(ROW(S182)+1)/2),INDEX(P:P,ROW(S182)/2)),"")</f>
        <v>-153.45</v>
      </c>
      <c r="T182" s="21">
        <f t="array" ref="T182">IF(ROW(T182)&lt;=COUNTA(O:O)*2,IF(MOD(ROW(T182),2)=1,INDEX(O:O,(ROW(T182)+1)/2),INDEX(Q:Q,ROW(T182)/2)),"")</f>
        <v>118.6</v>
      </c>
      <c r="V182" s="22">
        <f t="shared" si="35"/>
        <v>-397.95</v>
      </c>
      <c r="W182" s="22">
        <f t="shared" si="26"/>
        <v>125.38115</v>
      </c>
      <c r="X182" s="22">
        <f t="shared" si="27"/>
        <v>-400.95</v>
      </c>
      <c r="Y182" s="22">
        <f t="shared" si="28"/>
        <v>125.38115</v>
      </c>
      <c r="Z182" s="22"/>
      <c r="AA182" s="22">
        <f t="array" ref="AA182">IF(ROW(AA182)&lt;=COUNTA(V:V)*2,IF(MOD(ROW(AA182),2)=1,INDEX(V:V,(ROW(AA182)+1)/2),INDEX(X:X,ROW(AA182)/2)),"")</f>
        <v>-153.45</v>
      </c>
      <c r="AB182" s="22">
        <f t="array" ref="AB182">IF(ROW(AB182)&lt;=COUNTA(W:W)*2,IF(MOD(ROW(AB182),2)=1,INDEX(W:W,(ROW(AB182)+1)/2),INDEX(Y:Y,ROW(AB182)/2)),"")</f>
        <v>125.1163</v>
      </c>
    </row>
    <row r="183" spans="1:28" s="2" customFormat="1" x14ac:dyDescent="0.25">
      <c r="A183" s="19"/>
      <c r="B183" s="20"/>
      <c r="C183" s="21"/>
      <c r="D183" s="22"/>
      <c r="F183" s="34">
        <f t="shared" si="29"/>
        <v>-400.95</v>
      </c>
      <c r="G183" s="34">
        <f t="shared" si="30"/>
        <v>112.5</v>
      </c>
      <c r="H183" s="34">
        <f t="shared" si="24"/>
        <v>-403.95</v>
      </c>
      <c r="I183" s="34">
        <f t="shared" si="31"/>
        <v>112.5</v>
      </c>
      <c r="J183" s="20"/>
      <c r="K183" s="34">
        <f t="array" ref="K183">IF(ROW(K183)&lt;=COUNTA(F:F)*2,IF(MOD(ROW(K183),2)=1,INDEX(F:F,(ROW(K183)+1)/2),INDEX(H:H,ROW(K183)/2)),"")</f>
        <v>-153.45</v>
      </c>
      <c r="L183" s="34">
        <f t="array" ref="L183">IF(ROW(L183)&lt;=COUNTA(G:G)*2,IF(MOD(ROW(L183),2)=1,INDEX(G:G,(ROW(L183)+1)/2),INDEX(I:I,ROW(L183)/2)),"")</f>
        <v>112.4</v>
      </c>
      <c r="N183" s="21">
        <f t="shared" si="32"/>
        <v>-400.95</v>
      </c>
      <c r="O183" s="21">
        <f t="shared" si="33"/>
        <v>117</v>
      </c>
      <c r="P183" s="21">
        <f t="shared" si="25"/>
        <v>-403.95</v>
      </c>
      <c r="Q183" s="21">
        <f t="shared" si="34"/>
        <v>117</v>
      </c>
      <c r="R183" s="21"/>
      <c r="S183" s="21">
        <f t="array" ref="S183">IF(ROW(S183)&lt;=COUNTA(N:N)*2,IF(MOD(ROW(S183),2)=1,INDEX(N:N,(ROW(S183)+1)/2),INDEX(P:P,ROW(S183)/2)),"")</f>
        <v>-153.45</v>
      </c>
      <c r="T183" s="21">
        <f t="array" ref="T183">IF(ROW(T183)&lt;=COUNTA(O:O)*2,IF(MOD(ROW(T183),2)=1,INDEX(O:O,(ROW(T183)+1)/2),INDEX(Q:Q,ROW(T183)/2)),"")</f>
        <v>120.9</v>
      </c>
      <c r="V183" s="22">
        <f t="shared" si="35"/>
        <v>-400.95</v>
      </c>
      <c r="W183" s="22">
        <f t="shared" si="26"/>
        <v>125.38115</v>
      </c>
      <c r="X183" s="22">
        <f t="shared" si="27"/>
        <v>-403.95</v>
      </c>
      <c r="Y183" s="22">
        <f t="shared" si="28"/>
        <v>125.38115</v>
      </c>
      <c r="Z183" s="22"/>
      <c r="AA183" s="22">
        <f t="array" ref="AA183">IF(ROW(AA183)&lt;=COUNTA(V:V)*2,IF(MOD(ROW(AA183),2)=1,INDEX(V:V,(ROW(AA183)+1)/2),INDEX(X:X,ROW(AA183)/2)),"")</f>
        <v>-153.45</v>
      </c>
      <c r="AB183" s="22">
        <f t="array" ref="AB183">IF(ROW(AB183)&lt;=COUNTA(W:W)*2,IF(MOD(ROW(AB183),2)=1,INDEX(W:W,(ROW(AB183)+1)/2),INDEX(Y:Y,ROW(AB183)/2)),"")</f>
        <v>125.130175</v>
      </c>
    </row>
    <row r="184" spans="1:28" s="2" customFormat="1" x14ac:dyDescent="0.25">
      <c r="A184" s="19"/>
      <c r="B184" s="20"/>
      <c r="C184" s="21"/>
      <c r="D184" s="22"/>
      <c r="F184" s="34">
        <f t="shared" si="29"/>
        <v>-403.95</v>
      </c>
      <c r="G184" s="34">
        <f t="shared" si="30"/>
        <v>112.5</v>
      </c>
      <c r="H184" s="34">
        <f t="shared" si="24"/>
        <v>-406.45</v>
      </c>
      <c r="I184" s="34">
        <f t="shared" si="31"/>
        <v>112.5</v>
      </c>
      <c r="J184" s="20"/>
      <c r="K184" s="34">
        <f t="array" ref="K184">IF(ROW(K184)&lt;=COUNTA(F:F)*2,IF(MOD(ROW(K184),2)=1,INDEX(F:F,(ROW(K184)+1)/2),INDEX(H:H,ROW(K184)/2)),"")</f>
        <v>-155.15</v>
      </c>
      <c r="L184" s="34">
        <f t="array" ref="L184">IF(ROW(L184)&lt;=COUNTA(G:G)*2,IF(MOD(ROW(L184),2)=1,INDEX(G:G,(ROW(L184)+1)/2),INDEX(I:I,ROW(L184)/2)),"")</f>
        <v>112.4</v>
      </c>
      <c r="N184" s="21">
        <f t="shared" si="32"/>
        <v>-403.95</v>
      </c>
      <c r="O184" s="21">
        <f t="shared" si="33"/>
        <v>116</v>
      </c>
      <c r="P184" s="21">
        <f t="shared" si="25"/>
        <v>-406.45</v>
      </c>
      <c r="Q184" s="21">
        <f t="shared" si="34"/>
        <v>116</v>
      </c>
      <c r="R184" s="21"/>
      <c r="S184" s="21">
        <f t="array" ref="S184">IF(ROW(S184)&lt;=COUNTA(N:N)*2,IF(MOD(ROW(S184),2)=1,INDEX(N:N,(ROW(S184)+1)/2),INDEX(P:P,ROW(S184)/2)),"")</f>
        <v>-155.15</v>
      </c>
      <c r="T184" s="21">
        <f t="array" ref="T184">IF(ROW(T184)&lt;=COUNTA(O:O)*2,IF(MOD(ROW(T184),2)=1,INDEX(O:O,(ROW(T184)+1)/2),INDEX(Q:Q,ROW(T184)/2)),"")</f>
        <v>120.9</v>
      </c>
      <c r="V184" s="22">
        <f t="shared" si="35"/>
        <v>-403.95</v>
      </c>
      <c r="W184" s="22">
        <f t="shared" si="26"/>
        <v>122.6691</v>
      </c>
      <c r="X184" s="22">
        <f t="shared" si="27"/>
        <v>-406.45</v>
      </c>
      <c r="Y184" s="22">
        <f t="shared" si="28"/>
        <v>122.6691</v>
      </c>
      <c r="Z184" s="22"/>
      <c r="AA184" s="22">
        <f t="array" ref="AA184">IF(ROW(AA184)&lt;=COUNTA(V:V)*2,IF(MOD(ROW(AA184),2)=1,INDEX(V:V,(ROW(AA184)+1)/2),INDEX(X:X,ROW(AA184)/2)),"")</f>
        <v>-155.15</v>
      </c>
      <c r="AB184" s="22">
        <f t="array" ref="AB184">IF(ROW(AB184)&lt;=COUNTA(W:W)*2,IF(MOD(ROW(AB184),2)=1,INDEX(W:W,(ROW(AB184)+1)/2),INDEX(Y:Y,ROW(AB184)/2)),"")</f>
        <v>125.130175</v>
      </c>
    </row>
    <row r="185" spans="1:28" s="2" customFormat="1" x14ac:dyDescent="0.25">
      <c r="A185" s="19"/>
      <c r="B185" s="20"/>
      <c r="C185" s="21"/>
      <c r="D185" s="22"/>
      <c r="F185" s="34">
        <f t="shared" si="29"/>
        <v>-406.45</v>
      </c>
      <c r="G185" s="34">
        <f t="shared" si="30"/>
        <v>112.4</v>
      </c>
      <c r="H185" s="34">
        <f t="shared" si="24"/>
        <v>-408.3</v>
      </c>
      <c r="I185" s="34">
        <f t="shared" si="31"/>
        <v>112.4</v>
      </c>
      <c r="J185" s="20"/>
      <c r="K185" s="34">
        <f t="array" ref="K185">IF(ROW(K185)&lt;=COUNTA(F:F)*2,IF(MOD(ROW(K185),2)=1,INDEX(F:F,(ROW(K185)+1)/2),INDEX(H:H,ROW(K185)/2)),"")</f>
        <v>-155.15</v>
      </c>
      <c r="L185" s="34">
        <f t="array" ref="L185">IF(ROW(L185)&lt;=COUNTA(G:G)*2,IF(MOD(ROW(L185),2)=1,INDEX(G:G,(ROW(L185)+1)/2),INDEX(I:I,ROW(L185)/2)),"")</f>
        <v>112.4</v>
      </c>
      <c r="N185" s="21">
        <f t="shared" si="32"/>
        <v>-406.45</v>
      </c>
      <c r="O185" s="21">
        <f t="shared" si="33"/>
        <v>118.1</v>
      </c>
      <c r="P185" s="21">
        <f t="shared" si="25"/>
        <v>-408.3</v>
      </c>
      <c r="Q185" s="21">
        <f t="shared" si="34"/>
        <v>118.1</v>
      </c>
      <c r="R185" s="21"/>
      <c r="S185" s="21">
        <f t="array" ref="S185">IF(ROW(S185)&lt;=COUNTA(N:N)*2,IF(MOD(ROW(S185),2)=1,INDEX(N:N,(ROW(S185)+1)/2),INDEX(P:P,ROW(S185)/2)),"")</f>
        <v>-155.15</v>
      </c>
      <c r="T185" s="21">
        <f t="array" ref="T185">IF(ROW(T185)&lt;=COUNTA(O:O)*2,IF(MOD(ROW(T185),2)=1,INDEX(O:O,(ROW(T185)+1)/2),INDEX(Q:Q,ROW(T185)/2)),"")</f>
        <v>121.1</v>
      </c>
      <c r="V185" s="22">
        <f t="shared" si="35"/>
        <v>-406.45</v>
      </c>
      <c r="W185" s="22">
        <f t="shared" si="26"/>
        <v>122.6563</v>
      </c>
      <c r="X185" s="22">
        <f t="shared" si="27"/>
        <v>-408.3</v>
      </c>
      <c r="Y185" s="22">
        <f t="shared" si="28"/>
        <v>122.6563</v>
      </c>
      <c r="Z185" s="22"/>
      <c r="AA185" s="22">
        <f t="array" ref="AA185">IF(ROW(AA185)&lt;=COUNTA(V:V)*2,IF(MOD(ROW(AA185),2)=1,INDEX(V:V,(ROW(AA185)+1)/2),INDEX(X:X,ROW(AA185)/2)),"")</f>
        <v>-155.15</v>
      </c>
      <c r="AB185" s="22">
        <f t="array" ref="AB185">IF(ROW(AB185)&lt;=COUNTA(W:W)*2,IF(MOD(ROW(AB185),2)=1,INDEX(W:W,(ROW(AB185)+1)/2),INDEX(Y:Y,ROW(AB185)/2)),"")</f>
        <v>125.102125</v>
      </c>
    </row>
    <row r="186" spans="1:28" s="2" customFormat="1" x14ac:dyDescent="0.25">
      <c r="A186" s="19"/>
      <c r="B186" s="20"/>
      <c r="C186" s="21"/>
      <c r="D186" s="22"/>
      <c r="F186" s="34">
        <f t="shared" si="29"/>
        <v>-408.3</v>
      </c>
      <c r="G186" s="34">
        <f t="shared" si="30"/>
        <v>112.4</v>
      </c>
      <c r="H186" s="34">
        <f t="shared" si="24"/>
        <v>-411.3</v>
      </c>
      <c r="I186" s="34">
        <f t="shared" si="31"/>
        <v>112.4</v>
      </c>
      <c r="J186" s="20"/>
      <c r="K186" s="34">
        <f t="array" ref="K186">IF(ROW(K186)&lt;=COUNTA(F:F)*2,IF(MOD(ROW(K186),2)=1,INDEX(F:F,(ROW(K186)+1)/2),INDEX(H:H,ROW(K186)/2)),"")</f>
        <v>-157.85</v>
      </c>
      <c r="L186" s="34">
        <f t="array" ref="L186">IF(ROW(L186)&lt;=COUNTA(G:G)*2,IF(MOD(ROW(L186),2)=1,INDEX(G:G,(ROW(L186)+1)/2),INDEX(I:I,ROW(L186)/2)),"")</f>
        <v>112.4</v>
      </c>
      <c r="N186" s="21">
        <f t="shared" si="32"/>
        <v>-408.3</v>
      </c>
      <c r="O186" s="21">
        <f t="shared" si="33"/>
        <v>119.7</v>
      </c>
      <c r="P186" s="21">
        <f t="shared" si="25"/>
        <v>-411.3</v>
      </c>
      <c r="Q186" s="21">
        <f t="shared" si="34"/>
        <v>119.7</v>
      </c>
      <c r="R186" s="21"/>
      <c r="S186" s="21">
        <f t="array" ref="S186">IF(ROW(S186)&lt;=COUNTA(N:N)*2,IF(MOD(ROW(S186),2)=1,INDEX(N:N,(ROW(S186)+1)/2),INDEX(P:P,ROW(S186)/2)),"")</f>
        <v>-157.85</v>
      </c>
      <c r="T186" s="21">
        <f t="array" ref="T186">IF(ROW(T186)&lt;=COUNTA(O:O)*2,IF(MOD(ROW(T186),2)=1,INDEX(O:O,(ROW(T186)+1)/2),INDEX(Q:Q,ROW(T186)/2)),"")</f>
        <v>121.1</v>
      </c>
      <c r="V186" s="22">
        <f t="shared" si="35"/>
        <v>-408.3</v>
      </c>
      <c r="W186" s="22">
        <f t="shared" si="26"/>
        <v>122.6563</v>
      </c>
      <c r="X186" s="22">
        <f t="shared" si="27"/>
        <v>-411.3</v>
      </c>
      <c r="Y186" s="22">
        <f t="shared" si="28"/>
        <v>122.6563</v>
      </c>
      <c r="Z186" s="22"/>
      <c r="AA186" s="22">
        <f t="array" ref="AA186">IF(ROW(AA186)&lt;=COUNTA(V:V)*2,IF(MOD(ROW(AA186),2)=1,INDEX(V:V,(ROW(AA186)+1)/2),INDEX(X:X,ROW(AA186)/2)),"")</f>
        <v>-157.85</v>
      </c>
      <c r="AB186" s="22">
        <f t="array" ref="AB186">IF(ROW(AB186)&lt;=COUNTA(W:W)*2,IF(MOD(ROW(AB186),2)=1,INDEX(W:W,(ROW(AB186)+1)/2),INDEX(Y:Y,ROW(AB186)/2)),"")</f>
        <v>125.102125</v>
      </c>
    </row>
    <row r="187" spans="1:28" s="2" customFormat="1" x14ac:dyDescent="0.25">
      <c r="A187" s="19"/>
      <c r="B187" s="20"/>
      <c r="C187" s="21"/>
      <c r="D187" s="22"/>
      <c r="F187" s="34">
        <f t="shared" si="29"/>
        <v>-411.3</v>
      </c>
      <c r="G187" s="34">
        <f t="shared" si="30"/>
        <v>112.4</v>
      </c>
      <c r="H187" s="34">
        <f t="shared" si="24"/>
        <v>-414.3</v>
      </c>
      <c r="I187" s="34">
        <f t="shared" si="31"/>
        <v>112.4</v>
      </c>
      <c r="J187" s="20"/>
      <c r="K187" s="34">
        <f t="array" ref="K187">IF(ROW(K187)&lt;=COUNTA(F:F)*2,IF(MOD(ROW(K187),2)=1,INDEX(F:F,(ROW(K187)+1)/2),INDEX(H:H,ROW(K187)/2)),"")</f>
        <v>-157.85</v>
      </c>
      <c r="L187" s="34">
        <f t="array" ref="L187">IF(ROW(L187)&lt;=COUNTA(G:G)*2,IF(MOD(ROW(L187),2)=1,INDEX(G:G,(ROW(L187)+1)/2),INDEX(I:I,ROW(L187)/2)),"")</f>
        <v>112.3</v>
      </c>
      <c r="N187" s="21">
        <f t="shared" si="32"/>
        <v>-411.3</v>
      </c>
      <c r="O187" s="21">
        <f t="shared" si="33"/>
        <v>120.9</v>
      </c>
      <c r="P187" s="21">
        <f t="shared" si="25"/>
        <v>-414.3</v>
      </c>
      <c r="Q187" s="21">
        <f t="shared" si="34"/>
        <v>120.9</v>
      </c>
      <c r="R187" s="21"/>
      <c r="S187" s="21">
        <f t="array" ref="S187">IF(ROW(S187)&lt;=COUNTA(N:N)*2,IF(MOD(ROW(S187),2)=1,INDEX(N:N,(ROW(S187)+1)/2),INDEX(P:P,ROW(S187)/2)),"")</f>
        <v>-157.85</v>
      </c>
      <c r="T187" s="21">
        <f t="array" ref="T187">IF(ROW(T187)&lt;=COUNTA(O:O)*2,IF(MOD(ROW(T187),2)=1,INDEX(O:O,(ROW(T187)+1)/2),INDEX(Q:Q,ROW(T187)/2)),"")</f>
        <v>122.3</v>
      </c>
      <c r="V187" s="22">
        <f t="shared" si="35"/>
        <v>-411.3</v>
      </c>
      <c r="W187" s="22">
        <f t="shared" si="26"/>
        <v>122.650525</v>
      </c>
      <c r="X187" s="22">
        <f t="shared" si="27"/>
        <v>-414.3</v>
      </c>
      <c r="Y187" s="22">
        <f t="shared" si="28"/>
        <v>122.650525</v>
      </c>
      <c r="Z187" s="22"/>
      <c r="AA187" s="22">
        <f t="array" ref="AA187">IF(ROW(AA187)&lt;=COUNTA(V:V)*2,IF(MOD(ROW(AA187),2)=1,INDEX(V:V,(ROW(AA187)+1)/2),INDEX(X:X,ROW(AA187)/2)),"")</f>
        <v>-157.85</v>
      </c>
      <c r="AB187" s="22">
        <f t="array" ref="AB187">IF(ROW(AB187)&lt;=COUNTA(W:W)*2,IF(MOD(ROW(AB187),2)=1,INDEX(W:W,(ROW(AB187)+1)/2),INDEX(Y:Y,ROW(AB187)/2)),"")</f>
        <v>125.225825</v>
      </c>
    </row>
    <row r="188" spans="1:28" s="2" customFormat="1" x14ac:dyDescent="0.25">
      <c r="A188" s="19"/>
      <c r="B188" s="20"/>
      <c r="C188" s="21"/>
      <c r="D188" s="22"/>
      <c r="F188" s="34">
        <f t="shared" si="29"/>
        <v>-414.3</v>
      </c>
      <c r="G188" s="34">
        <f t="shared" si="30"/>
        <v>112.4</v>
      </c>
      <c r="H188" s="34">
        <f t="shared" si="24"/>
        <v>-417.3</v>
      </c>
      <c r="I188" s="34">
        <f t="shared" si="31"/>
        <v>112.4</v>
      </c>
      <c r="J188" s="20"/>
      <c r="K188" s="34">
        <f t="array" ref="K188">IF(ROW(K188)&lt;=COUNTA(F:F)*2,IF(MOD(ROW(K188),2)=1,INDEX(F:F,(ROW(K188)+1)/2),INDEX(H:H,ROW(K188)/2)),"")</f>
        <v>-160.95</v>
      </c>
      <c r="L188" s="34">
        <f t="array" ref="L188">IF(ROW(L188)&lt;=COUNTA(G:G)*2,IF(MOD(ROW(L188),2)=1,INDEX(G:G,(ROW(L188)+1)/2),INDEX(I:I,ROW(L188)/2)),"")</f>
        <v>112.3</v>
      </c>
      <c r="N188" s="21">
        <f t="shared" si="32"/>
        <v>-414.3</v>
      </c>
      <c r="O188" s="21">
        <f t="shared" si="33"/>
        <v>118.3</v>
      </c>
      <c r="P188" s="21">
        <f t="shared" si="25"/>
        <v>-417.3</v>
      </c>
      <c r="Q188" s="21">
        <f t="shared" si="34"/>
        <v>118.3</v>
      </c>
      <c r="R188" s="21"/>
      <c r="S188" s="21">
        <f t="array" ref="S188">IF(ROW(S188)&lt;=COUNTA(N:N)*2,IF(MOD(ROW(S188),2)=1,INDEX(N:N,(ROW(S188)+1)/2),INDEX(P:P,ROW(S188)/2)),"")</f>
        <v>-160.95</v>
      </c>
      <c r="T188" s="21">
        <f t="array" ref="T188">IF(ROW(T188)&lt;=COUNTA(O:O)*2,IF(MOD(ROW(T188),2)=1,INDEX(O:O,(ROW(T188)+1)/2),INDEX(Q:Q,ROW(T188)/2)),"")</f>
        <v>122.3</v>
      </c>
      <c r="V188" s="22">
        <f t="shared" si="35"/>
        <v>-414.3</v>
      </c>
      <c r="W188" s="22">
        <f t="shared" si="26"/>
        <v>122.6515</v>
      </c>
      <c r="X188" s="22">
        <f t="shared" si="27"/>
        <v>-417.3</v>
      </c>
      <c r="Y188" s="22">
        <f t="shared" si="28"/>
        <v>122.6515</v>
      </c>
      <c r="Z188" s="22"/>
      <c r="AA188" s="22">
        <f t="array" ref="AA188">IF(ROW(AA188)&lt;=COUNTA(V:V)*2,IF(MOD(ROW(AA188),2)=1,INDEX(V:V,(ROW(AA188)+1)/2),INDEX(X:X,ROW(AA188)/2)),"")</f>
        <v>-160.95</v>
      </c>
      <c r="AB188" s="22">
        <f t="array" ref="AB188">IF(ROW(AB188)&lt;=COUNTA(W:W)*2,IF(MOD(ROW(AB188),2)=1,INDEX(W:W,(ROW(AB188)+1)/2),INDEX(Y:Y,ROW(AB188)/2)),"")</f>
        <v>125.225825</v>
      </c>
    </row>
    <row r="189" spans="1:28" s="2" customFormat="1" x14ac:dyDescent="0.25">
      <c r="A189" s="19"/>
      <c r="B189" s="20"/>
      <c r="C189" s="21"/>
      <c r="D189" s="22"/>
      <c r="F189" s="34">
        <f t="shared" si="29"/>
        <v>-417.3</v>
      </c>
      <c r="G189" s="34">
        <f t="shared" si="30"/>
        <v>112.4</v>
      </c>
      <c r="H189" s="34">
        <f t="shared" si="24"/>
        <v>-420.3</v>
      </c>
      <c r="I189" s="34">
        <f t="shared" si="31"/>
        <v>112.4</v>
      </c>
      <c r="J189" s="20"/>
      <c r="K189" s="34">
        <f t="array" ref="K189">IF(ROW(K189)&lt;=COUNTA(F:F)*2,IF(MOD(ROW(K189),2)=1,INDEX(F:F,(ROW(K189)+1)/2),INDEX(H:H,ROW(K189)/2)),"")</f>
        <v>-160.95</v>
      </c>
      <c r="L189" s="34">
        <f t="array" ref="L189">IF(ROW(L189)&lt;=COUNTA(G:G)*2,IF(MOD(ROW(L189),2)=1,INDEX(G:G,(ROW(L189)+1)/2),INDEX(I:I,ROW(L189)/2)),"")</f>
        <v>112.4</v>
      </c>
      <c r="N189" s="21">
        <f t="shared" si="32"/>
        <v>-417.3</v>
      </c>
      <c r="O189" s="21">
        <f t="shared" si="33"/>
        <v>121.9</v>
      </c>
      <c r="P189" s="21">
        <f t="shared" si="25"/>
        <v>-420.3</v>
      </c>
      <c r="Q189" s="21">
        <f t="shared" si="34"/>
        <v>121.9</v>
      </c>
      <c r="R189" s="21"/>
      <c r="S189" s="21">
        <f t="array" ref="S189">IF(ROW(S189)&lt;=COUNTA(N:N)*2,IF(MOD(ROW(S189),2)=1,INDEX(N:N,(ROW(S189)+1)/2),INDEX(P:P,ROW(S189)/2)),"")</f>
        <v>-160.95</v>
      </c>
      <c r="T189" s="21">
        <f t="array" ref="T189">IF(ROW(T189)&lt;=COUNTA(O:O)*2,IF(MOD(ROW(T189),2)=1,INDEX(O:O,(ROW(T189)+1)/2),INDEX(Q:Q,ROW(T189)/2)),"")</f>
        <v>121.6</v>
      </c>
      <c r="V189" s="22">
        <f t="shared" si="35"/>
        <v>-417.3</v>
      </c>
      <c r="W189" s="22">
        <f t="shared" si="26"/>
        <v>122.65835</v>
      </c>
      <c r="X189" s="22">
        <f t="shared" si="27"/>
        <v>-420.3</v>
      </c>
      <c r="Y189" s="22">
        <f t="shared" si="28"/>
        <v>122.65835</v>
      </c>
      <c r="Z189" s="22"/>
      <c r="AA189" s="22">
        <f t="array" ref="AA189">IF(ROW(AA189)&lt;=COUNTA(V:V)*2,IF(MOD(ROW(AA189),2)=1,INDEX(V:V,(ROW(AA189)+1)/2),INDEX(X:X,ROW(AA189)/2)),"")</f>
        <v>-160.95</v>
      </c>
      <c r="AB189" s="22">
        <f t="array" ref="AB189">IF(ROW(AB189)&lt;=COUNTA(W:W)*2,IF(MOD(ROW(AB189),2)=1,INDEX(W:W,(ROW(AB189)+1)/2),INDEX(Y:Y,ROW(AB189)/2)),"")</f>
        <v>125.19975</v>
      </c>
    </row>
    <row r="190" spans="1:28" s="2" customFormat="1" x14ac:dyDescent="0.25">
      <c r="A190" s="19"/>
      <c r="B190" s="20"/>
      <c r="C190" s="21"/>
      <c r="D190" s="22"/>
      <c r="F190" s="34">
        <f t="shared" si="29"/>
        <v>-420.3</v>
      </c>
      <c r="G190" s="34">
        <f t="shared" si="30"/>
        <v>112.5</v>
      </c>
      <c r="H190" s="34">
        <f t="shared" si="24"/>
        <v>-423.3</v>
      </c>
      <c r="I190" s="34">
        <f t="shared" si="31"/>
        <v>112.5</v>
      </c>
      <c r="J190" s="20"/>
      <c r="K190" s="34">
        <f t="array" ref="K190">IF(ROW(K190)&lt;=COUNTA(F:F)*2,IF(MOD(ROW(K190),2)=1,INDEX(F:F,(ROW(K190)+1)/2),INDEX(H:H,ROW(K190)/2)),"")</f>
        <v>-163.95</v>
      </c>
      <c r="L190" s="34">
        <f t="array" ref="L190">IF(ROW(L190)&lt;=COUNTA(G:G)*2,IF(MOD(ROW(L190),2)=1,INDEX(G:G,(ROW(L190)+1)/2),INDEX(I:I,ROW(L190)/2)),"")</f>
        <v>112.4</v>
      </c>
      <c r="N190" s="21">
        <f t="shared" si="32"/>
        <v>-420.3</v>
      </c>
      <c r="O190" s="21">
        <f t="shared" si="33"/>
        <v>120.7</v>
      </c>
      <c r="P190" s="21">
        <f t="shared" si="25"/>
        <v>-423.3</v>
      </c>
      <c r="Q190" s="21">
        <f t="shared" si="34"/>
        <v>120.7</v>
      </c>
      <c r="R190" s="21"/>
      <c r="S190" s="21">
        <f t="array" ref="S190">IF(ROW(S190)&lt;=COUNTA(N:N)*2,IF(MOD(ROW(S190),2)=1,INDEX(N:N,(ROW(S190)+1)/2),INDEX(P:P,ROW(S190)/2)),"")</f>
        <v>-163.95</v>
      </c>
      <c r="T190" s="21">
        <f t="array" ref="T190">IF(ROW(T190)&lt;=COUNTA(O:O)*2,IF(MOD(ROW(T190),2)=1,INDEX(O:O,(ROW(T190)+1)/2),INDEX(Q:Q,ROW(T190)/2)),"")</f>
        <v>121.6</v>
      </c>
      <c r="V190" s="22">
        <f t="shared" si="35"/>
        <v>-420.3</v>
      </c>
      <c r="W190" s="22">
        <f t="shared" si="26"/>
        <v>122.65615</v>
      </c>
      <c r="X190" s="22">
        <f t="shared" si="27"/>
        <v>-423.3</v>
      </c>
      <c r="Y190" s="22">
        <f t="shared" si="28"/>
        <v>122.65615</v>
      </c>
      <c r="Z190" s="22"/>
      <c r="AA190" s="22">
        <f t="array" ref="AA190">IF(ROW(AA190)&lt;=COUNTA(V:V)*2,IF(MOD(ROW(AA190),2)=1,INDEX(V:V,(ROW(AA190)+1)/2),INDEX(X:X,ROW(AA190)/2)),"")</f>
        <v>-163.95</v>
      </c>
      <c r="AB190" s="22">
        <f t="array" ref="AB190">IF(ROW(AB190)&lt;=COUNTA(W:W)*2,IF(MOD(ROW(AB190),2)=1,INDEX(W:W,(ROW(AB190)+1)/2),INDEX(Y:Y,ROW(AB190)/2)),"")</f>
        <v>125.19975</v>
      </c>
    </row>
    <row r="191" spans="1:28" s="2" customFormat="1" x14ac:dyDescent="0.25">
      <c r="A191" s="19"/>
      <c r="B191" s="20"/>
      <c r="C191" s="21"/>
      <c r="D191" s="22"/>
      <c r="F191" s="34">
        <f t="shared" si="29"/>
        <v>-423.3</v>
      </c>
      <c r="G191" s="34">
        <f t="shared" si="30"/>
        <v>112.5</v>
      </c>
      <c r="H191" s="34">
        <f t="shared" si="24"/>
        <v>-426.3</v>
      </c>
      <c r="I191" s="34">
        <f t="shared" si="31"/>
        <v>112.5</v>
      </c>
      <c r="J191" s="20"/>
      <c r="K191" s="34">
        <f t="array" ref="K191">IF(ROW(K191)&lt;=COUNTA(F:F)*2,IF(MOD(ROW(K191),2)=1,INDEX(F:F,(ROW(K191)+1)/2),INDEX(H:H,ROW(K191)/2)),"")</f>
        <v>-163.95</v>
      </c>
      <c r="L191" s="34">
        <f t="array" ref="L191">IF(ROW(L191)&lt;=COUNTA(G:G)*2,IF(MOD(ROW(L191),2)=1,INDEX(G:G,(ROW(L191)+1)/2),INDEX(I:I,ROW(L191)/2)),"")</f>
        <v>112.2</v>
      </c>
      <c r="N191" s="21">
        <f t="shared" si="32"/>
        <v>-423.3</v>
      </c>
      <c r="O191" s="21">
        <f t="shared" si="33"/>
        <v>118.6</v>
      </c>
      <c r="P191" s="21">
        <f t="shared" si="25"/>
        <v>-426.3</v>
      </c>
      <c r="Q191" s="21">
        <f t="shared" si="34"/>
        <v>118.6</v>
      </c>
      <c r="R191" s="21"/>
      <c r="S191" s="21">
        <f t="array" ref="S191">IF(ROW(S191)&lt;=COUNTA(N:N)*2,IF(MOD(ROW(S191),2)=1,INDEX(N:N,(ROW(S191)+1)/2),INDEX(P:P,ROW(S191)/2)),"")</f>
        <v>-163.95</v>
      </c>
      <c r="T191" s="21">
        <f t="array" ref="T191">IF(ROW(T191)&lt;=COUNTA(O:O)*2,IF(MOD(ROW(T191),2)=1,INDEX(O:O,(ROW(T191)+1)/2),INDEX(Q:Q,ROW(T191)/2)),"")</f>
        <v>121.6</v>
      </c>
      <c r="V191" s="22">
        <f t="shared" si="35"/>
        <v>-423.3</v>
      </c>
      <c r="W191" s="22">
        <f t="shared" si="26"/>
        <v>122.65615</v>
      </c>
      <c r="X191" s="22">
        <f t="shared" si="27"/>
        <v>-426.3</v>
      </c>
      <c r="Y191" s="22">
        <f t="shared" si="28"/>
        <v>122.65615</v>
      </c>
      <c r="Z191" s="22"/>
      <c r="AA191" s="22">
        <f t="array" ref="AA191">IF(ROW(AA191)&lt;=COUNTA(V:V)*2,IF(MOD(ROW(AA191),2)=1,INDEX(V:V,(ROW(AA191)+1)/2),INDEX(X:X,ROW(AA191)/2)),"")</f>
        <v>-163.95</v>
      </c>
      <c r="AB191" s="22">
        <f t="array" ref="AB191">IF(ROW(AB191)&lt;=COUNTA(W:W)*2,IF(MOD(ROW(AB191),2)=1,INDEX(W:W,(ROW(AB191)+1)/2),INDEX(Y:Y,ROW(AB191)/2)),"")</f>
        <v>125.130175</v>
      </c>
    </row>
    <row r="192" spans="1:28" s="2" customFormat="1" x14ac:dyDescent="0.25">
      <c r="A192" s="19"/>
      <c r="B192" s="20"/>
      <c r="C192" s="21"/>
      <c r="D192" s="22"/>
      <c r="F192" s="34">
        <f t="shared" si="29"/>
        <v>-426.3</v>
      </c>
      <c r="G192" s="34">
        <f t="shared" si="30"/>
        <v>112.4</v>
      </c>
      <c r="H192" s="34">
        <f t="shared" si="24"/>
        <v>-429.3</v>
      </c>
      <c r="I192" s="34">
        <f t="shared" si="31"/>
        <v>112.4</v>
      </c>
      <c r="J192" s="20"/>
      <c r="K192" s="34">
        <f t="array" ref="K192">IF(ROW(K192)&lt;=COUNTA(F:F)*2,IF(MOD(ROW(K192),2)=1,INDEX(F:F,(ROW(K192)+1)/2),INDEX(H:H,ROW(K192)/2)),"")</f>
        <v>-166.95</v>
      </c>
      <c r="L192" s="34">
        <f t="array" ref="L192">IF(ROW(L192)&lt;=COUNTA(G:G)*2,IF(MOD(ROW(L192),2)=1,INDEX(G:G,(ROW(L192)+1)/2),INDEX(I:I,ROW(L192)/2)),"")</f>
        <v>112.2</v>
      </c>
      <c r="N192" s="21">
        <f t="shared" si="32"/>
        <v>-426.3</v>
      </c>
      <c r="O192" s="21">
        <f t="shared" si="33"/>
        <v>119</v>
      </c>
      <c r="P192" s="21">
        <f t="shared" si="25"/>
        <v>-429.3</v>
      </c>
      <c r="Q192" s="21">
        <f t="shared" si="34"/>
        <v>119</v>
      </c>
      <c r="R192" s="21"/>
      <c r="S192" s="21">
        <f t="array" ref="S192">IF(ROW(S192)&lt;=COUNTA(N:N)*2,IF(MOD(ROW(S192),2)=1,INDEX(N:N,(ROW(S192)+1)/2),INDEX(P:P,ROW(S192)/2)),"")</f>
        <v>-166.95</v>
      </c>
      <c r="T192" s="21">
        <f t="array" ref="T192">IF(ROW(T192)&lt;=COUNTA(O:O)*2,IF(MOD(ROW(T192),2)=1,INDEX(O:O,(ROW(T192)+1)/2),INDEX(Q:Q,ROW(T192)/2)),"")</f>
        <v>121.6</v>
      </c>
      <c r="V192" s="22">
        <f t="shared" si="35"/>
        <v>-426.3</v>
      </c>
      <c r="W192" s="22">
        <f t="shared" si="26"/>
        <v>122.655975</v>
      </c>
      <c r="X192" s="22">
        <f t="shared" si="27"/>
        <v>-429.3</v>
      </c>
      <c r="Y192" s="22">
        <f t="shared" si="28"/>
        <v>122.655975</v>
      </c>
      <c r="Z192" s="22"/>
      <c r="AA192" s="22">
        <f t="array" ref="AA192">IF(ROW(AA192)&lt;=COUNTA(V:V)*2,IF(MOD(ROW(AA192),2)=1,INDEX(V:V,(ROW(AA192)+1)/2),INDEX(X:X,ROW(AA192)/2)),"")</f>
        <v>-166.95</v>
      </c>
      <c r="AB192" s="22">
        <f t="array" ref="AB192">IF(ROW(AB192)&lt;=COUNTA(W:W)*2,IF(MOD(ROW(AB192),2)=1,INDEX(W:W,(ROW(AB192)+1)/2),INDEX(Y:Y,ROW(AB192)/2)),"")</f>
        <v>125.130175</v>
      </c>
    </row>
    <row r="193" spans="1:28" s="2" customFormat="1" x14ac:dyDescent="0.25">
      <c r="A193" s="19"/>
      <c r="B193" s="20"/>
      <c r="C193" s="21"/>
      <c r="D193" s="22"/>
      <c r="F193" s="34">
        <f t="shared" si="29"/>
        <v>-429.3</v>
      </c>
      <c r="G193" s="34">
        <f t="shared" si="30"/>
        <v>112.4</v>
      </c>
      <c r="H193" s="34">
        <f t="shared" si="24"/>
        <v>-432.3</v>
      </c>
      <c r="I193" s="34">
        <f t="shared" si="31"/>
        <v>112.4</v>
      </c>
      <c r="J193" s="20"/>
      <c r="K193" s="34">
        <f t="array" ref="K193">IF(ROW(K193)&lt;=COUNTA(F:F)*2,IF(MOD(ROW(K193),2)=1,INDEX(F:F,(ROW(K193)+1)/2),INDEX(H:H,ROW(K193)/2)),"")</f>
        <v>-166.95</v>
      </c>
      <c r="L193" s="34">
        <f t="array" ref="L193">IF(ROW(L193)&lt;=COUNTA(G:G)*2,IF(MOD(ROW(L193),2)=1,INDEX(G:G,(ROW(L193)+1)/2),INDEX(I:I,ROW(L193)/2)),"")</f>
        <v>112.4</v>
      </c>
      <c r="N193" s="21">
        <f t="shared" si="32"/>
        <v>-429.3</v>
      </c>
      <c r="O193" s="21">
        <f t="shared" si="33"/>
        <v>118</v>
      </c>
      <c r="P193" s="21">
        <f t="shared" si="25"/>
        <v>-432.3</v>
      </c>
      <c r="Q193" s="21">
        <f t="shared" si="34"/>
        <v>118</v>
      </c>
      <c r="R193" s="21"/>
      <c r="S193" s="21">
        <f t="array" ref="S193">IF(ROW(S193)&lt;=COUNTA(N:N)*2,IF(MOD(ROW(S193),2)=1,INDEX(N:N,(ROW(S193)+1)/2),INDEX(P:P,ROW(S193)/2)),"")</f>
        <v>-166.95</v>
      </c>
      <c r="T193" s="21">
        <f t="array" ref="T193">IF(ROW(T193)&lt;=COUNTA(O:O)*2,IF(MOD(ROW(T193),2)=1,INDEX(O:O,(ROW(T193)+1)/2),INDEX(Q:Q,ROW(T193)/2)),"")</f>
        <v>122</v>
      </c>
      <c r="V193" s="22">
        <f t="shared" si="35"/>
        <v>-429.3</v>
      </c>
      <c r="W193" s="22">
        <f t="shared" si="26"/>
        <v>122.6538</v>
      </c>
      <c r="X193" s="22">
        <f t="shared" si="27"/>
        <v>-432.3</v>
      </c>
      <c r="Y193" s="22">
        <f t="shared" si="28"/>
        <v>122.6538</v>
      </c>
      <c r="Z193" s="22"/>
      <c r="AA193" s="22">
        <f t="array" ref="AA193">IF(ROW(AA193)&lt;=COUNTA(V:V)*2,IF(MOD(ROW(AA193),2)=1,INDEX(V:V,(ROW(AA193)+1)/2),INDEX(X:X,ROW(AA193)/2)),"")</f>
        <v>-166.95</v>
      </c>
      <c r="AB193" s="22">
        <f t="array" ref="AB193">IF(ROW(AB193)&lt;=COUNTA(W:W)*2,IF(MOD(ROW(AB193),2)=1,INDEX(W:W,(ROW(AB193)+1)/2),INDEX(Y:Y,ROW(AB193)/2)),"")</f>
        <v>125.130175</v>
      </c>
    </row>
    <row r="194" spans="1:28" s="2" customFormat="1" x14ac:dyDescent="0.25">
      <c r="A194" s="19"/>
      <c r="B194" s="20"/>
      <c r="C194" s="21"/>
      <c r="D194" s="22"/>
      <c r="F194" s="34">
        <f t="shared" si="29"/>
        <v>-432.3</v>
      </c>
      <c r="G194" s="34">
        <f t="shared" si="30"/>
        <v>112.4</v>
      </c>
      <c r="H194" s="34">
        <f t="shared" si="24"/>
        <v>-434.3</v>
      </c>
      <c r="I194" s="34">
        <f t="shared" si="31"/>
        <v>112.4</v>
      </c>
      <c r="J194" s="20"/>
      <c r="K194" s="34">
        <f t="array" ref="K194">IF(ROW(K194)&lt;=COUNTA(F:F)*2,IF(MOD(ROW(K194),2)=1,INDEX(F:F,(ROW(K194)+1)/2),INDEX(H:H,ROW(K194)/2)),"")</f>
        <v>-169.95</v>
      </c>
      <c r="L194" s="34">
        <f t="array" ref="L194">IF(ROW(L194)&lt;=COUNTA(G:G)*2,IF(MOD(ROW(L194),2)=1,INDEX(G:G,(ROW(L194)+1)/2),INDEX(I:I,ROW(L194)/2)),"")</f>
        <v>112.4</v>
      </c>
      <c r="N194" s="21">
        <f t="shared" si="32"/>
        <v>-432.3</v>
      </c>
      <c r="O194" s="21">
        <f t="shared" si="33"/>
        <v>116.9</v>
      </c>
      <c r="P194" s="21">
        <f t="shared" si="25"/>
        <v>-434.3</v>
      </c>
      <c r="Q194" s="21">
        <f t="shared" si="34"/>
        <v>116.9</v>
      </c>
      <c r="R194" s="21"/>
      <c r="S194" s="21">
        <f t="array" ref="S194">IF(ROW(S194)&lt;=COUNTA(N:N)*2,IF(MOD(ROW(S194),2)=1,INDEX(N:N,(ROW(S194)+1)/2),INDEX(P:P,ROW(S194)/2)),"")</f>
        <v>-169.95</v>
      </c>
      <c r="T194" s="21">
        <f t="array" ref="T194">IF(ROW(T194)&lt;=COUNTA(O:O)*2,IF(MOD(ROW(T194),2)=1,INDEX(O:O,(ROW(T194)+1)/2),INDEX(Q:Q,ROW(T194)/2)),"")</f>
        <v>122</v>
      </c>
      <c r="V194" s="22">
        <f t="shared" si="35"/>
        <v>-432.3</v>
      </c>
      <c r="W194" s="22">
        <f t="shared" si="26"/>
        <v>122.6538</v>
      </c>
      <c r="X194" s="22">
        <f t="shared" si="27"/>
        <v>-434.3</v>
      </c>
      <c r="Y194" s="22">
        <f t="shared" si="28"/>
        <v>122.6538</v>
      </c>
      <c r="Z194" s="22"/>
      <c r="AA194" s="22">
        <f t="array" ref="AA194">IF(ROW(AA194)&lt;=COUNTA(V:V)*2,IF(MOD(ROW(AA194),2)=1,INDEX(V:V,(ROW(AA194)+1)/2),INDEX(X:X,ROW(AA194)/2)),"")</f>
        <v>-169.95</v>
      </c>
      <c r="AB194" s="22">
        <f t="array" ref="AB194">IF(ROW(AB194)&lt;=COUNTA(W:W)*2,IF(MOD(ROW(AB194),2)=1,INDEX(W:W,(ROW(AB194)+1)/2),INDEX(Y:Y,ROW(AB194)/2)),"")</f>
        <v>125.130175</v>
      </c>
    </row>
    <row r="195" spans="1:28" s="2" customFormat="1" x14ac:dyDescent="0.25">
      <c r="A195" s="19"/>
      <c r="B195" s="20"/>
      <c r="C195" s="21"/>
      <c r="D195" s="22"/>
      <c r="F195" s="34">
        <f t="shared" si="29"/>
        <v>-434.3</v>
      </c>
      <c r="G195" s="34">
        <f t="shared" si="30"/>
        <v>112.4</v>
      </c>
      <c r="H195" s="34">
        <f t="shared" ref="H195:H258" si="36">0-A195</f>
        <v>-436.8</v>
      </c>
      <c r="I195" s="34">
        <f t="shared" si="31"/>
        <v>112.4</v>
      </c>
      <c r="J195" s="20"/>
      <c r="K195" s="34">
        <f t="array" ref="K195">IF(ROW(K195)&lt;=COUNTA(F:F)*2,IF(MOD(ROW(K195),2)=1,INDEX(F:F,(ROW(K195)+1)/2),INDEX(H:H,ROW(K195)/2)),"")</f>
        <v>-169.95</v>
      </c>
      <c r="L195" s="34">
        <f t="array" ref="L195">IF(ROW(L195)&lt;=COUNTA(G:G)*2,IF(MOD(ROW(L195),2)=1,INDEX(G:G,(ROW(L195)+1)/2),INDEX(I:I,ROW(L195)/2)),"")</f>
        <v>112.5</v>
      </c>
      <c r="N195" s="21">
        <f t="shared" si="32"/>
        <v>-434.3</v>
      </c>
      <c r="O195" s="21">
        <f t="shared" si="33"/>
        <v>115.2</v>
      </c>
      <c r="P195" s="21">
        <f t="shared" ref="P195:P258" si="37">0-A195</f>
        <v>-436.8</v>
      </c>
      <c r="Q195" s="21">
        <f t="shared" si="34"/>
        <v>115.2</v>
      </c>
      <c r="R195" s="21"/>
      <c r="S195" s="21">
        <f t="array" ref="S195">IF(ROW(S195)&lt;=COUNTA(N:N)*2,IF(MOD(ROW(S195),2)=1,INDEX(N:N,(ROW(S195)+1)/2),INDEX(P:P,ROW(S195)/2)),"")</f>
        <v>-169.95</v>
      </c>
      <c r="T195" s="21">
        <f t="array" ref="T195">IF(ROW(T195)&lt;=COUNTA(O:O)*2,IF(MOD(ROW(T195),2)=1,INDEX(O:O,(ROW(T195)+1)/2),INDEX(Q:Q,ROW(T195)/2)),"")</f>
        <v>122</v>
      </c>
      <c r="V195" s="22">
        <f t="shared" si="35"/>
        <v>-434.3</v>
      </c>
      <c r="W195" s="22">
        <f t="shared" ref="W195:W258" si="38">(49+(D195)*4/4)*2.5</f>
        <v>122.6538</v>
      </c>
      <c r="X195" s="22">
        <f t="shared" ref="X195:X258" si="39">0-A195</f>
        <v>-436.8</v>
      </c>
      <c r="Y195" s="22">
        <f t="shared" ref="Y195:Y258" si="40">(49+(D195)*4/4)*2.5</f>
        <v>122.6538</v>
      </c>
      <c r="Z195" s="22"/>
      <c r="AA195" s="22">
        <f t="array" ref="AA195">IF(ROW(AA195)&lt;=COUNTA(V:V)*2,IF(MOD(ROW(AA195),2)=1,INDEX(V:V,(ROW(AA195)+1)/2),INDEX(X:X,ROW(AA195)/2)),"")</f>
        <v>-169.95</v>
      </c>
      <c r="AB195" s="22">
        <f t="array" ref="AB195">IF(ROW(AB195)&lt;=COUNTA(W:W)*2,IF(MOD(ROW(AB195),2)=1,INDEX(W:W,(ROW(AB195)+1)/2),INDEX(Y:Y,ROW(AB195)/2)),"")</f>
        <v>125.10325</v>
      </c>
    </row>
    <row r="196" spans="1:28" s="2" customFormat="1" x14ac:dyDescent="0.25">
      <c r="A196" s="19"/>
      <c r="B196" s="20"/>
      <c r="C196" s="21"/>
      <c r="D196" s="22"/>
      <c r="F196" s="34">
        <f t="shared" ref="F196:F259" si="41">0-A195</f>
        <v>-436.8</v>
      </c>
      <c r="G196" s="34">
        <f t="shared" ref="G196:G259" si="42">(41+(B196/100)*4)*2.5</f>
        <v>112.4</v>
      </c>
      <c r="H196" s="34">
        <f t="shared" si="36"/>
        <v>-438.3</v>
      </c>
      <c r="I196" s="34">
        <f t="shared" ref="I196:I259" si="43">(41+(B196/100)*4)*2.5</f>
        <v>112.4</v>
      </c>
      <c r="J196" s="20"/>
      <c r="K196" s="34">
        <f t="array" ref="K196">IF(ROW(K196)&lt;=COUNTA(F:F)*2,IF(MOD(ROW(K196),2)=1,INDEX(F:F,(ROW(K196)+1)/2),INDEX(H:H,ROW(K196)/2)),"")</f>
        <v>-172.95</v>
      </c>
      <c r="L196" s="34">
        <f t="array" ref="L196">IF(ROW(L196)&lt;=COUNTA(G:G)*2,IF(MOD(ROW(L196),2)=1,INDEX(G:G,(ROW(L196)+1)/2),INDEX(I:I,ROW(L196)/2)),"")</f>
        <v>112.5</v>
      </c>
      <c r="N196" s="21">
        <f t="shared" ref="N196:N259" si="44">0-A195</f>
        <v>-436.8</v>
      </c>
      <c r="O196" s="21">
        <f t="shared" ref="O196:O259" si="45">(45+(C196/100)*4)*2.5</f>
        <v>114.9</v>
      </c>
      <c r="P196" s="21">
        <f t="shared" si="37"/>
        <v>-438.3</v>
      </c>
      <c r="Q196" s="21">
        <f t="shared" ref="Q196:Q259" si="46">(45+(C196/100)*4)*2.5</f>
        <v>114.9</v>
      </c>
      <c r="R196" s="21"/>
      <c r="S196" s="21">
        <f t="array" ref="S196">IF(ROW(S196)&lt;=COUNTA(N:N)*2,IF(MOD(ROW(S196),2)=1,INDEX(N:N,(ROW(S196)+1)/2),INDEX(P:P,ROW(S196)/2)),"")</f>
        <v>-172.95</v>
      </c>
      <c r="T196" s="21">
        <f t="array" ref="T196">IF(ROW(T196)&lt;=COUNTA(O:O)*2,IF(MOD(ROW(T196),2)=1,INDEX(O:O,(ROW(T196)+1)/2),INDEX(Q:Q,ROW(T196)/2)),"")</f>
        <v>122</v>
      </c>
      <c r="V196" s="22">
        <f t="shared" ref="V196:V259" si="47">0-A195</f>
        <v>-436.8</v>
      </c>
      <c r="W196" s="22">
        <f t="shared" si="38"/>
        <v>122.6538</v>
      </c>
      <c r="X196" s="22">
        <f t="shared" si="39"/>
        <v>-438.3</v>
      </c>
      <c r="Y196" s="22">
        <f t="shared" si="40"/>
        <v>122.6538</v>
      </c>
      <c r="Z196" s="22"/>
      <c r="AA196" s="22">
        <f t="array" ref="AA196">IF(ROW(AA196)&lt;=COUNTA(V:V)*2,IF(MOD(ROW(AA196),2)=1,INDEX(V:V,(ROW(AA196)+1)/2),INDEX(X:X,ROW(AA196)/2)),"")</f>
        <v>-172.95</v>
      </c>
      <c r="AB196" s="22">
        <f t="array" ref="AB196">IF(ROW(AB196)&lt;=COUNTA(W:W)*2,IF(MOD(ROW(AB196),2)=1,INDEX(W:W,(ROW(AB196)+1)/2),INDEX(Y:Y,ROW(AB196)/2)),"")</f>
        <v>125.10325</v>
      </c>
    </row>
    <row r="197" spans="1:28" s="2" customFormat="1" x14ac:dyDescent="0.25">
      <c r="A197" s="19"/>
      <c r="B197" s="20"/>
      <c r="C197" s="21"/>
      <c r="D197" s="22"/>
      <c r="F197" s="34">
        <f t="shared" si="41"/>
        <v>-438.3</v>
      </c>
      <c r="G197" s="34">
        <f t="shared" si="42"/>
        <v>112.5</v>
      </c>
      <c r="H197" s="34">
        <f t="shared" si="36"/>
        <v>-440.7</v>
      </c>
      <c r="I197" s="34">
        <f t="shared" si="43"/>
        <v>112.5</v>
      </c>
      <c r="J197" s="20"/>
      <c r="K197" s="34">
        <f t="array" ref="K197">IF(ROW(K197)&lt;=COUNTA(F:F)*2,IF(MOD(ROW(K197),2)=1,INDEX(F:F,(ROW(K197)+1)/2),INDEX(H:H,ROW(K197)/2)),"")</f>
        <v>-172.95</v>
      </c>
      <c r="L197" s="34">
        <f t="array" ref="L197">IF(ROW(L197)&lt;=COUNTA(G:G)*2,IF(MOD(ROW(L197),2)=1,INDEX(G:G,(ROW(L197)+1)/2),INDEX(I:I,ROW(L197)/2)),"")</f>
        <v>112.5</v>
      </c>
      <c r="N197" s="21">
        <f t="shared" si="44"/>
        <v>-438.3</v>
      </c>
      <c r="O197" s="21">
        <f t="shared" si="45"/>
        <v>115.3</v>
      </c>
      <c r="P197" s="21">
        <f t="shared" si="37"/>
        <v>-440.7</v>
      </c>
      <c r="Q197" s="21">
        <f t="shared" si="46"/>
        <v>115.3</v>
      </c>
      <c r="R197" s="21"/>
      <c r="S197" s="21">
        <f t="array" ref="S197">IF(ROW(S197)&lt;=COUNTA(N:N)*2,IF(MOD(ROW(S197),2)=1,INDEX(N:N,(ROW(S197)+1)/2),INDEX(P:P,ROW(S197)/2)),"")</f>
        <v>-172.95</v>
      </c>
      <c r="T197" s="21">
        <f t="array" ref="T197">IF(ROW(T197)&lt;=COUNTA(O:O)*2,IF(MOD(ROW(T197),2)=1,INDEX(O:O,(ROW(T197)+1)/2),INDEX(Q:Q,ROW(T197)/2)),"")</f>
        <v>120.5</v>
      </c>
      <c r="V197" s="22">
        <f t="shared" si="47"/>
        <v>-438.3</v>
      </c>
      <c r="W197" s="22">
        <f t="shared" si="38"/>
        <v>122.652175</v>
      </c>
      <c r="X197" s="22">
        <f t="shared" si="39"/>
        <v>-440.7</v>
      </c>
      <c r="Y197" s="22">
        <f t="shared" si="40"/>
        <v>122.652175</v>
      </c>
      <c r="Z197" s="22"/>
      <c r="AA197" s="22">
        <f t="array" ref="AA197">IF(ROW(AA197)&lt;=COUNTA(V:V)*2,IF(MOD(ROW(AA197),2)=1,INDEX(V:V,(ROW(AA197)+1)/2),INDEX(X:X,ROW(AA197)/2)),"")</f>
        <v>-172.95</v>
      </c>
      <c r="AB197" s="22">
        <f t="array" ref="AB197">IF(ROW(AB197)&lt;=COUNTA(W:W)*2,IF(MOD(ROW(AB197),2)=1,INDEX(W:W,(ROW(AB197)+1)/2),INDEX(Y:Y,ROW(AB197)/2)),"")</f>
        <v>125.225825</v>
      </c>
    </row>
    <row r="198" spans="1:28" s="2" customFormat="1" x14ac:dyDescent="0.25">
      <c r="A198" s="19"/>
      <c r="B198" s="20"/>
      <c r="C198" s="21"/>
      <c r="D198" s="22"/>
      <c r="F198" s="34">
        <f t="shared" si="41"/>
        <v>-440.7</v>
      </c>
      <c r="G198" s="34">
        <f t="shared" si="42"/>
        <v>112.5</v>
      </c>
      <c r="H198" s="34">
        <f t="shared" si="36"/>
        <v>-442.8</v>
      </c>
      <c r="I198" s="34">
        <f t="shared" si="43"/>
        <v>112.5</v>
      </c>
      <c r="J198" s="20"/>
      <c r="K198" s="34">
        <f t="array" ref="K198">IF(ROW(K198)&lt;=COUNTA(F:F)*2,IF(MOD(ROW(K198),2)=1,INDEX(F:F,(ROW(K198)+1)/2),INDEX(H:H,ROW(K198)/2)),"")</f>
        <v>-175.95</v>
      </c>
      <c r="L198" s="34">
        <f t="array" ref="L198">IF(ROW(L198)&lt;=COUNTA(G:G)*2,IF(MOD(ROW(L198),2)=1,INDEX(G:G,(ROW(L198)+1)/2),INDEX(I:I,ROW(L198)/2)),"")</f>
        <v>112.5</v>
      </c>
      <c r="N198" s="21">
        <f t="shared" si="44"/>
        <v>-440.7</v>
      </c>
      <c r="O198" s="21">
        <f t="shared" si="45"/>
        <v>116</v>
      </c>
      <c r="P198" s="21">
        <f t="shared" si="37"/>
        <v>-442.8</v>
      </c>
      <c r="Q198" s="21">
        <f t="shared" si="46"/>
        <v>116</v>
      </c>
      <c r="R198" s="21"/>
      <c r="S198" s="21">
        <f t="array" ref="S198">IF(ROW(S198)&lt;=COUNTA(N:N)*2,IF(MOD(ROW(S198),2)=1,INDEX(N:N,(ROW(S198)+1)/2),INDEX(P:P,ROW(S198)/2)),"")</f>
        <v>-175.95</v>
      </c>
      <c r="T198" s="21">
        <f t="array" ref="T198">IF(ROW(T198)&lt;=COUNTA(O:O)*2,IF(MOD(ROW(T198),2)=1,INDEX(O:O,(ROW(T198)+1)/2),INDEX(Q:Q,ROW(T198)/2)),"")</f>
        <v>120.5</v>
      </c>
      <c r="V198" s="22">
        <f t="shared" si="47"/>
        <v>-440.7</v>
      </c>
      <c r="W198" s="22">
        <f t="shared" si="38"/>
        <v>122.652175</v>
      </c>
      <c r="X198" s="22">
        <f t="shared" si="39"/>
        <v>-442.8</v>
      </c>
      <c r="Y198" s="22">
        <f t="shared" si="40"/>
        <v>122.652175</v>
      </c>
      <c r="Z198" s="22"/>
      <c r="AA198" s="22">
        <f t="array" ref="AA198">IF(ROW(AA198)&lt;=COUNTA(V:V)*2,IF(MOD(ROW(AA198),2)=1,INDEX(V:V,(ROW(AA198)+1)/2),INDEX(X:X,ROW(AA198)/2)),"")</f>
        <v>-175.95</v>
      </c>
      <c r="AB198" s="22">
        <f t="array" ref="AB198">IF(ROW(AB198)&lt;=COUNTA(W:W)*2,IF(MOD(ROW(AB198),2)=1,INDEX(W:W,(ROW(AB198)+1)/2),INDEX(Y:Y,ROW(AB198)/2)),"")</f>
        <v>125.225825</v>
      </c>
    </row>
    <row r="199" spans="1:28" s="2" customFormat="1" x14ac:dyDescent="0.25">
      <c r="A199" s="19"/>
      <c r="B199" s="20"/>
      <c r="C199" s="21"/>
      <c r="D199" s="22"/>
      <c r="F199" s="34">
        <f t="shared" si="41"/>
        <v>-442.8</v>
      </c>
      <c r="G199" s="34">
        <f t="shared" si="42"/>
        <v>112.4</v>
      </c>
      <c r="H199" s="34">
        <f t="shared" si="36"/>
        <v>-444.3</v>
      </c>
      <c r="I199" s="34">
        <f t="shared" si="43"/>
        <v>112.4</v>
      </c>
      <c r="J199" s="20"/>
      <c r="K199" s="34">
        <f t="array" ref="K199">IF(ROW(K199)&lt;=COUNTA(F:F)*2,IF(MOD(ROW(K199),2)=1,INDEX(F:F,(ROW(K199)+1)/2),INDEX(H:H,ROW(K199)/2)),"")</f>
        <v>-175.95</v>
      </c>
      <c r="L199" s="34">
        <f t="array" ref="L199">IF(ROW(L199)&lt;=COUNTA(G:G)*2,IF(MOD(ROW(L199),2)=1,INDEX(G:G,(ROW(L199)+1)/2),INDEX(I:I,ROW(L199)/2)),"")</f>
        <v>112.3</v>
      </c>
      <c r="N199" s="21">
        <f t="shared" si="44"/>
        <v>-442.8</v>
      </c>
      <c r="O199" s="21">
        <f t="shared" si="45"/>
        <v>116.2</v>
      </c>
      <c r="P199" s="21">
        <f t="shared" si="37"/>
        <v>-444.3</v>
      </c>
      <c r="Q199" s="21">
        <f t="shared" si="46"/>
        <v>116.2</v>
      </c>
      <c r="R199" s="21"/>
      <c r="S199" s="21">
        <f t="array" ref="S199">IF(ROW(S199)&lt;=COUNTA(N:N)*2,IF(MOD(ROW(S199),2)=1,INDEX(N:N,(ROW(S199)+1)/2),INDEX(P:P,ROW(S199)/2)),"")</f>
        <v>-175.95</v>
      </c>
      <c r="T199" s="21">
        <f t="array" ref="T199">IF(ROW(T199)&lt;=COUNTA(O:O)*2,IF(MOD(ROW(T199),2)=1,INDEX(O:O,(ROW(T199)+1)/2),INDEX(Q:Q,ROW(T199)/2)),"")</f>
        <v>119.9</v>
      </c>
      <c r="V199" s="22">
        <f t="shared" si="47"/>
        <v>-442.8</v>
      </c>
      <c r="W199" s="22">
        <f t="shared" si="38"/>
        <v>122.655975</v>
      </c>
      <c r="X199" s="22">
        <f t="shared" si="39"/>
        <v>-444.3</v>
      </c>
      <c r="Y199" s="22">
        <f t="shared" si="40"/>
        <v>122.655975</v>
      </c>
      <c r="Z199" s="22"/>
      <c r="AA199" s="22">
        <f t="array" ref="AA199">IF(ROW(AA199)&lt;=COUNTA(V:V)*2,IF(MOD(ROW(AA199),2)=1,INDEX(V:V,(ROW(AA199)+1)/2),INDEX(X:X,ROW(AA199)/2)),"")</f>
        <v>-175.95</v>
      </c>
      <c r="AB199" s="22">
        <f t="array" ref="AB199">IF(ROW(AB199)&lt;=COUNTA(W:W)*2,IF(MOD(ROW(AB199),2)=1,INDEX(W:W,(ROW(AB199)+1)/2),INDEX(Y:Y,ROW(AB199)/2)),"")</f>
        <v>125.149475</v>
      </c>
    </row>
    <row r="200" spans="1:28" s="2" customFormat="1" x14ac:dyDescent="0.25">
      <c r="A200" s="19"/>
      <c r="B200" s="20"/>
      <c r="C200" s="21"/>
      <c r="D200" s="22"/>
      <c r="F200" s="34">
        <f t="shared" si="41"/>
        <v>-444.3</v>
      </c>
      <c r="G200" s="34">
        <f t="shared" si="42"/>
        <v>112.4</v>
      </c>
      <c r="H200" s="34">
        <f t="shared" si="36"/>
        <v>-447.3</v>
      </c>
      <c r="I200" s="34">
        <f t="shared" si="43"/>
        <v>112.4</v>
      </c>
      <c r="J200" s="20"/>
      <c r="K200" s="34">
        <f t="array" ref="K200">IF(ROW(K200)&lt;=COUNTA(F:F)*2,IF(MOD(ROW(K200),2)=1,INDEX(F:F,(ROW(K200)+1)/2),INDEX(H:H,ROW(K200)/2)),"")</f>
        <v>-178.95</v>
      </c>
      <c r="L200" s="34">
        <f t="array" ref="L200">IF(ROW(L200)&lt;=COUNTA(G:G)*2,IF(MOD(ROW(L200),2)=1,INDEX(G:G,(ROW(L200)+1)/2),INDEX(I:I,ROW(L200)/2)),"")</f>
        <v>112.3</v>
      </c>
      <c r="N200" s="21">
        <f t="shared" si="44"/>
        <v>-444.3</v>
      </c>
      <c r="O200" s="21">
        <f t="shared" si="45"/>
        <v>116.6</v>
      </c>
      <c r="P200" s="21">
        <f t="shared" si="37"/>
        <v>-447.3</v>
      </c>
      <c r="Q200" s="21">
        <f t="shared" si="46"/>
        <v>116.6</v>
      </c>
      <c r="R200" s="21"/>
      <c r="S200" s="21">
        <f t="array" ref="S200">IF(ROW(S200)&lt;=COUNTA(N:N)*2,IF(MOD(ROW(S200),2)=1,INDEX(N:N,(ROW(S200)+1)/2),INDEX(P:P,ROW(S200)/2)),"")</f>
        <v>-178.95</v>
      </c>
      <c r="T200" s="21">
        <f t="array" ref="T200">IF(ROW(T200)&lt;=COUNTA(O:O)*2,IF(MOD(ROW(T200),2)=1,INDEX(O:O,(ROW(T200)+1)/2),INDEX(Q:Q,ROW(T200)/2)),"")</f>
        <v>119.9</v>
      </c>
      <c r="V200" s="22">
        <f t="shared" si="47"/>
        <v>-444.3</v>
      </c>
      <c r="W200" s="22">
        <f t="shared" si="38"/>
        <v>122.655975</v>
      </c>
      <c r="X200" s="22">
        <f t="shared" si="39"/>
        <v>-447.3</v>
      </c>
      <c r="Y200" s="22">
        <f t="shared" si="40"/>
        <v>122.655975</v>
      </c>
      <c r="Z200" s="22"/>
      <c r="AA200" s="22">
        <f t="array" ref="AA200">IF(ROW(AA200)&lt;=COUNTA(V:V)*2,IF(MOD(ROW(AA200),2)=1,INDEX(V:V,(ROW(AA200)+1)/2),INDEX(X:X,ROW(AA200)/2)),"")</f>
        <v>-178.95</v>
      </c>
      <c r="AB200" s="22">
        <f t="array" ref="AB200">IF(ROW(AB200)&lt;=COUNTA(W:W)*2,IF(MOD(ROW(AB200),2)=1,INDEX(W:W,(ROW(AB200)+1)/2),INDEX(Y:Y,ROW(AB200)/2)),"")</f>
        <v>125.149475</v>
      </c>
    </row>
    <row r="201" spans="1:28" s="2" customFormat="1" x14ac:dyDescent="0.25">
      <c r="A201" s="19"/>
      <c r="B201" s="20"/>
      <c r="C201" s="21"/>
      <c r="D201" s="22"/>
      <c r="F201" s="34">
        <f t="shared" si="41"/>
        <v>-447.3</v>
      </c>
      <c r="G201" s="34">
        <f t="shared" si="42"/>
        <v>112.4</v>
      </c>
      <c r="H201" s="34">
        <f t="shared" si="36"/>
        <v>-450.3</v>
      </c>
      <c r="I201" s="34">
        <f t="shared" si="43"/>
        <v>112.4</v>
      </c>
      <c r="J201" s="20"/>
      <c r="K201" s="34">
        <f t="array" ref="K201">IF(ROW(K201)&lt;=COUNTA(F:F)*2,IF(MOD(ROW(K201),2)=1,INDEX(F:F,(ROW(K201)+1)/2),INDEX(H:H,ROW(K201)/2)),"")</f>
        <v>-178.95</v>
      </c>
      <c r="L201" s="34">
        <f t="array" ref="L201">IF(ROW(L201)&lt;=COUNTA(G:G)*2,IF(MOD(ROW(L201),2)=1,INDEX(G:G,(ROW(L201)+1)/2),INDEX(I:I,ROW(L201)/2)),"")</f>
        <v>112.5</v>
      </c>
      <c r="N201" s="21">
        <f t="shared" si="44"/>
        <v>-447.3</v>
      </c>
      <c r="O201" s="21">
        <f t="shared" si="45"/>
        <v>117.4</v>
      </c>
      <c r="P201" s="21">
        <f t="shared" si="37"/>
        <v>-450.3</v>
      </c>
      <c r="Q201" s="21">
        <f t="shared" si="46"/>
        <v>117.4</v>
      </c>
      <c r="R201" s="21"/>
      <c r="S201" s="21">
        <f t="array" ref="S201">IF(ROW(S201)&lt;=COUNTA(N:N)*2,IF(MOD(ROW(S201),2)=1,INDEX(N:N,(ROW(S201)+1)/2),INDEX(P:P,ROW(S201)/2)),"")</f>
        <v>-178.95</v>
      </c>
      <c r="T201" s="21">
        <f t="array" ref="T201">IF(ROW(T201)&lt;=COUNTA(O:O)*2,IF(MOD(ROW(T201),2)=1,INDEX(O:O,(ROW(T201)+1)/2),INDEX(Q:Q,ROW(T201)/2)),"")</f>
        <v>121.4</v>
      </c>
      <c r="V201" s="22">
        <f t="shared" si="47"/>
        <v>-447.3</v>
      </c>
      <c r="W201" s="22">
        <f t="shared" si="38"/>
        <v>122.655975</v>
      </c>
      <c r="X201" s="22">
        <f t="shared" si="39"/>
        <v>-450.3</v>
      </c>
      <c r="Y201" s="22">
        <f t="shared" si="40"/>
        <v>122.655975</v>
      </c>
      <c r="Z201" s="22"/>
      <c r="AA201" s="22">
        <f t="array" ref="AA201">IF(ROW(AA201)&lt;=COUNTA(V:V)*2,IF(MOD(ROW(AA201),2)=1,INDEX(V:V,(ROW(AA201)+1)/2),INDEX(X:X,ROW(AA201)/2)),"")</f>
        <v>-178.95</v>
      </c>
      <c r="AB201" s="22">
        <f t="array" ref="AB201">IF(ROW(AB201)&lt;=COUNTA(W:W)*2,IF(MOD(ROW(AB201),2)=1,INDEX(W:W,(ROW(AB201)+1)/2),INDEX(Y:Y,ROW(AB201)/2)),"")</f>
        <v>125.149475</v>
      </c>
    </row>
    <row r="202" spans="1:28" s="2" customFormat="1" x14ac:dyDescent="0.25">
      <c r="A202" s="19"/>
      <c r="B202" s="20"/>
      <c r="C202" s="21"/>
      <c r="D202" s="22"/>
      <c r="F202" s="34">
        <f t="shared" si="41"/>
        <v>-450.3</v>
      </c>
      <c r="G202" s="34">
        <f t="shared" si="42"/>
        <v>112.5</v>
      </c>
      <c r="H202" s="34">
        <f t="shared" si="36"/>
        <v>-453.3</v>
      </c>
      <c r="I202" s="34">
        <f t="shared" si="43"/>
        <v>112.5</v>
      </c>
      <c r="J202" s="20"/>
      <c r="K202" s="34">
        <f t="array" ref="K202">IF(ROW(K202)&lt;=COUNTA(F:F)*2,IF(MOD(ROW(K202),2)=1,INDEX(F:F,(ROW(K202)+1)/2),INDEX(H:H,ROW(K202)/2)),"")</f>
        <v>-181.95</v>
      </c>
      <c r="L202" s="34">
        <f t="array" ref="L202">IF(ROW(L202)&lt;=COUNTA(G:G)*2,IF(MOD(ROW(L202),2)=1,INDEX(G:G,(ROW(L202)+1)/2),INDEX(I:I,ROW(L202)/2)),"")</f>
        <v>112.5</v>
      </c>
      <c r="N202" s="21">
        <f t="shared" si="44"/>
        <v>-450.3</v>
      </c>
      <c r="O202" s="21">
        <f t="shared" si="45"/>
        <v>115.8</v>
      </c>
      <c r="P202" s="21">
        <f t="shared" si="37"/>
        <v>-453.3</v>
      </c>
      <c r="Q202" s="21">
        <f t="shared" si="46"/>
        <v>115.8</v>
      </c>
      <c r="R202" s="21"/>
      <c r="S202" s="21">
        <f t="array" ref="S202">IF(ROW(S202)&lt;=COUNTA(N:N)*2,IF(MOD(ROW(S202),2)=1,INDEX(N:N,(ROW(S202)+1)/2),INDEX(P:P,ROW(S202)/2)),"")</f>
        <v>-181.95</v>
      </c>
      <c r="T202" s="21">
        <f t="array" ref="T202">IF(ROW(T202)&lt;=COUNTA(O:O)*2,IF(MOD(ROW(T202),2)=1,INDEX(O:O,(ROW(T202)+1)/2),INDEX(Q:Q,ROW(T202)/2)),"")</f>
        <v>121.4</v>
      </c>
      <c r="V202" s="22">
        <f t="shared" si="47"/>
        <v>-450.3</v>
      </c>
      <c r="W202" s="22">
        <f t="shared" si="38"/>
        <v>122.655975</v>
      </c>
      <c r="X202" s="22">
        <f t="shared" si="39"/>
        <v>-453.3</v>
      </c>
      <c r="Y202" s="22">
        <f t="shared" si="40"/>
        <v>122.655975</v>
      </c>
      <c r="Z202" s="22"/>
      <c r="AA202" s="22">
        <f t="array" ref="AA202">IF(ROW(AA202)&lt;=COUNTA(V:V)*2,IF(MOD(ROW(AA202),2)=1,INDEX(V:V,(ROW(AA202)+1)/2),INDEX(X:X,ROW(AA202)/2)),"")</f>
        <v>-181.95</v>
      </c>
      <c r="AB202" s="22">
        <f t="array" ref="AB202">IF(ROW(AB202)&lt;=COUNTA(W:W)*2,IF(MOD(ROW(AB202),2)=1,INDEX(W:W,(ROW(AB202)+1)/2),INDEX(Y:Y,ROW(AB202)/2)),"")</f>
        <v>125.149475</v>
      </c>
    </row>
    <row r="203" spans="1:28" s="2" customFormat="1" x14ac:dyDescent="0.25">
      <c r="A203" s="19"/>
      <c r="B203" s="20"/>
      <c r="C203" s="21"/>
      <c r="D203" s="22"/>
      <c r="F203" s="34">
        <f t="shared" si="41"/>
        <v>-453.3</v>
      </c>
      <c r="G203" s="34">
        <f t="shared" si="42"/>
        <v>112.5</v>
      </c>
      <c r="H203" s="34">
        <f t="shared" si="36"/>
        <v>-456</v>
      </c>
      <c r="I203" s="34">
        <f t="shared" si="43"/>
        <v>112.5</v>
      </c>
      <c r="J203" s="20"/>
      <c r="K203" s="34">
        <f t="array" ref="K203">IF(ROW(K203)&lt;=COUNTA(F:F)*2,IF(MOD(ROW(K203),2)=1,INDEX(F:F,(ROW(K203)+1)/2),INDEX(H:H,ROW(K203)/2)),"")</f>
        <v>-181.95</v>
      </c>
      <c r="L203" s="34">
        <f t="array" ref="L203">IF(ROW(L203)&lt;=COUNTA(G:G)*2,IF(MOD(ROW(L203),2)=1,INDEX(G:G,(ROW(L203)+1)/2),INDEX(I:I,ROW(L203)/2)),"")</f>
        <v>112.4</v>
      </c>
      <c r="N203" s="21">
        <f t="shared" si="44"/>
        <v>-453.3</v>
      </c>
      <c r="O203" s="21">
        <f t="shared" si="45"/>
        <v>114.4</v>
      </c>
      <c r="P203" s="21">
        <f t="shared" si="37"/>
        <v>-456</v>
      </c>
      <c r="Q203" s="21">
        <f t="shared" si="46"/>
        <v>114.4</v>
      </c>
      <c r="R203" s="21"/>
      <c r="S203" s="21">
        <f t="array" ref="S203">IF(ROW(S203)&lt;=COUNTA(N:N)*2,IF(MOD(ROW(S203),2)=1,INDEX(N:N,(ROW(S203)+1)/2),INDEX(P:P,ROW(S203)/2)),"")</f>
        <v>-181.95</v>
      </c>
      <c r="T203" s="21">
        <f t="array" ref="T203">IF(ROW(T203)&lt;=COUNTA(O:O)*2,IF(MOD(ROW(T203),2)=1,INDEX(O:O,(ROW(T203)+1)/2),INDEX(Q:Q,ROW(T203)/2)),"")</f>
        <v>121.4</v>
      </c>
      <c r="V203" s="22">
        <f t="shared" si="47"/>
        <v>-453.3</v>
      </c>
      <c r="W203" s="22">
        <f t="shared" si="38"/>
        <v>122.6564</v>
      </c>
      <c r="X203" s="22">
        <f t="shared" si="39"/>
        <v>-456</v>
      </c>
      <c r="Y203" s="22">
        <f t="shared" si="40"/>
        <v>122.6564</v>
      </c>
      <c r="Z203" s="22"/>
      <c r="AA203" s="22">
        <f t="array" ref="AA203">IF(ROW(AA203)&lt;=COUNTA(V:V)*2,IF(MOD(ROW(AA203),2)=1,INDEX(V:V,(ROW(AA203)+1)/2),INDEX(X:X,ROW(AA203)/2)),"")</f>
        <v>-181.95</v>
      </c>
      <c r="AB203" s="22">
        <f t="array" ref="AB203">IF(ROW(AB203)&lt;=COUNTA(W:W)*2,IF(MOD(ROW(AB203),2)=1,INDEX(W:W,(ROW(AB203)+1)/2),INDEX(Y:Y,ROW(AB203)/2)),"")</f>
        <v>125.134025</v>
      </c>
    </row>
    <row r="204" spans="1:28" s="2" customFormat="1" x14ac:dyDescent="0.25">
      <c r="A204" s="19"/>
      <c r="B204" s="20"/>
      <c r="C204" s="21"/>
      <c r="D204" s="22"/>
      <c r="F204" s="34">
        <f t="shared" si="41"/>
        <v>-456</v>
      </c>
      <c r="G204" s="34">
        <f t="shared" si="42"/>
        <v>112.4</v>
      </c>
      <c r="H204" s="34">
        <f t="shared" si="36"/>
        <v>-457.8</v>
      </c>
      <c r="I204" s="34">
        <f t="shared" si="43"/>
        <v>112.4</v>
      </c>
      <c r="J204" s="20"/>
      <c r="K204" s="34">
        <f t="array" ref="K204">IF(ROW(K204)&lt;=COUNTA(F:F)*2,IF(MOD(ROW(K204),2)=1,INDEX(F:F,(ROW(K204)+1)/2),INDEX(H:H,ROW(K204)/2)),"")</f>
        <v>-184.95</v>
      </c>
      <c r="L204" s="34">
        <f t="array" ref="L204">IF(ROW(L204)&lt;=COUNTA(G:G)*2,IF(MOD(ROW(L204),2)=1,INDEX(G:G,(ROW(L204)+1)/2),INDEX(I:I,ROW(L204)/2)),"")</f>
        <v>112.4</v>
      </c>
      <c r="N204" s="21">
        <f t="shared" si="44"/>
        <v>-456</v>
      </c>
      <c r="O204" s="21">
        <f t="shared" si="45"/>
        <v>119.3</v>
      </c>
      <c r="P204" s="21">
        <f t="shared" si="37"/>
        <v>-457.8</v>
      </c>
      <c r="Q204" s="21">
        <f t="shared" si="46"/>
        <v>119.3</v>
      </c>
      <c r="R204" s="21"/>
      <c r="S204" s="21">
        <f t="array" ref="S204">IF(ROW(S204)&lt;=COUNTA(N:N)*2,IF(MOD(ROW(S204),2)=1,INDEX(N:N,(ROW(S204)+1)/2),INDEX(P:P,ROW(S204)/2)),"")</f>
        <v>-184.95</v>
      </c>
      <c r="T204" s="21">
        <f t="array" ref="T204">IF(ROW(T204)&lt;=COUNTA(O:O)*2,IF(MOD(ROW(T204),2)=1,INDEX(O:O,(ROW(T204)+1)/2),INDEX(Q:Q,ROW(T204)/2)),"")</f>
        <v>121.4</v>
      </c>
      <c r="V204" s="22">
        <f t="shared" si="47"/>
        <v>-456</v>
      </c>
      <c r="W204" s="22">
        <f t="shared" si="38"/>
        <v>122.6582</v>
      </c>
      <c r="X204" s="22">
        <f t="shared" si="39"/>
        <v>-457.8</v>
      </c>
      <c r="Y204" s="22">
        <f t="shared" si="40"/>
        <v>122.6582</v>
      </c>
      <c r="Z204" s="22"/>
      <c r="AA204" s="22">
        <f t="array" ref="AA204">IF(ROW(AA204)&lt;=COUNTA(V:V)*2,IF(MOD(ROW(AA204),2)=1,INDEX(V:V,(ROW(AA204)+1)/2),INDEX(X:X,ROW(AA204)/2)),"")</f>
        <v>-184.95</v>
      </c>
      <c r="AB204" s="22">
        <f t="array" ref="AB204">IF(ROW(AB204)&lt;=COUNTA(W:W)*2,IF(MOD(ROW(AB204),2)=1,INDEX(W:W,(ROW(AB204)+1)/2),INDEX(Y:Y,ROW(AB204)/2)),"")</f>
        <v>125.134025</v>
      </c>
    </row>
    <row r="205" spans="1:28" s="2" customFormat="1" x14ac:dyDescent="0.25">
      <c r="A205" s="19"/>
      <c r="B205" s="20"/>
      <c r="C205" s="21"/>
      <c r="D205" s="22"/>
      <c r="F205" s="34">
        <f t="shared" si="41"/>
        <v>-457.8</v>
      </c>
      <c r="G205" s="34">
        <f t="shared" si="42"/>
        <v>112.4</v>
      </c>
      <c r="H205" s="34">
        <f t="shared" si="36"/>
        <v>-459.3</v>
      </c>
      <c r="I205" s="34">
        <f t="shared" si="43"/>
        <v>112.4</v>
      </c>
      <c r="J205" s="20"/>
      <c r="K205" s="34">
        <f t="array" ref="K205">IF(ROW(K205)&lt;=COUNTA(F:F)*2,IF(MOD(ROW(K205),2)=1,INDEX(F:F,(ROW(K205)+1)/2),INDEX(H:H,ROW(K205)/2)),"")</f>
        <v>-184.95</v>
      </c>
      <c r="L205" s="34">
        <f t="array" ref="L205">IF(ROW(L205)&lt;=COUNTA(G:G)*2,IF(MOD(ROW(L205),2)=1,INDEX(G:G,(ROW(L205)+1)/2),INDEX(I:I,ROW(L205)/2)),"")</f>
        <v>112.4</v>
      </c>
      <c r="N205" s="21">
        <f t="shared" si="44"/>
        <v>-457.8</v>
      </c>
      <c r="O205" s="21">
        <f t="shared" si="45"/>
        <v>120.9</v>
      </c>
      <c r="P205" s="21">
        <f t="shared" si="37"/>
        <v>-459.3</v>
      </c>
      <c r="Q205" s="21">
        <f t="shared" si="46"/>
        <v>120.9</v>
      </c>
      <c r="R205" s="21"/>
      <c r="S205" s="21">
        <f t="array" ref="S205">IF(ROW(S205)&lt;=COUNTA(N:N)*2,IF(MOD(ROW(S205),2)=1,INDEX(N:N,(ROW(S205)+1)/2),INDEX(P:P,ROW(S205)/2)),"")</f>
        <v>-184.95</v>
      </c>
      <c r="T205" s="21">
        <f t="array" ref="T205">IF(ROW(T205)&lt;=COUNTA(O:O)*2,IF(MOD(ROW(T205),2)=1,INDEX(O:O,(ROW(T205)+1)/2),INDEX(Q:Q,ROW(T205)/2)),"")</f>
        <v>120.5</v>
      </c>
      <c r="V205" s="22">
        <f t="shared" si="47"/>
        <v>-457.8</v>
      </c>
      <c r="W205" s="22">
        <f t="shared" si="38"/>
        <v>122.6524</v>
      </c>
      <c r="X205" s="22">
        <f t="shared" si="39"/>
        <v>-459.3</v>
      </c>
      <c r="Y205" s="22">
        <f t="shared" si="40"/>
        <v>122.6524</v>
      </c>
      <c r="Z205" s="22"/>
      <c r="AA205" s="22">
        <f t="array" ref="AA205">IF(ROW(AA205)&lt;=COUNTA(V:V)*2,IF(MOD(ROW(AA205),2)=1,INDEX(V:V,(ROW(AA205)+1)/2),INDEX(X:X,ROW(AA205)/2)),"")</f>
        <v>-184.95</v>
      </c>
      <c r="AB205" s="22">
        <f t="array" ref="AB205">IF(ROW(AB205)&lt;=COUNTA(W:W)*2,IF(MOD(ROW(AB205),2)=1,INDEX(W:W,(ROW(AB205)+1)/2),INDEX(Y:Y,ROW(AB205)/2)),"")</f>
        <v>125.149475</v>
      </c>
    </row>
    <row r="206" spans="1:28" s="2" customFormat="1" x14ac:dyDescent="0.25">
      <c r="A206" s="19"/>
      <c r="B206" s="20"/>
      <c r="C206" s="21"/>
      <c r="D206" s="22"/>
      <c r="F206" s="34">
        <f t="shared" si="41"/>
        <v>-459.3</v>
      </c>
      <c r="G206" s="34">
        <f t="shared" si="42"/>
        <v>112.3</v>
      </c>
      <c r="H206" s="34">
        <f t="shared" si="36"/>
        <v>-462.3</v>
      </c>
      <c r="I206" s="34">
        <f t="shared" si="43"/>
        <v>112.3</v>
      </c>
      <c r="J206" s="20"/>
      <c r="K206" s="34">
        <f t="array" ref="K206">IF(ROW(K206)&lt;=COUNTA(F:F)*2,IF(MOD(ROW(K206),2)=1,INDEX(F:F,(ROW(K206)+1)/2),INDEX(H:H,ROW(K206)/2)),"")</f>
        <v>-187.95</v>
      </c>
      <c r="L206" s="34">
        <f t="array" ref="L206">IF(ROW(L206)&lt;=COUNTA(G:G)*2,IF(MOD(ROW(L206),2)=1,INDEX(G:G,(ROW(L206)+1)/2),INDEX(I:I,ROW(L206)/2)),"")</f>
        <v>112.4</v>
      </c>
      <c r="N206" s="21">
        <f t="shared" si="44"/>
        <v>-459.3</v>
      </c>
      <c r="O206" s="21">
        <f t="shared" si="45"/>
        <v>122</v>
      </c>
      <c r="P206" s="21">
        <f t="shared" si="37"/>
        <v>-462.3</v>
      </c>
      <c r="Q206" s="21">
        <f t="shared" si="46"/>
        <v>122</v>
      </c>
      <c r="R206" s="21"/>
      <c r="S206" s="21">
        <f t="array" ref="S206">IF(ROW(S206)&lt;=COUNTA(N:N)*2,IF(MOD(ROW(S206),2)=1,INDEX(N:N,(ROW(S206)+1)/2),INDEX(P:P,ROW(S206)/2)),"")</f>
        <v>-187.95</v>
      </c>
      <c r="T206" s="21">
        <f t="array" ref="T206">IF(ROW(T206)&lt;=COUNTA(O:O)*2,IF(MOD(ROW(T206),2)=1,INDEX(O:O,(ROW(T206)+1)/2),INDEX(Q:Q,ROW(T206)/2)),"")</f>
        <v>120.5</v>
      </c>
      <c r="V206" s="22">
        <f t="shared" si="47"/>
        <v>-459.3</v>
      </c>
      <c r="W206" s="22">
        <f t="shared" si="38"/>
        <v>122.657075</v>
      </c>
      <c r="X206" s="22">
        <f t="shared" si="39"/>
        <v>-462.3</v>
      </c>
      <c r="Y206" s="22">
        <f t="shared" si="40"/>
        <v>122.657075</v>
      </c>
      <c r="Z206" s="22"/>
      <c r="AA206" s="22">
        <f t="array" ref="AA206">IF(ROW(AA206)&lt;=COUNTA(V:V)*2,IF(MOD(ROW(AA206),2)=1,INDEX(V:V,(ROW(AA206)+1)/2),INDEX(X:X,ROW(AA206)/2)),"")</f>
        <v>-187.95</v>
      </c>
      <c r="AB206" s="22">
        <f t="array" ref="AB206">IF(ROW(AB206)&lt;=COUNTA(W:W)*2,IF(MOD(ROW(AB206),2)=1,INDEX(W:W,(ROW(AB206)+1)/2),INDEX(Y:Y,ROW(AB206)/2)),"")</f>
        <v>125.149475</v>
      </c>
    </row>
    <row r="207" spans="1:28" s="2" customFormat="1" x14ac:dyDescent="0.25">
      <c r="A207" s="19"/>
      <c r="B207" s="20"/>
      <c r="C207" s="21"/>
      <c r="D207" s="22"/>
      <c r="F207" s="34">
        <f t="shared" si="41"/>
        <v>-462.3</v>
      </c>
      <c r="G207" s="34">
        <f t="shared" si="42"/>
        <v>112.4</v>
      </c>
      <c r="H207" s="34">
        <f t="shared" si="36"/>
        <v>-465.3</v>
      </c>
      <c r="I207" s="34">
        <f t="shared" si="43"/>
        <v>112.4</v>
      </c>
      <c r="J207" s="20"/>
      <c r="K207" s="34">
        <f t="array" ref="K207">IF(ROW(K207)&lt;=COUNTA(F:F)*2,IF(MOD(ROW(K207),2)=1,INDEX(F:F,(ROW(K207)+1)/2),INDEX(H:H,ROW(K207)/2)),"")</f>
        <v>-187.95</v>
      </c>
      <c r="L207" s="34">
        <f t="array" ref="L207">IF(ROW(L207)&lt;=COUNTA(G:G)*2,IF(MOD(ROW(L207),2)=1,INDEX(G:G,(ROW(L207)+1)/2),INDEX(I:I,ROW(L207)/2)),"")</f>
        <v>112.5</v>
      </c>
      <c r="N207" s="21">
        <f t="shared" si="44"/>
        <v>-462.3</v>
      </c>
      <c r="O207" s="21">
        <f t="shared" si="45"/>
        <v>119.3</v>
      </c>
      <c r="P207" s="21">
        <f t="shared" si="37"/>
        <v>-465.3</v>
      </c>
      <c r="Q207" s="21">
        <f t="shared" si="46"/>
        <v>119.3</v>
      </c>
      <c r="R207" s="21"/>
      <c r="S207" s="21">
        <f t="array" ref="S207">IF(ROW(S207)&lt;=COUNTA(N:N)*2,IF(MOD(ROW(S207),2)=1,INDEX(N:N,(ROW(S207)+1)/2),INDEX(P:P,ROW(S207)/2)),"")</f>
        <v>-187.95</v>
      </c>
      <c r="T207" s="21">
        <f t="array" ref="T207">IF(ROW(T207)&lt;=COUNTA(O:O)*2,IF(MOD(ROW(T207),2)=1,INDEX(O:O,(ROW(T207)+1)/2),INDEX(Q:Q,ROW(T207)/2)),"")</f>
        <v>120.8</v>
      </c>
      <c r="V207" s="22">
        <f t="shared" si="47"/>
        <v>-462.3</v>
      </c>
      <c r="W207" s="22">
        <f t="shared" si="38"/>
        <v>122.654025</v>
      </c>
      <c r="X207" s="22">
        <f t="shared" si="39"/>
        <v>-465.3</v>
      </c>
      <c r="Y207" s="22">
        <f t="shared" si="40"/>
        <v>122.654025</v>
      </c>
      <c r="Z207" s="22"/>
      <c r="AA207" s="22">
        <f t="array" ref="AA207">IF(ROW(AA207)&lt;=COUNTA(V:V)*2,IF(MOD(ROW(AA207),2)=1,INDEX(V:V,(ROW(AA207)+1)/2),INDEX(X:X,ROW(AA207)/2)),"")</f>
        <v>-187.95</v>
      </c>
      <c r="AB207" s="22">
        <f t="array" ref="AB207">IF(ROW(AB207)&lt;=COUNTA(W:W)*2,IF(MOD(ROW(AB207),2)=1,INDEX(W:W,(ROW(AB207)+1)/2),INDEX(Y:Y,ROW(AB207)/2)),"")</f>
        <v>125.149475</v>
      </c>
    </row>
    <row r="208" spans="1:28" s="2" customFormat="1" x14ac:dyDescent="0.25">
      <c r="A208" s="19"/>
      <c r="B208" s="20"/>
      <c r="C208" s="21"/>
      <c r="D208" s="22"/>
      <c r="F208" s="34">
        <f t="shared" si="41"/>
        <v>-465.3</v>
      </c>
      <c r="G208" s="34">
        <f t="shared" si="42"/>
        <v>112.3</v>
      </c>
      <c r="H208" s="34">
        <f t="shared" si="36"/>
        <v>-468.3</v>
      </c>
      <c r="I208" s="34">
        <f t="shared" si="43"/>
        <v>112.3</v>
      </c>
      <c r="J208" s="20"/>
      <c r="K208" s="34">
        <f t="array" ref="K208">IF(ROW(K208)&lt;=COUNTA(F:F)*2,IF(MOD(ROW(K208),2)=1,INDEX(F:F,(ROW(K208)+1)/2),INDEX(H:H,ROW(K208)/2)),"")</f>
        <v>-190.95</v>
      </c>
      <c r="L208" s="34">
        <f t="array" ref="L208">IF(ROW(L208)&lt;=COUNTA(G:G)*2,IF(MOD(ROW(L208),2)=1,INDEX(G:G,(ROW(L208)+1)/2),INDEX(I:I,ROW(L208)/2)),"")</f>
        <v>112.5</v>
      </c>
      <c r="N208" s="21">
        <f t="shared" si="44"/>
        <v>-465.3</v>
      </c>
      <c r="O208" s="21">
        <f t="shared" si="45"/>
        <v>121.5</v>
      </c>
      <c r="P208" s="21">
        <f t="shared" si="37"/>
        <v>-468.3</v>
      </c>
      <c r="Q208" s="21">
        <f t="shared" si="46"/>
        <v>121.5</v>
      </c>
      <c r="R208" s="21"/>
      <c r="S208" s="21">
        <f t="array" ref="S208">IF(ROW(S208)&lt;=COUNTA(N:N)*2,IF(MOD(ROW(S208),2)=1,INDEX(N:N,(ROW(S208)+1)/2),INDEX(P:P,ROW(S208)/2)),"")</f>
        <v>-190.95</v>
      </c>
      <c r="T208" s="21">
        <f t="array" ref="T208">IF(ROW(T208)&lt;=COUNTA(O:O)*2,IF(MOD(ROW(T208),2)=1,INDEX(O:O,(ROW(T208)+1)/2),INDEX(Q:Q,ROW(T208)/2)),"")</f>
        <v>120.8</v>
      </c>
      <c r="V208" s="22">
        <f t="shared" si="47"/>
        <v>-465.3</v>
      </c>
      <c r="W208" s="22">
        <f t="shared" si="38"/>
        <v>122.651775</v>
      </c>
      <c r="X208" s="22">
        <f t="shared" si="39"/>
        <v>-468.3</v>
      </c>
      <c r="Y208" s="22">
        <f t="shared" si="40"/>
        <v>122.651775</v>
      </c>
      <c r="Z208" s="22"/>
      <c r="AA208" s="22">
        <f t="array" ref="AA208">IF(ROW(AA208)&lt;=COUNTA(V:V)*2,IF(MOD(ROW(AA208),2)=1,INDEX(V:V,(ROW(AA208)+1)/2),INDEX(X:X,ROW(AA208)/2)),"")</f>
        <v>-190.95</v>
      </c>
      <c r="AB208" s="22">
        <f t="array" ref="AB208">IF(ROW(AB208)&lt;=COUNTA(W:W)*2,IF(MOD(ROW(AB208),2)=1,INDEX(W:W,(ROW(AB208)+1)/2),INDEX(Y:Y,ROW(AB208)/2)),"")</f>
        <v>125.149475</v>
      </c>
    </row>
    <row r="209" spans="1:28" s="2" customFormat="1" x14ac:dyDescent="0.25">
      <c r="A209" s="19"/>
      <c r="B209" s="20"/>
      <c r="C209" s="21"/>
      <c r="D209" s="22"/>
      <c r="F209" s="34">
        <f t="shared" si="41"/>
        <v>-468.3</v>
      </c>
      <c r="G209" s="34">
        <f t="shared" si="42"/>
        <v>112.5</v>
      </c>
      <c r="H209" s="34">
        <f t="shared" si="36"/>
        <v>-471.3</v>
      </c>
      <c r="I209" s="34">
        <f t="shared" si="43"/>
        <v>112.5</v>
      </c>
      <c r="J209" s="20"/>
      <c r="K209" s="34">
        <f t="array" ref="K209">IF(ROW(K209)&lt;=COUNTA(F:F)*2,IF(MOD(ROW(K209),2)=1,INDEX(F:F,(ROW(K209)+1)/2),INDEX(H:H,ROW(K209)/2)),"")</f>
        <v>-190.95</v>
      </c>
      <c r="L209" s="34">
        <f t="array" ref="L209">IF(ROW(L209)&lt;=COUNTA(G:G)*2,IF(MOD(ROW(L209),2)=1,INDEX(G:G,(ROW(L209)+1)/2),INDEX(I:I,ROW(L209)/2)),"")</f>
        <v>112.5</v>
      </c>
      <c r="N209" s="21">
        <f t="shared" si="44"/>
        <v>-468.3</v>
      </c>
      <c r="O209" s="21">
        <f t="shared" si="45"/>
        <v>113.3</v>
      </c>
      <c r="P209" s="21">
        <f t="shared" si="37"/>
        <v>-471.3</v>
      </c>
      <c r="Q209" s="21">
        <f t="shared" si="46"/>
        <v>113.3</v>
      </c>
      <c r="R209" s="21"/>
      <c r="S209" s="21">
        <f t="array" ref="S209">IF(ROW(S209)&lt;=COUNTA(N:N)*2,IF(MOD(ROW(S209),2)=1,INDEX(N:N,(ROW(S209)+1)/2),INDEX(P:P,ROW(S209)/2)),"")</f>
        <v>-190.95</v>
      </c>
      <c r="T209" s="21">
        <f t="array" ref="T209">IF(ROW(T209)&lt;=COUNTA(O:O)*2,IF(MOD(ROW(T209),2)=1,INDEX(O:O,(ROW(T209)+1)/2),INDEX(Q:Q,ROW(T209)/2)),"")</f>
        <v>116.9</v>
      </c>
      <c r="V209" s="22">
        <f t="shared" si="47"/>
        <v>-468.3</v>
      </c>
      <c r="W209" s="22">
        <f t="shared" si="38"/>
        <v>122.655975</v>
      </c>
      <c r="X209" s="22">
        <f t="shared" si="39"/>
        <v>-471.3</v>
      </c>
      <c r="Y209" s="22">
        <f t="shared" si="40"/>
        <v>122.655975</v>
      </c>
      <c r="Z209" s="22"/>
      <c r="AA209" s="22">
        <f t="array" ref="AA209">IF(ROW(AA209)&lt;=COUNTA(V:V)*2,IF(MOD(ROW(AA209),2)=1,INDEX(V:V,(ROW(AA209)+1)/2),INDEX(X:X,ROW(AA209)/2)),"")</f>
        <v>-190.95</v>
      </c>
      <c r="AB209" s="22">
        <f t="array" ref="AB209">IF(ROW(AB209)&lt;=COUNTA(W:W)*2,IF(MOD(ROW(AB209),2)=1,INDEX(W:W,(ROW(AB209)+1)/2),INDEX(Y:Y,ROW(AB209)/2)),"")</f>
        <v>125.12805</v>
      </c>
    </row>
    <row r="210" spans="1:28" s="2" customFormat="1" x14ac:dyDescent="0.25">
      <c r="A210" s="19"/>
      <c r="B210" s="20"/>
      <c r="C210" s="21"/>
      <c r="D210" s="22"/>
      <c r="F210" s="34">
        <f t="shared" si="41"/>
        <v>-471.3</v>
      </c>
      <c r="G210" s="34">
        <f t="shared" si="42"/>
        <v>112.3</v>
      </c>
      <c r="H210" s="34">
        <f t="shared" si="36"/>
        <v>-473.2</v>
      </c>
      <c r="I210" s="34">
        <f t="shared" si="43"/>
        <v>112.3</v>
      </c>
      <c r="J210" s="20"/>
      <c r="K210" s="34">
        <f t="array" ref="K210">IF(ROW(K210)&lt;=COUNTA(F:F)*2,IF(MOD(ROW(K210),2)=1,INDEX(F:F,(ROW(K210)+1)/2),INDEX(H:H,ROW(K210)/2)),"")</f>
        <v>-193.95</v>
      </c>
      <c r="L210" s="34">
        <f t="array" ref="L210">IF(ROW(L210)&lt;=COUNTA(G:G)*2,IF(MOD(ROW(L210),2)=1,INDEX(G:G,(ROW(L210)+1)/2),INDEX(I:I,ROW(L210)/2)),"")</f>
        <v>112.5</v>
      </c>
      <c r="N210" s="21">
        <f t="shared" si="44"/>
        <v>-471.3</v>
      </c>
      <c r="O210" s="21">
        <f t="shared" si="45"/>
        <v>117.4</v>
      </c>
      <c r="P210" s="21">
        <f t="shared" si="37"/>
        <v>-473.2</v>
      </c>
      <c r="Q210" s="21">
        <f t="shared" si="46"/>
        <v>117.4</v>
      </c>
      <c r="R210" s="21"/>
      <c r="S210" s="21">
        <f t="array" ref="S210">IF(ROW(S210)&lt;=COUNTA(N:N)*2,IF(MOD(ROW(S210),2)=1,INDEX(N:N,(ROW(S210)+1)/2),INDEX(P:P,ROW(S210)/2)),"")</f>
        <v>-193.95</v>
      </c>
      <c r="T210" s="21">
        <f t="array" ref="T210">IF(ROW(T210)&lt;=COUNTA(O:O)*2,IF(MOD(ROW(T210),2)=1,INDEX(O:O,(ROW(T210)+1)/2),INDEX(Q:Q,ROW(T210)/2)),"")</f>
        <v>116.9</v>
      </c>
      <c r="V210" s="22">
        <f t="shared" si="47"/>
        <v>-471.3</v>
      </c>
      <c r="W210" s="22">
        <f t="shared" si="38"/>
        <v>122.655925</v>
      </c>
      <c r="X210" s="22">
        <f t="shared" si="39"/>
        <v>-473.2</v>
      </c>
      <c r="Y210" s="22">
        <f t="shared" si="40"/>
        <v>122.655925</v>
      </c>
      <c r="Z210" s="22"/>
      <c r="AA210" s="22">
        <f t="array" ref="AA210">IF(ROW(AA210)&lt;=COUNTA(V:V)*2,IF(MOD(ROW(AA210),2)=1,INDEX(V:V,(ROW(AA210)+1)/2),INDEX(X:X,ROW(AA210)/2)),"")</f>
        <v>-193.95</v>
      </c>
      <c r="AB210" s="22">
        <f t="array" ref="AB210">IF(ROW(AB210)&lt;=COUNTA(W:W)*2,IF(MOD(ROW(AB210),2)=1,INDEX(W:W,(ROW(AB210)+1)/2),INDEX(Y:Y,ROW(AB210)/2)),"")</f>
        <v>125.12805</v>
      </c>
    </row>
    <row r="211" spans="1:28" s="2" customFormat="1" x14ac:dyDescent="0.25">
      <c r="A211" s="19"/>
      <c r="B211" s="20"/>
      <c r="C211" s="21"/>
      <c r="D211" s="22"/>
      <c r="F211" s="34">
        <f t="shared" si="41"/>
        <v>-473.2</v>
      </c>
      <c r="G211" s="34">
        <f t="shared" si="42"/>
        <v>112.1</v>
      </c>
      <c r="H211" s="34">
        <f t="shared" si="36"/>
        <v>-475.5</v>
      </c>
      <c r="I211" s="34">
        <f t="shared" si="43"/>
        <v>112.1</v>
      </c>
      <c r="J211" s="20"/>
      <c r="K211" s="34">
        <f t="array" ref="K211">IF(ROW(K211)&lt;=COUNTA(F:F)*2,IF(MOD(ROW(K211),2)=1,INDEX(F:F,(ROW(K211)+1)/2),INDEX(H:H,ROW(K211)/2)),"")</f>
        <v>-193.95</v>
      </c>
      <c r="L211" s="34">
        <f t="array" ref="L211">IF(ROW(L211)&lt;=COUNTA(G:G)*2,IF(MOD(ROW(L211),2)=1,INDEX(G:G,(ROW(L211)+1)/2),INDEX(I:I,ROW(L211)/2)),"")</f>
        <v>112.5</v>
      </c>
      <c r="N211" s="21">
        <f t="shared" si="44"/>
        <v>-473.2</v>
      </c>
      <c r="O211" s="21">
        <f t="shared" si="45"/>
        <v>119.6</v>
      </c>
      <c r="P211" s="21">
        <f t="shared" si="37"/>
        <v>-475.5</v>
      </c>
      <c r="Q211" s="21">
        <f t="shared" si="46"/>
        <v>119.6</v>
      </c>
      <c r="R211" s="21"/>
      <c r="S211" s="21">
        <f t="array" ref="S211">IF(ROW(S211)&lt;=COUNTA(N:N)*2,IF(MOD(ROW(S211),2)=1,INDEX(N:N,(ROW(S211)+1)/2),INDEX(P:P,ROW(S211)/2)),"")</f>
        <v>-193.95</v>
      </c>
      <c r="T211" s="21">
        <f t="array" ref="T211">IF(ROW(T211)&lt;=COUNTA(O:O)*2,IF(MOD(ROW(T211),2)=1,INDEX(O:O,(ROW(T211)+1)/2),INDEX(Q:Q,ROW(T211)/2)),"")</f>
        <v>117.3</v>
      </c>
      <c r="V211" s="22">
        <f t="shared" si="47"/>
        <v>-473.2</v>
      </c>
      <c r="W211" s="22">
        <f t="shared" si="38"/>
        <v>122.655975</v>
      </c>
      <c r="X211" s="22">
        <f t="shared" si="39"/>
        <v>-475.5</v>
      </c>
      <c r="Y211" s="22">
        <f t="shared" si="40"/>
        <v>122.655975</v>
      </c>
      <c r="Z211" s="22"/>
      <c r="AA211" s="22">
        <f t="array" ref="AA211">IF(ROW(AA211)&lt;=COUNTA(V:V)*2,IF(MOD(ROW(AA211),2)=1,INDEX(V:V,(ROW(AA211)+1)/2),INDEX(X:X,ROW(AA211)/2)),"")</f>
        <v>-193.95</v>
      </c>
      <c r="AB211" s="22">
        <f t="array" ref="AB211">IF(ROW(AB211)&lt;=COUNTA(W:W)*2,IF(MOD(ROW(AB211),2)=1,INDEX(W:W,(ROW(AB211)+1)/2),INDEX(Y:Y,ROW(AB211)/2)),"")</f>
        <v>125.02675</v>
      </c>
    </row>
    <row r="212" spans="1:28" s="2" customFormat="1" x14ac:dyDescent="0.25">
      <c r="A212" s="19"/>
      <c r="B212" s="20"/>
      <c r="C212" s="21"/>
      <c r="D212" s="22"/>
      <c r="F212" s="34">
        <f t="shared" si="41"/>
        <v>-475.5</v>
      </c>
      <c r="G212" s="34">
        <f t="shared" si="42"/>
        <v>111.9</v>
      </c>
      <c r="H212" s="34">
        <f t="shared" si="36"/>
        <v>-478.5</v>
      </c>
      <c r="I212" s="34">
        <f t="shared" si="43"/>
        <v>111.9</v>
      </c>
      <c r="J212" s="20"/>
      <c r="K212" s="34">
        <f t="array" ref="K212">IF(ROW(K212)&lt;=COUNTA(F:F)*2,IF(MOD(ROW(K212),2)=1,INDEX(F:F,(ROW(K212)+1)/2),INDEX(H:H,ROW(K212)/2)),"")</f>
        <v>-196.95</v>
      </c>
      <c r="L212" s="34">
        <f t="array" ref="L212">IF(ROW(L212)&lt;=COUNTA(G:G)*2,IF(MOD(ROW(L212),2)=1,INDEX(G:G,(ROW(L212)+1)/2),INDEX(I:I,ROW(L212)/2)),"")</f>
        <v>112.5</v>
      </c>
      <c r="N212" s="21">
        <f t="shared" si="44"/>
        <v>-475.5</v>
      </c>
      <c r="O212" s="21">
        <f t="shared" si="45"/>
        <v>120.3</v>
      </c>
      <c r="P212" s="21">
        <f t="shared" si="37"/>
        <v>-478.5</v>
      </c>
      <c r="Q212" s="21">
        <f t="shared" si="46"/>
        <v>120.3</v>
      </c>
      <c r="R212" s="21"/>
      <c r="S212" s="21">
        <f t="array" ref="S212">IF(ROW(S212)&lt;=COUNTA(N:N)*2,IF(MOD(ROW(S212),2)=1,INDEX(N:N,(ROW(S212)+1)/2),INDEX(P:P,ROW(S212)/2)),"")</f>
        <v>-196.95</v>
      </c>
      <c r="T212" s="21">
        <f t="array" ref="T212">IF(ROW(T212)&lt;=COUNTA(O:O)*2,IF(MOD(ROW(T212),2)=1,INDEX(O:O,(ROW(T212)+1)/2),INDEX(Q:Q,ROW(T212)/2)),"")</f>
        <v>117.3</v>
      </c>
      <c r="V212" s="22">
        <f t="shared" si="47"/>
        <v>-475.5</v>
      </c>
      <c r="W212" s="22">
        <f t="shared" si="38"/>
        <v>122.657075</v>
      </c>
      <c r="X212" s="22">
        <f t="shared" si="39"/>
        <v>-478.5</v>
      </c>
      <c r="Y212" s="22">
        <f t="shared" si="40"/>
        <v>122.657075</v>
      </c>
      <c r="Z212" s="22"/>
      <c r="AA212" s="22">
        <f t="array" ref="AA212">IF(ROW(AA212)&lt;=COUNTA(V:V)*2,IF(MOD(ROW(AA212),2)=1,INDEX(V:V,(ROW(AA212)+1)/2),INDEX(X:X,ROW(AA212)/2)),"")</f>
        <v>-196.95</v>
      </c>
      <c r="AB212" s="22">
        <f t="array" ref="AB212">IF(ROW(AB212)&lt;=COUNTA(W:W)*2,IF(MOD(ROW(AB212),2)=1,INDEX(W:W,(ROW(AB212)+1)/2),INDEX(Y:Y,ROW(AB212)/2)),"")</f>
        <v>125.02675</v>
      </c>
    </row>
    <row r="213" spans="1:28" s="2" customFormat="1" x14ac:dyDescent="0.25">
      <c r="A213" s="19"/>
      <c r="B213" s="20"/>
      <c r="C213" s="21"/>
      <c r="D213" s="22"/>
      <c r="F213" s="34">
        <f t="shared" si="41"/>
        <v>-478.5</v>
      </c>
      <c r="G213" s="34">
        <f t="shared" si="42"/>
        <v>112.4</v>
      </c>
      <c r="H213" s="34">
        <f t="shared" si="36"/>
        <v>-481.5</v>
      </c>
      <c r="I213" s="34">
        <f t="shared" si="43"/>
        <v>112.4</v>
      </c>
      <c r="J213" s="20"/>
      <c r="K213" s="34">
        <f t="array" ref="K213">IF(ROW(K213)&lt;=COUNTA(F:F)*2,IF(MOD(ROW(K213),2)=1,INDEX(F:F,(ROW(K213)+1)/2),INDEX(H:H,ROW(K213)/2)),"")</f>
        <v>-196.95</v>
      </c>
      <c r="L213" s="34">
        <f t="array" ref="L213">IF(ROW(L213)&lt;=COUNTA(G:G)*2,IF(MOD(ROW(L213),2)=1,INDEX(G:G,(ROW(L213)+1)/2),INDEX(I:I,ROW(L213)/2)),"")</f>
        <v>112.5</v>
      </c>
      <c r="N213" s="21">
        <f t="shared" si="44"/>
        <v>-478.5</v>
      </c>
      <c r="O213" s="21">
        <f t="shared" si="45"/>
        <v>118.9</v>
      </c>
      <c r="P213" s="21">
        <f t="shared" si="37"/>
        <v>-481.5</v>
      </c>
      <c r="Q213" s="21">
        <f t="shared" si="46"/>
        <v>118.9</v>
      </c>
      <c r="R213" s="21"/>
      <c r="S213" s="21">
        <f t="array" ref="S213">IF(ROW(S213)&lt;=COUNTA(N:N)*2,IF(MOD(ROW(S213),2)=1,INDEX(N:N,(ROW(S213)+1)/2),INDEX(P:P,ROW(S213)/2)),"")</f>
        <v>-196.95</v>
      </c>
      <c r="T213" s="21">
        <f t="array" ref="T213">IF(ROW(T213)&lt;=COUNTA(O:O)*2,IF(MOD(ROW(T213),2)=1,INDEX(O:O,(ROW(T213)+1)/2),INDEX(Q:Q,ROW(T213)/2)),"")</f>
        <v>117.2</v>
      </c>
      <c r="V213" s="22">
        <f t="shared" si="47"/>
        <v>-478.5</v>
      </c>
      <c r="W213" s="22">
        <f t="shared" si="38"/>
        <v>122.65865</v>
      </c>
      <c r="X213" s="22">
        <f t="shared" si="39"/>
        <v>-481.5</v>
      </c>
      <c r="Y213" s="22">
        <f t="shared" si="40"/>
        <v>122.65865</v>
      </c>
      <c r="Z213" s="22"/>
      <c r="AA213" s="22">
        <f t="array" ref="AA213">IF(ROW(AA213)&lt;=COUNTA(V:V)*2,IF(MOD(ROW(AA213),2)=1,INDEX(V:V,(ROW(AA213)+1)/2),INDEX(X:X,ROW(AA213)/2)),"")</f>
        <v>-196.95</v>
      </c>
      <c r="AB213" s="22">
        <f t="array" ref="AB213">IF(ROW(AB213)&lt;=COUNTA(W:W)*2,IF(MOD(ROW(AB213),2)=1,INDEX(W:W,(ROW(AB213)+1)/2),INDEX(Y:Y,ROW(AB213)/2)),"")</f>
        <v>125.12805</v>
      </c>
    </row>
    <row r="214" spans="1:28" s="2" customFormat="1" x14ac:dyDescent="0.25">
      <c r="A214" s="19"/>
      <c r="B214" s="20"/>
      <c r="C214" s="21"/>
      <c r="D214" s="22"/>
      <c r="F214" s="34">
        <f t="shared" si="41"/>
        <v>-481.5</v>
      </c>
      <c r="G214" s="34">
        <f t="shared" si="42"/>
        <v>112.5</v>
      </c>
      <c r="H214" s="34">
        <f t="shared" si="36"/>
        <v>-483.7</v>
      </c>
      <c r="I214" s="34">
        <f t="shared" si="43"/>
        <v>112.5</v>
      </c>
      <c r="J214" s="20"/>
      <c r="K214" s="34">
        <f t="array" ref="K214">IF(ROW(K214)&lt;=COUNTA(F:F)*2,IF(MOD(ROW(K214),2)=1,INDEX(F:F,(ROW(K214)+1)/2),INDEX(H:H,ROW(K214)/2)),"")</f>
        <v>-199.95</v>
      </c>
      <c r="L214" s="34">
        <f t="array" ref="L214">IF(ROW(L214)&lt;=COUNTA(G:G)*2,IF(MOD(ROW(L214),2)=1,INDEX(G:G,(ROW(L214)+1)/2),INDEX(I:I,ROW(L214)/2)),"")</f>
        <v>112.5</v>
      </c>
      <c r="N214" s="21">
        <f t="shared" si="44"/>
        <v>-481.5</v>
      </c>
      <c r="O214" s="21">
        <f t="shared" si="45"/>
        <v>119.6</v>
      </c>
      <c r="P214" s="21">
        <f t="shared" si="37"/>
        <v>-483.7</v>
      </c>
      <c r="Q214" s="21">
        <f t="shared" si="46"/>
        <v>119.6</v>
      </c>
      <c r="R214" s="21"/>
      <c r="S214" s="21">
        <f t="array" ref="S214">IF(ROW(S214)&lt;=COUNTA(N:N)*2,IF(MOD(ROW(S214),2)=1,INDEX(N:N,(ROW(S214)+1)/2),INDEX(P:P,ROW(S214)/2)),"")</f>
        <v>-199.95</v>
      </c>
      <c r="T214" s="21">
        <f t="array" ref="T214">IF(ROW(T214)&lt;=COUNTA(O:O)*2,IF(MOD(ROW(T214),2)=1,INDEX(O:O,(ROW(T214)+1)/2),INDEX(Q:Q,ROW(T214)/2)),"")</f>
        <v>117.2</v>
      </c>
      <c r="V214" s="22">
        <f t="shared" si="47"/>
        <v>-481.5</v>
      </c>
      <c r="W214" s="22">
        <f t="shared" si="38"/>
        <v>122.65445</v>
      </c>
      <c r="X214" s="22">
        <f t="shared" si="39"/>
        <v>-483.7</v>
      </c>
      <c r="Y214" s="22">
        <f t="shared" si="40"/>
        <v>122.65445</v>
      </c>
      <c r="Z214" s="22"/>
      <c r="AA214" s="22">
        <f t="array" ref="AA214">IF(ROW(AA214)&lt;=COUNTA(V:V)*2,IF(MOD(ROW(AA214),2)=1,INDEX(V:V,(ROW(AA214)+1)/2),INDEX(X:X,ROW(AA214)/2)),"")</f>
        <v>-199.95</v>
      </c>
      <c r="AB214" s="22">
        <f t="array" ref="AB214">IF(ROW(AB214)&lt;=COUNTA(W:W)*2,IF(MOD(ROW(AB214),2)=1,INDEX(W:W,(ROW(AB214)+1)/2),INDEX(Y:Y,ROW(AB214)/2)),"")</f>
        <v>125.12805</v>
      </c>
    </row>
    <row r="215" spans="1:28" s="2" customFormat="1" x14ac:dyDescent="0.25">
      <c r="A215" s="19"/>
      <c r="B215" s="20"/>
      <c r="C215" s="21"/>
      <c r="D215" s="22"/>
      <c r="F215" s="34">
        <f t="shared" si="41"/>
        <v>-483.7</v>
      </c>
      <c r="G215" s="34">
        <f t="shared" si="42"/>
        <v>112.5</v>
      </c>
      <c r="H215" s="34">
        <f t="shared" si="36"/>
        <v>-486.7</v>
      </c>
      <c r="I215" s="34">
        <f t="shared" si="43"/>
        <v>112.5</v>
      </c>
      <c r="J215" s="20"/>
      <c r="K215" s="34">
        <f t="array" ref="K215">IF(ROW(K215)&lt;=COUNTA(F:F)*2,IF(MOD(ROW(K215),2)=1,INDEX(F:F,(ROW(K215)+1)/2),INDEX(H:H,ROW(K215)/2)),"")</f>
        <v>-199.95</v>
      </c>
      <c r="L215" s="34">
        <f t="array" ref="L215">IF(ROW(L215)&lt;=COUNTA(G:G)*2,IF(MOD(ROW(L215),2)=1,INDEX(G:G,(ROW(L215)+1)/2),INDEX(I:I,ROW(L215)/2)),"")</f>
        <v>112.5</v>
      </c>
      <c r="N215" s="21">
        <f t="shared" si="44"/>
        <v>-483.7</v>
      </c>
      <c r="O215" s="21">
        <f t="shared" si="45"/>
        <v>115.7</v>
      </c>
      <c r="P215" s="21">
        <f t="shared" si="37"/>
        <v>-486.7</v>
      </c>
      <c r="Q215" s="21">
        <f t="shared" si="46"/>
        <v>115.7</v>
      </c>
      <c r="R215" s="21"/>
      <c r="S215" s="21">
        <f t="array" ref="S215">IF(ROW(S215)&lt;=COUNTA(N:N)*2,IF(MOD(ROW(S215),2)=1,INDEX(N:N,(ROW(S215)+1)/2),INDEX(P:P,ROW(S215)/2)),"")</f>
        <v>-199.95</v>
      </c>
      <c r="T215" s="21">
        <f t="array" ref="T215">IF(ROW(T215)&lt;=COUNTA(O:O)*2,IF(MOD(ROW(T215),2)=1,INDEX(O:O,(ROW(T215)+1)/2),INDEX(Q:Q,ROW(T215)/2)),"")</f>
        <v>119.9</v>
      </c>
      <c r="V215" s="22">
        <f t="shared" si="47"/>
        <v>-483.7</v>
      </c>
      <c r="W215" s="22">
        <f t="shared" si="38"/>
        <v>122.65865</v>
      </c>
      <c r="X215" s="22">
        <f t="shared" si="39"/>
        <v>-486.7</v>
      </c>
      <c r="Y215" s="22">
        <f t="shared" si="40"/>
        <v>122.65865</v>
      </c>
      <c r="Z215" s="22"/>
      <c r="AA215" s="22">
        <f t="array" ref="AA215">IF(ROW(AA215)&lt;=COUNTA(V:V)*2,IF(MOD(ROW(AA215),2)=1,INDEX(V:V,(ROW(AA215)+1)/2),INDEX(X:X,ROW(AA215)/2)),"")</f>
        <v>-199.95</v>
      </c>
      <c r="AB215" s="22">
        <f t="array" ref="AB215">IF(ROW(AB215)&lt;=COUNTA(W:W)*2,IF(MOD(ROW(AB215),2)=1,INDEX(W:W,(ROW(AB215)+1)/2),INDEX(Y:Y,ROW(AB215)/2)),"")</f>
        <v>125.12805</v>
      </c>
    </row>
    <row r="216" spans="1:28" s="2" customFormat="1" x14ac:dyDescent="0.25">
      <c r="A216" s="19"/>
      <c r="B216" s="20"/>
      <c r="C216" s="21"/>
      <c r="D216" s="22"/>
      <c r="F216" s="34">
        <f t="shared" si="41"/>
        <v>-486.7</v>
      </c>
      <c r="G216" s="34">
        <f t="shared" si="42"/>
        <v>112.5</v>
      </c>
      <c r="H216" s="34">
        <f t="shared" si="36"/>
        <v>-489.3</v>
      </c>
      <c r="I216" s="34">
        <f t="shared" si="43"/>
        <v>112.5</v>
      </c>
      <c r="J216" s="20"/>
      <c r="K216" s="34">
        <f t="array" ref="K216">IF(ROW(K216)&lt;=COUNTA(F:F)*2,IF(MOD(ROW(K216),2)=1,INDEX(F:F,(ROW(K216)+1)/2),INDEX(H:H,ROW(K216)/2)),"")</f>
        <v>-202.95</v>
      </c>
      <c r="L216" s="34">
        <f t="array" ref="L216">IF(ROW(L216)&lt;=COUNTA(G:G)*2,IF(MOD(ROW(L216),2)=1,INDEX(G:G,(ROW(L216)+1)/2),INDEX(I:I,ROW(L216)/2)),"")</f>
        <v>112.5</v>
      </c>
      <c r="N216" s="21">
        <f t="shared" si="44"/>
        <v>-486.7</v>
      </c>
      <c r="O216" s="21">
        <f t="shared" si="45"/>
        <v>117.4</v>
      </c>
      <c r="P216" s="21">
        <f t="shared" si="37"/>
        <v>-489.3</v>
      </c>
      <c r="Q216" s="21">
        <f t="shared" si="46"/>
        <v>117.4</v>
      </c>
      <c r="R216" s="21"/>
      <c r="S216" s="21">
        <f t="array" ref="S216">IF(ROW(S216)&lt;=COUNTA(N:N)*2,IF(MOD(ROW(S216),2)=1,INDEX(N:N,(ROW(S216)+1)/2),INDEX(P:P,ROW(S216)/2)),"")</f>
        <v>-202.95</v>
      </c>
      <c r="T216" s="21">
        <f t="array" ref="T216">IF(ROW(T216)&lt;=COUNTA(O:O)*2,IF(MOD(ROW(T216),2)=1,INDEX(O:O,(ROW(T216)+1)/2),INDEX(Q:Q,ROW(T216)/2)),"")</f>
        <v>119.9</v>
      </c>
      <c r="V216" s="22">
        <f t="shared" si="47"/>
        <v>-486.7</v>
      </c>
      <c r="W216" s="22">
        <f t="shared" si="38"/>
        <v>122.65865</v>
      </c>
      <c r="X216" s="22">
        <f t="shared" si="39"/>
        <v>-489.3</v>
      </c>
      <c r="Y216" s="22">
        <f t="shared" si="40"/>
        <v>122.65865</v>
      </c>
      <c r="Z216" s="22"/>
      <c r="AA216" s="22">
        <f t="array" ref="AA216">IF(ROW(AA216)&lt;=COUNTA(V:V)*2,IF(MOD(ROW(AA216),2)=1,INDEX(V:V,(ROW(AA216)+1)/2),INDEX(X:X,ROW(AA216)/2)),"")</f>
        <v>-202.95</v>
      </c>
      <c r="AB216" s="22">
        <f t="array" ref="AB216">IF(ROW(AB216)&lt;=COUNTA(W:W)*2,IF(MOD(ROW(AB216),2)=1,INDEX(W:W,(ROW(AB216)+1)/2),INDEX(Y:Y,ROW(AB216)/2)),"")</f>
        <v>125.12805</v>
      </c>
    </row>
    <row r="217" spans="1:28" s="2" customFormat="1" x14ac:dyDescent="0.25">
      <c r="A217" s="19"/>
      <c r="B217" s="20"/>
      <c r="C217" s="21"/>
      <c r="D217" s="22"/>
      <c r="F217" s="34">
        <f t="shared" si="41"/>
        <v>-489.3</v>
      </c>
      <c r="G217" s="34">
        <f t="shared" si="42"/>
        <v>112.4</v>
      </c>
      <c r="H217" s="34">
        <f t="shared" si="36"/>
        <v>-492.3</v>
      </c>
      <c r="I217" s="34">
        <f t="shared" si="43"/>
        <v>112.4</v>
      </c>
      <c r="J217" s="20"/>
      <c r="K217" s="34">
        <f t="array" ref="K217">IF(ROW(K217)&lt;=COUNTA(F:F)*2,IF(MOD(ROW(K217),2)=1,INDEX(F:F,(ROW(K217)+1)/2),INDEX(H:H,ROW(K217)/2)),"")</f>
        <v>-202.95</v>
      </c>
      <c r="L217" s="34">
        <f t="array" ref="L217">IF(ROW(L217)&lt;=COUNTA(G:G)*2,IF(MOD(ROW(L217),2)=1,INDEX(G:G,(ROW(L217)+1)/2),INDEX(I:I,ROW(L217)/2)),"")</f>
        <v>112.5</v>
      </c>
      <c r="N217" s="21">
        <f t="shared" si="44"/>
        <v>-489.3</v>
      </c>
      <c r="O217" s="21">
        <f t="shared" si="45"/>
        <v>119.2</v>
      </c>
      <c r="P217" s="21">
        <f t="shared" si="37"/>
        <v>-492.3</v>
      </c>
      <c r="Q217" s="21">
        <f t="shared" si="46"/>
        <v>119.2</v>
      </c>
      <c r="R217" s="21"/>
      <c r="S217" s="21">
        <f t="array" ref="S217">IF(ROW(S217)&lt;=COUNTA(N:N)*2,IF(MOD(ROW(S217),2)=1,INDEX(N:N,(ROW(S217)+1)/2),INDEX(P:P,ROW(S217)/2)),"")</f>
        <v>-202.95</v>
      </c>
      <c r="T217" s="21">
        <f t="array" ref="T217">IF(ROW(T217)&lt;=COUNTA(O:O)*2,IF(MOD(ROW(T217),2)=1,INDEX(O:O,(ROW(T217)+1)/2),INDEX(Q:Q,ROW(T217)/2)),"")</f>
        <v>117.1</v>
      </c>
      <c r="V217" s="22">
        <f t="shared" si="47"/>
        <v>-489.3</v>
      </c>
      <c r="W217" s="22">
        <f t="shared" si="38"/>
        <v>122.65865</v>
      </c>
      <c r="X217" s="22">
        <f t="shared" si="39"/>
        <v>-492.3</v>
      </c>
      <c r="Y217" s="22">
        <f t="shared" si="40"/>
        <v>122.65865</v>
      </c>
      <c r="Z217" s="22"/>
      <c r="AA217" s="22">
        <f t="array" ref="AA217">IF(ROW(AA217)&lt;=COUNTA(V:V)*2,IF(MOD(ROW(AA217),2)=1,INDEX(V:V,(ROW(AA217)+1)/2),INDEX(X:X,ROW(AA217)/2)),"")</f>
        <v>-202.95</v>
      </c>
      <c r="AB217" s="22">
        <f t="array" ref="AB217">IF(ROW(AB217)&lt;=COUNTA(W:W)*2,IF(MOD(ROW(AB217),2)=1,INDEX(W:W,(ROW(AB217)+1)/2),INDEX(Y:Y,ROW(AB217)/2)),"")</f>
        <v>125.12805</v>
      </c>
    </row>
    <row r="218" spans="1:28" s="2" customFormat="1" x14ac:dyDescent="0.25">
      <c r="A218" s="19"/>
      <c r="B218" s="20"/>
      <c r="C218" s="21"/>
      <c r="D218" s="22"/>
      <c r="F218" s="34">
        <f t="shared" si="41"/>
        <v>-492.3</v>
      </c>
      <c r="G218" s="34">
        <f t="shared" si="42"/>
        <v>112.5</v>
      </c>
      <c r="H218" s="34">
        <f t="shared" si="36"/>
        <v>-495.3</v>
      </c>
      <c r="I218" s="34">
        <f t="shared" si="43"/>
        <v>112.5</v>
      </c>
      <c r="J218" s="20"/>
      <c r="K218" s="34">
        <f t="array" ref="K218">IF(ROW(K218)&lt;=COUNTA(F:F)*2,IF(MOD(ROW(K218),2)=1,INDEX(F:F,(ROW(K218)+1)/2),INDEX(H:H,ROW(K218)/2)),"")</f>
        <v>-205.95</v>
      </c>
      <c r="L218" s="34">
        <f t="array" ref="L218">IF(ROW(L218)&lt;=COUNTA(G:G)*2,IF(MOD(ROW(L218),2)=1,INDEX(G:G,(ROW(L218)+1)/2),INDEX(I:I,ROW(L218)/2)),"")</f>
        <v>112.5</v>
      </c>
      <c r="N218" s="21">
        <f t="shared" si="44"/>
        <v>-492.3</v>
      </c>
      <c r="O218" s="21">
        <f t="shared" si="45"/>
        <v>120.6</v>
      </c>
      <c r="P218" s="21">
        <f t="shared" si="37"/>
        <v>-495.3</v>
      </c>
      <c r="Q218" s="21">
        <f t="shared" si="46"/>
        <v>120.6</v>
      </c>
      <c r="R218" s="21"/>
      <c r="S218" s="21">
        <f t="array" ref="S218">IF(ROW(S218)&lt;=COUNTA(N:N)*2,IF(MOD(ROW(S218),2)=1,INDEX(N:N,(ROW(S218)+1)/2),INDEX(P:P,ROW(S218)/2)),"")</f>
        <v>-205.95</v>
      </c>
      <c r="T218" s="21">
        <f t="array" ref="T218">IF(ROW(T218)&lt;=COUNTA(O:O)*2,IF(MOD(ROW(T218),2)=1,INDEX(O:O,(ROW(T218)+1)/2),INDEX(Q:Q,ROW(T218)/2)),"")</f>
        <v>117.1</v>
      </c>
      <c r="V218" s="22">
        <f t="shared" si="47"/>
        <v>-492.3</v>
      </c>
      <c r="W218" s="22">
        <f t="shared" si="38"/>
        <v>122.65445</v>
      </c>
      <c r="X218" s="22">
        <f t="shared" si="39"/>
        <v>-495.3</v>
      </c>
      <c r="Y218" s="22">
        <f t="shared" si="40"/>
        <v>122.65445</v>
      </c>
      <c r="Z218" s="22"/>
      <c r="AA218" s="22">
        <f t="array" ref="AA218">IF(ROW(AA218)&lt;=COUNTA(V:V)*2,IF(MOD(ROW(AA218),2)=1,INDEX(V:V,(ROW(AA218)+1)/2),INDEX(X:X,ROW(AA218)/2)),"")</f>
        <v>-205.95</v>
      </c>
      <c r="AB218" s="22">
        <f t="array" ref="AB218">IF(ROW(AB218)&lt;=COUNTA(W:W)*2,IF(MOD(ROW(AB218),2)=1,INDEX(W:W,(ROW(AB218)+1)/2),INDEX(Y:Y,ROW(AB218)/2)),"")</f>
        <v>125.12805</v>
      </c>
    </row>
    <row r="219" spans="1:28" s="2" customFormat="1" x14ac:dyDescent="0.25">
      <c r="A219" s="19"/>
      <c r="B219" s="20"/>
      <c r="C219" s="21"/>
      <c r="D219" s="22"/>
      <c r="F219" s="34">
        <f t="shared" si="41"/>
        <v>-495.3</v>
      </c>
      <c r="G219" s="34">
        <f t="shared" si="42"/>
        <v>112.4</v>
      </c>
      <c r="H219" s="34">
        <f t="shared" si="36"/>
        <v>-498.3</v>
      </c>
      <c r="I219" s="34">
        <f t="shared" si="43"/>
        <v>112.4</v>
      </c>
      <c r="J219" s="20"/>
      <c r="K219" s="34">
        <f t="array" ref="K219">IF(ROW(K219)&lt;=COUNTA(F:F)*2,IF(MOD(ROW(K219),2)=1,INDEX(F:F,(ROW(K219)+1)/2),INDEX(H:H,ROW(K219)/2)),"")</f>
        <v>-205.95</v>
      </c>
      <c r="L219" s="34">
        <f t="array" ref="L219">IF(ROW(L219)&lt;=COUNTA(G:G)*2,IF(MOD(ROW(L219),2)=1,INDEX(G:G,(ROW(L219)+1)/2),INDEX(I:I,ROW(L219)/2)),"")</f>
        <v>112.4</v>
      </c>
      <c r="N219" s="21">
        <f t="shared" si="44"/>
        <v>-495.3</v>
      </c>
      <c r="O219" s="21">
        <f t="shared" si="45"/>
        <v>119</v>
      </c>
      <c r="P219" s="21">
        <f t="shared" si="37"/>
        <v>-498.3</v>
      </c>
      <c r="Q219" s="21">
        <f t="shared" si="46"/>
        <v>119</v>
      </c>
      <c r="R219" s="21"/>
      <c r="S219" s="21">
        <f t="array" ref="S219">IF(ROW(S219)&lt;=COUNTA(N:N)*2,IF(MOD(ROW(S219),2)=1,INDEX(N:N,(ROW(S219)+1)/2),INDEX(P:P,ROW(S219)/2)),"")</f>
        <v>-205.95</v>
      </c>
      <c r="T219" s="21">
        <f t="array" ref="T219">IF(ROW(T219)&lt;=COUNTA(O:O)*2,IF(MOD(ROW(T219),2)=1,INDEX(O:O,(ROW(T219)+1)/2),INDEX(Q:Q,ROW(T219)/2)),"")</f>
        <v>117.1</v>
      </c>
      <c r="V219" s="22">
        <f t="shared" si="47"/>
        <v>-495.3</v>
      </c>
      <c r="W219" s="22">
        <f t="shared" si="38"/>
        <v>122.65445</v>
      </c>
      <c r="X219" s="22">
        <f t="shared" si="39"/>
        <v>-498.3</v>
      </c>
      <c r="Y219" s="22">
        <f t="shared" si="40"/>
        <v>122.65445</v>
      </c>
      <c r="Z219" s="22"/>
      <c r="AA219" s="22">
        <f t="array" ref="AA219">IF(ROW(AA219)&lt;=COUNTA(V:V)*2,IF(MOD(ROW(AA219),2)=1,INDEX(V:V,(ROW(AA219)+1)/2),INDEX(X:X,ROW(AA219)/2)),"")</f>
        <v>-205.95</v>
      </c>
      <c r="AB219" s="22">
        <f t="array" ref="AB219">IF(ROW(AB219)&lt;=COUNTA(W:W)*2,IF(MOD(ROW(AB219),2)=1,INDEX(W:W,(ROW(AB219)+1)/2),INDEX(Y:Y,ROW(AB219)/2)),"")</f>
        <v>125.9158</v>
      </c>
    </row>
    <row r="220" spans="1:28" s="2" customFormat="1" x14ac:dyDescent="0.25">
      <c r="A220" s="19"/>
      <c r="B220" s="20"/>
      <c r="C220" s="21"/>
      <c r="D220" s="22"/>
      <c r="F220" s="34">
        <f t="shared" si="41"/>
        <v>-498.3</v>
      </c>
      <c r="G220" s="34">
        <f t="shared" si="42"/>
        <v>112.5</v>
      </c>
      <c r="H220" s="34">
        <f t="shared" si="36"/>
        <v>-501.3</v>
      </c>
      <c r="I220" s="34">
        <f t="shared" si="43"/>
        <v>112.5</v>
      </c>
      <c r="J220" s="20"/>
      <c r="K220" s="34">
        <f t="array" ref="K220">IF(ROW(K220)&lt;=COUNTA(F:F)*2,IF(MOD(ROW(K220),2)=1,INDEX(F:F,(ROW(K220)+1)/2),INDEX(H:H,ROW(K220)/2)),"")</f>
        <v>-208.95</v>
      </c>
      <c r="L220" s="34">
        <f t="array" ref="L220">IF(ROW(L220)&lt;=COUNTA(G:G)*2,IF(MOD(ROW(L220),2)=1,INDEX(G:G,(ROW(L220)+1)/2),INDEX(I:I,ROW(L220)/2)),"")</f>
        <v>112.4</v>
      </c>
      <c r="N220" s="21">
        <f t="shared" si="44"/>
        <v>-498.3</v>
      </c>
      <c r="O220" s="21">
        <f t="shared" si="45"/>
        <v>119.9</v>
      </c>
      <c r="P220" s="21">
        <f t="shared" si="37"/>
        <v>-501.3</v>
      </c>
      <c r="Q220" s="21">
        <f t="shared" si="46"/>
        <v>119.9</v>
      </c>
      <c r="R220" s="21"/>
      <c r="S220" s="21">
        <f t="array" ref="S220">IF(ROW(S220)&lt;=COUNTA(N:N)*2,IF(MOD(ROW(S220),2)=1,INDEX(N:N,(ROW(S220)+1)/2),INDEX(P:P,ROW(S220)/2)),"")</f>
        <v>-208.95</v>
      </c>
      <c r="T220" s="21">
        <f t="array" ref="T220">IF(ROW(T220)&lt;=COUNTA(O:O)*2,IF(MOD(ROW(T220),2)=1,INDEX(O:O,(ROW(T220)+1)/2),INDEX(Q:Q,ROW(T220)/2)),"")</f>
        <v>117.1</v>
      </c>
      <c r="V220" s="22">
        <f t="shared" si="47"/>
        <v>-498.3</v>
      </c>
      <c r="W220" s="22">
        <f t="shared" si="38"/>
        <v>122.6515</v>
      </c>
      <c r="X220" s="22">
        <f t="shared" si="39"/>
        <v>-501.3</v>
      </c>
      <c r="Y220" s="22">
        <f t="shared" si="40"/>
        <v>122.6515</v>
      </c>
      <c r="Z220" s="22"/>
      <c r="AA220" s="22">
        <f t="array" ref="AA220">IF(ROW(AA220)&lt;=COUNTA(V:V)*2,IF(MOD(ROW(AA220),2)=1,INDEX(V:V,(ROW(AA220)+1)/2),INDEX(X:X,ROW(AA220)/2)),"")</f>
        <v>-208.95</v>
      </c>
      <c r="AB220" s="22">
        <f t="array" ref="AB220">IF(ROW(AB220)&lt;=COUNTA(W:W)*2,IF(MOD(ROW(AB220),2)=1,INDEX(W:W,(ROW(AB220)+1)/2),INDEX(Y:Y,ROW(AB220)/2)),"")</f>
        <v>125.9158</v>
      </c>
    </row>
    <row r="221" spans="1:28" s="2" customFormat="1" x14ac:dyDescent="0.25">
      <c r="A221" s="19"/>
      <c r="B221" s="20"/>
      <c r="C221" s="21"/>
      <c r="D221" s="22"/>
      <c r="F221" s="34">
        <f t="shared" si="41"/>
        <v>-501.3</v>
      </c>
      <c r="G221" s="34">
        <f t="shared" si="42"/>
        <v>112.4</v>
      </c>
      <c r="H221" s="34">
        <f t="shared" si="36"/>
        <v>-504.3</v>
      </c>
      <c r="I221" s="34">
        <f t="shared" si="43"/>
        <v>112.4</v>
      </c>
      <c r="J221" s="20"/>
      <c r="K221" s="34">
        <f t="array" ref="K221">IF(ROW(K221)&lt;=COUNTA(F:F)*2,IF(MOD(ROW(K221),2)=1,INDEX(F:F,(ROW(K221)+1)/2),INDEX(H:H,ROW(K221)/2)),"")</f>
        <v>-208.95</v>
      </c>
      <c r="L221" s="34">
        <f t="array" ref="L221">IF(ROW(L221)&lt;=COUNTA(G:G)*2,IF(MOD(ROW(L221),2)=1,INDEX(G:G,(ROW(L221)+1)/2),INDEX(I:I,ROW(L221)/2)),"")</f>
        <v>112</v>
      </c>
      <c r="N221" s="21">
        <f t="shared" si="44"/>
        <v>-501.3</v>
      </c>
      <c r="O221" s="21">
        <f t="shared" si="45"/>
        <v>120.6</v>
      </c>
      <c r="P221" s="21">
        <f t="shared" si="37"/>
        <v>-504.3</v>
      </c>
      <c r="Q221" s="21">
        <f t="shared" si="46"/>
        <v>120.6</v>
      </c>
      <c r="R221" s="21"/>
      <c r="S221" s="21">
        <f t="array" ref="S221">IF(ROW(S221)&lt;=COUNTA(N:N)*2,IF(MOD(ROW(S221),2)=1,INDEX(N:N,(ROW(S221)+1)/2),INDEX(P:P,ROW(S221)/2)),"")</f>
        <v>-208.95</v>
      </c>
      <c r="T221" s="21">
        <f t="array" ref="T221">IF(ROW(T221)&lt;=COUNTA(O:O)*2,IF(MOD(ROW(T221),2)=1,INDEX(O:O,(ROW(T221)+1)/2),INDEX(Q:Q,ROW(T221)/2)),"")</f>
        <v>113.8</v>
      </c>
      <c r="V221" s="22">
        <f t="shared" si="47"/>
        <v>-501.3</v>
      </c>
      <c r="W221" s="22">
        <f t="shared" si="38"/>
        <v>122.65865</v>
      </c>
      <c r="X221" s="22">
        <f t="shared" si="39"/>
        <v>-504.3</v>
      </c>
      <c r="Y221" s="22">
        <f t="shared" si="40"/>
        <v>122.65865</v>
      </c>
      <c r="Z221" s="22"/>
      <c r="AA221" s="22">
        <f t="array" ref="AA221">IF(ROW(AA221)&lt;=COUNTA(V:V)*2,IF(MOD(ROW(AA221),2)=1,INDEX(V:V,(ROW(AA221)+1)/2),INDEX(X:X,ROW(AA221)/2)),"")</f>
        <v>-208.95</v>
      </c>
      <c r="AB221" s="22">
        <f t="array" ref="AB221">IF(ROW(AB221)&lt;=COUNTA(W:W)*2,IF(MOD(ROW(AB221),2)=1,INDEX(W:W,(ROW(AB221)+1)/2),INDEX(Y:Y,ROW(AB221)/2)),"")</f>
        <v>125.6219</v>
      </c>
    </row>
    <row r="222" spans="1:28" s="2" customFormat="1" x14ac:dyDescent="0.25">
      <c r="A222" s="19"/>
      <c r="B222" s="20"/>
      <c r="C222" s="21"/>
      <c r="D222" s="22"/>
      <c r="F222" s="34">
        <f t="shared" si="41"/>
        <v>-504.3</v>
      </c>
      <c r="G222" s="34">
        <f t="shared" si="42"/>
        <v>112.5</v>
      </c>
      <c r="H222" s="34">
        <f t="shared" si="36"/>
        <v>-507.3</v>
      </c>
      <c r="I222" s="34">
        <f t="shared" si="43"/>
        <v>112.5</v>
      </c>
      <c r="J222" s="20"/>
      <c r="K222" s="34">
        <f t="array" ref="K222">IF(ROW(K222)&lt;=COUNTA(F:F)*2,IF(MOD(ROW(K222),2)=1,INDEX(F:F,(ROW(K222)+1)/2),INDEX(H:H,ROW(K222)/2)),"")</f>
        <v>-211.95</v>
      </c>
      <c r="L222" s="34">
        <f t="array" ref="L222">IF(ROW(L222)&lt;=COUNTA(G:G)*2,IF(MOD(ROW(L222),2)=1,INDEX(G:G,(ROW(L222)+1)/2),INDEX(I:I,ROW(L222)/2)),"")</f>
        <v>112</v>
      </c>
      <c r="N222" s="21">
        <f t="shared" si="44"/>
        <v>-504.3</v>
      </c>
      <c r="O222" s="21">
        <f t="shared" si="45"/>
        <v>120.6</v>
      </c>
      <c r="P222" s="21">
        <f t="shared" si="37"/>
        <v>-507.3</v>
      </c>
      <c r="Q222" s="21">
        <f t="shared" si="46"/>
        <v>120.6</v>
      </c>
      <c r="R222" s="21"/>
      <c r="S222" s="21">
        <f t="array" ref="S222">IF(ROW(S222)&lt;=COUNTA(N:N)*2,IF(MOD(ROW(S222),2)=1,INDEX(N:N,(ROW(S222)+1)/2),INDEX(P:P,ROW(S222)/2)),"")</f>
        <v>-211.95</v>
      </c>
      <c r="T222" s="21">
        <f t="array" ref="T222">IF(ROW(T222)&lt;=COUNTA(O:O)*2,IF(MOD(ROW(T222),2)=1,INDEX(O:O,(ROW(T222)+1)/2),INDEX(Q:Q,ROW(T222)/2)),"")</f>
        <v>113.8</v>
      </c>
      <c r="V222" s="22">
        <f t="shared" si="47"/>
        <v>-504.3</v>
      </c>
      <c r="W222" s="22">
        <f t="shared" si="38"/>
        <v>122.66085</v>
      </c>
      <c r="X222" s="22">
        <f t="shared" si="39"/>
        <v>-507.3</v>
      </c>
      <c r="Y222" s="22">
        <f t="shared" si="40"/>
        <v>122.66085</v>
      </c>
      <c r="Z222" s="22"/>
      <c r="AA222" s="22">
        <f t="array" ref="AA222">IF(ROW(AA222)&lt;=COUNTA(V:V)*2,IF(MOD(ROW(AA222),2)=1,INDEX(V:V,(ROW(AA222)+1)/2),INDEX(X:X,ROW(AA222)/2)),"")</f>
        <v>-211.95</v>
      </c>
      <c r="AB222" s="22">
        <f t="array" ref="AB222">IF(ROW(AB222)&lt;=COUNTA(W:W)*2,IF(MOD(ROW(AB222),2)=1,INDEX(W:W,(ROW(AB222)+1)/2),INDEX(Y:Y,ROW(AB222)/2)),"")</f>
        <v>125.6219</v>
      </c>
    </row>
    <row r="223" spans="1:28" s="2" customFormat="1" x14ac:dyDescent="0.25">
      <c r="A223" s="19"/>
      <c r="B223" s="20"/>
      <c r="C223" s="21"/>
      <c r="D223" s="22"/>
      <c r="F223" s="34">
        <f t="shared" si="41"/>
        <v>-507.3</v>
      </c>
      <c r="G223" s="34">
        <f t="shared" si="42"/>
        <v>112.4</v>
      </c>
      <c r="H223" s="34">
        <f t="shared" si="36"/>
        <v>-510.3</v>
      </c>
      <c r="I223" s="34">
        <f t="shared" si="43"/>
        <v>112.4</v>
      </c>
      <c r="J223" s="20"/>
      <c r="K223" s="34">
        <f t="array" ref="K223">IF(ROW(K223)&lt;=COUNTA(F:F)*2,IF(MOD(ROW(K223),2)=1,INDEX(F:F,(ROW(K223)+1)/2),INDEX(H:H,ROW(K223)/2)),"")</f>
        <v>-211.95</v>
      </c>
      <c r="L223" s="34">
        <f t="array" ref="L223">IF(ROW(L223)&lt;=COUNTA(G:G)*2,IF(MOD(ROW(L223),2)=1,INDEX(G:G,(ROW(L223)+1)/2),INDEX(I:I,ROW(L223)/2)),"")</f>
        <v>112.4</v>
      </c>
      <c r="N223" s="21">
        <f t="shared" si="44"/>
        <v>-507.3</v>
      </c>
      <c r="O223" s="21">
        <f t="shared" si="45"/>
        <v>120.4</v>
      </c>
      <c r="P223" s="21">
        <f t="shared" si="37"/>
        <v>-510.3</v>
      </c>
      <c r="Q223" s="21">
        <f t="shared" si="46"/>
        <v>120.4</v>
      </c>
      <c r="R223" s="21"/>
      <c r="S223" s="21">
        <f t="array" ref="S223">IF(ROW(S223)&lt;=COUNTA(N:N)*2,IF(MOD(ROW(S223),2)=1,INDEX(N:N,(ROW(S223)+1)/2),INDEX(P:P,ROW(S223)/2)),"")</f>
        <v>-211.95</v>
      </c>
      <c r="T223" s="21">
        <f t="array" ref="T223">IF(ROW(T223)&lt;=COUNTA(O:O)*2,IF(MOD(ROW(T223),2)=1,INDEX(O:O,(ROW(T223)+1)/2),INDEX(Q:Q,ROW(T223)/2)),"")</f>
        <v>116.7</v>
      </c>
      <c r="V223" s="22">
        <f t="shared" si="47"/>
        <v>-507.3</v>
      </c>
      <c r="W223" s="22">
        <f t="shared" si="38"/>
        <v>122.6515</v>
      </c>
      <c r="X223" s="22">
        <f t="shared" si="39"/>
        <v>-510.3</v>
      </c>
      <c r="Y223" s="22">
        <f t="shared" si="40"/>
        <v>122.6515</v>
      </c>
      <c r="Z223" s="22"/>
      <c r="AA223" s="22">
        <f t="array" ref="AA223">IF(ROW(AA223)&lt;=COUNTA(V:V)*2,IF(MOD(ROW(AA223),2)=1,INDEX(V:V,(ROW(AA223)+1)/2),INDEX(X:X,ROW(AA223)/2)),"")</f>
        <v>-211.95</v>
      </c>
      <c r="AB223" s="22">
        <f t="array" ref="AB223">IF(ROW(AB223)&lt;=COUNTA(W:W)*2,IF(MOD(ROW(AB223),2)=1,INDEX(W:W,(ROW(AB223)+1)/2),INDEX(Y:Y,ROW(AB223)/2)),"")</f>
        <v>125.6369</v>
      </c>
    </row>
    <row r="224" spans="1:28" s="2" customFormat="1" x14ac:dyDescent="0.25">
      <c r="A224" s="19"/>
      <c r="B224" s="20"/>
      <c r="C224" s="21"/>
      <c r="D224" s="22"/>
      <c r="F224" s="34">
        <f t="shared" si="41"/>
        <v>-510.3</v>
      </c>
      <c r="G224" s="34">
        <f t="shared" si="42"/>
        <v>112.4</v>
      </c>
      <c r="H224" s="34">
        <f t="shared" si="36"/>
        <v>-513.3</v>
      </c>
      <c r="I224" s="34">
        <f t="shared" si="43"/>
        <v>112.4</v>
      </c>
      <c r="J224" s="20"/>
      <c r="K224" s="34">
        <f t="array" ref="K224">IF(ROW(K224)&lt;=COUNTA(F:F)*2,IF(MOD(ROW(K224),2)=1,INDEX(F:F,(ROW(K224)+1)/2),INDEX(H:H,ROW(K224)/2)),"")</f>
        <v>-213.35</v>
      </c>
      <c r="L224" s="34">
        <f t="array" ref="L224">IF(ROW(L224)&lt;=COUNTA(G:G)*2,IF(MOD(ROW(L224),2)=1,INDEX(G:G,(ROW(L224)+1)/2),INDEX(I:I,ROW(L224)/2)),"")</f>
        <v>112.4</v>
      </c>
      <c r="N224" s="21">
        <f t="shared" si="44"/>
        <v>-510.3</v>
      </c>
      <c r="O224" s="21">
        <f t="shared" si="45"/>
        <v>120.9</v>
      </c>
      <c r="P224" s="21">
        <f t="shared" si="37"/>
        <v>-513.3</v>
      </c>
      <c r="Q224" s="21">
        <f t="shared" si="46"/>
        <v>120.9</v>
      </c>
      <c r="R224" s="21"/>
      <c r="S224" s="21">
        <f t="array" ref="S224">IF(ROW(S224)&lt;=COUNTA(N:N)*2,IF(MOD(ROW(S224),2)=1,INDEX(N:N,(ROW(S224)+1)/2),INDEX(P:P,ROW(S224)/2)),"")</f>
        <v>-213.35</v>
      </c>
      <c r="T224" s="21">
        <f t="array" ref="T224">IF(ROW(T224)&lt;=COUNTA(O:O)*2,IF(MOD(ROW(T224),2)=1,INDEX(O:O,(ROW(T224)+1)/2),INDEX(Q:Q,ROW(T224)/2)),"")</f>
        <v>116.7</v>
      </c>
      <c r="V224" s="22">
        <f t="shared" si="47"/>
        <v>-510.3</v>
      </c>
      <c r="W224" s="22">
        <f t="shared" si="38"/>
        <v>122.65445</v>
      </c>
      <c r="X224" s="22">
        <f t="shared" si="39"/>
        <v>-513.3</v>
      </c>
      <c r="Y224" s="22">
        <f t="shared" si="40"/>
        <v>122.65445</v>
      </c>
      <c r="Z224" s="22"/>
      <c r="AA224" s="22">
        <f t="array" ref="AA224">IF(ROW(AA224)&lt;=COUNTA(V:V)*2,IF(MOD(ROW(AA224),2)=1,INDEX(V:V,(ROW(AA224)+1)/2),INDEX(X:X,ROW(AA224)/2)),"")</f>
        <v>-213.35</v>
      </c>
      <c r="AB224" s="22">
        <f t="array" ref="AB224">IF(ROW(AB224)&lt;=COUNTA(W:W)*2,IF(MOD(ROW(AB224),2)=1,INDEX(W:W,(ROW(AB224)+1)/2),INDEX(Y:Y,ROW(AB224)/2)),"")</f>
        <v>125.6369</v>
      </c>
    </row>
    <row r="225" spans="1:28" s="2" customFormat="1" x14ac:dyDescent="0.25">
      <c r="A225" s="19"/>
      <c r="B225" s="20"/>
      <c r="C225" s="21"/>
      <c r="D225" s="22"/>
      <c r="F225" s="34">
        <f t="shared" si="41"/>
        <v>-513.3</v>
      </c>
      <c r="G225" s="34">
        <f t="shared" si="42"/>
        <v>112.4</v>
      </c>
      <c r="H225" s="34">
        <f t="shared" si="36"/>
        <v>-516.3</v>
      </c>
      <c r="I225" s="34">
        <f t="shared" si="43"/>
        <v>112.4</v>
      </c>
      <c r="J225" s="20"/>
      <c r="K225" s="34">
        <f t="array" ref="K225">IF(ROW(K225)&lt;=COUNTA(F:F)*2,IF(MOD(ROW(K225),2)=1,INDEX(F:F,(ROW(K225)+1)/2),INDEX(H:H,ROW(K225)/2)),"")</f>
        <v>-213.35</v>
      </c>
      <c r="L225" s="34">
        <f t="array" ref="L225">IF(ROW(L225)&lt;=COUNTA(G:G)*2,IF(MOD(ROW(L225),2)=1,INDEX(G:G,(ROW(L225)+1)/2),INDEX(I:I,ROW(L225)/2)),"")</f>
        <v>112.4</v>
      </c>
      <c r="N225" s="21">
        <f t="shared" si="44"/>
        <v>-513.3</v>
      </c>
      <c r="O225" s="21">
        <f t="shared" si="45"/>
        <v>119.5</v>
      </c>
      <c r="P225" s="21">
        <f t="shared" si="37"/>
        <v>-516.3</v>
      </c>
      <c r="Q225" s="21">
        <f t="shared" si="46"/>
        <v>119.5</v>
      </c>
      <c r="R225" s="21"/>
      <c r="S225" s="21">
        <f t="array" ref="S225">IF(ROW(S225)&lt;=COUNTA(N:N)*2,IF(MOD(ROW(S225),2)=1,INDEX(N:N,(ROW(S225)+1)/2),INDEX(P:P,ROW(S225)/2)),"")</f>
        <v>-213.35</v>
      </c>
      <c r="T225" s="21">
        <f t="array" ref="T225">IF(ROW(T225)&lt;=COUNTA(O:O)*2,IF(MOD(ROW(T225),2)=1,INDEX(O:O,(ROW(T225)+1)/2),INDEX(Q:Q,ROW(T225)/2)),"")</f>
        <v>116.7</v>
      </c>
      <c r="V225" s="22">
        <f t="shared" si="47"/>
        <v>-513.3</v>
      </c>
      <c r="W225" s="22">
        <f t="shared" si="38"/>
        <v>122.65045</v>
      </c>
      <c r="X225" s="22">
        <f t="shared" si="39"/>
        <v>-516.3</v>
      </c>
      <c r="Y225" s="22">
        <f t="shared" si="40"/>
        <v>122.65045</v>
      </c>
      <c r="Z225" s="22"/>
      <c r="AA225" s="22">
        <f t="array" ref="AA225">IF(ROW(AA225)&lt;=COUNTA(V:V)*2,IF(MOD(ROW(AA225),2)=1,INDEX(V:V,(ROW(AA225)+1)/2),INDEX(X:X,ROW(AA225)/2)),"")</f>
        <v>-213.35</v>
      </c>
      <c r="AB225" s="22">
        <f t="array" ref="AB225">IF(ROW(AB225)&lt;=COUNTA(W:W)*2,IF(MOD(ROW(AB225),2)=1,INDEX(W:W,(ROW(AB225)+1)/2),INDEX(Y:Y,ROW(AB225)/2)),"")</f>
        <v>125.219925</v>
      </c>
    </row>
    <row r="226" spans="1:28" s="2" customFormat="1" x14ac:dyDescent="0.25">
      <c r="A226" s="19"/>
      <c r="B226" s="20"/>
      <c r="C226" s="21"/>
      <c r="D226" s="22"/>
      <c r="F226" s="34">
        <f t="shared" si="41"/>
        <v>-516.3</v>
      </c>
      <c r="G226" s="34">
        <f t="shared" si="42"/>
        <v>112.4</v>
      </c>
      <c r="H226" s="34">
        <f t="shared" si="36"/>
        <v>-517.8</v>
      </c>
      <c r="I226" s="34">
        <f t="shared" si="43"/>
        <v>112.4</v>
      </c>
      <c r="J226" s="20"/>
      <c r="K226" s="34">
        <f t="array" ref="K226">IF(ROW(K226)&lt;=COUNTA(F:F)*2,IF(MOD(ROW(K226),2)=1,INDEX(F:F,(ROW(K226)+1)/2),INDEX(H:H,ROW(K226)/2)),"")</f>
        <v>-216.45</v>
      </c>
      <c r="L226" s="34">
        <f t="array" ref="L226">IF(ROW(L226)&lt;=COUNTA(G:G)*2,IF(MOD(ROW(L226),2)=1,INDEX(G:G,(ROW(L226)+1)/2),INDEX(I:I,ROW(L226)/2)),"")</f>
        <v>112.4</v>
      </c>
      <c r="N226" s="21">
        <f t="shared" si="44"/>
        <v>-516.3</v>
      </c>
      <c r="O226" s="21">
        <f t="shared" si="45"/>
        <v>118.6</v>
      </c>
      <c r="P226" s="21">
        <f t="shared" si="37"/>
        <v>-517.8</v>
      </c>
      <c r="Q226" s="21">
        <f t="shared" si="46"/>
        <v>118.6</v>
      </c>
      <c r="R226" s="21"/>
      <c r="S226" s="21">
        <f t="array" ref="S226">IF(ROW(S226)&lt;=COUNTA(N:N)*2,IF(MOD(ROW(S226),2)=1,INDEX(N:N,(ROW(S226)+1)/2),INDEX(P:P,ROW(S226)/2)),"")</f>
        <v>-216.45</v>
      </c>
      <c r="T226" s="21">
        <f t="array" ref="T226">IF(ROW(T226)&lt;=COUNTA(O:O)*2,IF(MOD(ROW(T226),2)=1,INDEX(O:O,(ROW(T226)+1)/2),INDEX(Q:Q,ROW(T226)/2)),"")</f>
        <v>116.7</v>
      </c>
      <c r="V226" s="22">
        <f t="shared" si="47"/>
        <v>-516.3</v>
      </c>
      <c r="W226" s="22">
        <f t="shared" si="38"/>
        <v>122.6582</v>
      </c>
      <c r="X226" s="22">
        <f t="shared" si="39"/>
        <v>-517.8</v>
      </c>
      <c r="Y226" s="22">
        <f t="shared" si="40"/>
        <v>122.6582</v>
      </c>
      <c r="Z226" s="22"/>
      <c r="AA226" s="22">
        <f t="array" ref="AA226">IF(ROW(AA226)&lt;=COUNTA(V:V)*2,IF(MOD(ROW(AA226),2)=1,INDEX(V:V,(ROW(AA226)+1)/2),INDEX(X:X,ROW(AA226)/2)),"")</f>
        <v>-216.45</v>
      </c>
      <c r="AB226" s="22">
        <f t="array" ref="AB226">IF(ROW(AB226)&lt;=COUNTA(W:W)*2,IF(MOD(ROW(AB226),2)=1,INDEX(W:W,(ROW(AB226)+1)/2),INDEX(Y:Y,ROW(AB226)/2)),"")</f>
        <v>125.219925</v>
      </c>
    </row>
    <row r="227" spans="1:28" s="2" customFormat="1" x14ac:dyDescent="0.25">
      <c r="A227" s="19"/>
      <c r="B227" s="20"/>
      <c r="C227" s="21"/>
      <c r="D227" s="22"/>
      <c r="F227" s="34">
        <f t="shared" si="41"/>
        <v>-517.8</v>
      </c>
      <c r="G227" s="34">
        <f t="shared" si="42"/>
        <v>112.4</v>
      </c>
      <c r="H227" s="34">
        <f t="shared" si="36"/>
        <v>-520.8</v>
      </c>
      <c r="I227" s="34">
        <f t="shared" si="43"/>
        <v>112.4</v>
      </c>
      <c r="J227" s="20"/>
      <c r="K227" s="34">
        <f t="array" ref="K227">IF(ROW(K227)&lt;=COUNTA(F:F)*2,IF(MOD(ROW(K227),2)=1,INDEX(F:F,(ROW(K227)+1)/2),INDEX(H:H,ROW(K227)/2)),"")</f>
        <v>-216.45</v>
      </c>
      <c r="L227" s="34">
        <f t="array" ref="L227">IF(ROW(L227)&lt;=COUNTA(G:G)*2,IF(MOD(ROW(L227),2)=1,INDEX(G:G,(ROW(L227)+1)/2),INDEX(I:I,ROW(L227)/2)),"")</f>
        <v>112.5</v>
      </c>
      <c r="N227" s="21">
        <f t="shared" si="44"/>
        <v>-517.8</v>
      </c>
      <c r="O227" s="21">
        <f t="shared" si="45"/>
        <v>119</v>
      </c>
      <c r="P227" s="21">
        <f t="shared" si="37"/>
        <v>-520.8</v>
      </c>
      <c r="Q227" s="21">
        <f t="shared" si="46"/>
        <v>119</v>
      </c>
      <c r="R227" s="21"/>
      <c r="S227" s="21">
        <f t="array" ref="S227">IF(ROW(S227)&lt;=COUNTA(N:N)*2,IF(MOD(ROW(S227),2)=1,INDEX(N:N,(ROW(S227)+1)/2),INDEX(P:P,ROW(S227)/2)),"")</f>
        <v>-216.45</v>
      </c>
      <c r="T227" s="21">
        <f t="array" ref="T227">IF(ROW(T227)&lt;=COUNTA(O:O)*2,IF(MOD(ROW(T227),2)=1,INDEX(O:O,(ROW(T227)+1)/2),INDEX(Q:Q,ROW(T227)/2)),"")</f>
        <v>115.5</v>
      </c>
      <c r="V227" s="22">
        <f t="shared" si="47"/>
        <v>-517.8</v>
      </c>
      <c r="W227" s="22">
        <f t="shared" si="38"/>
        <v>122.660725</v>
      </c>
      <c r="X227" s="22">
        <f t="shared" si="39"/>
        <v>-520.8</v>
      </c>
      <c r="Y227" s="22">
        <f t="shared" si="40"/>
        <v>122.660725</v>
      </c>
      <c r="Z227" s="22"/>
      <c r="AA227" s="22">
        <f t="array" ref="AA227">IF(ROW(AA227)&lt;=COUNTA(V:V)*2,IF(MOD(ROW(AA227),2)=1,INDEX(V:V,(ROW(AA227)+1)/2),INDEX(X:X,ROW(AA227)/2)),"")</f>
        <v>-216.45</v>
      </c>
      <c r="AB227" s="22">
        <f t="array" ref="AB227">IF(ROW(AB227)&lt;=COUNTA(W:W)*2,IF(MOD(ROW(AB227),2)=1,INDEX(W:W,(ROW(AB227)+1)/2),INDEX(Y:Y,ROW(AB227)/2)),"")</f>
        <v>125.36645</v>
      </c>
    </row>
    <row r="228" spans="1:28" s="2" customFormat="1" x14ac:dyDescent="0.25">
      <c r="A228" s="19"/>
      <c r="B228" s="20"/>
      <c r="C228" s="21"/>
      <c r="D228" s="22"/>
      <c r="F228" s="34">
        <f t="shared" si="41"/>
        <v>-520.8</v>
      </c>
      <c r="G228" s="34">
        <f t="shared" si="42"/>
        <v>111.7</v>
      </c>
      <c r="H228" s="34">
        <f t="shared" si="36"/>
        <v>-523.8</v>
      </c>
      <c r="I228" s="34">
        <f t="shared" si="43"/>
        <v>111.7</v>
      </c>
      <c r="J228" s="20"/>
      <c r="K228" s="34">
        <f t="array" ref="K228">IF(ROW(K228)&lt;=COUNTA(F:F)*2,IF(MOD(ROW(K228),2)=1,INDEX(F:F,(ROW(K228)+1)/2),INDEX(H:H,ROW(K228)/2)),"")</f>
        <v>-219.45</v>
      </c>
      <c r="L228" s="34">
        <f t="array" ref="L228">IF(ROW(L228)&lt;=COUNTA(G:G)*2,IF(MOD(ROW(L228),2)=1,INDEX(G:G,(ROW(L228)+1)/2),INDEX(I:I,ROW(L228)/2)),"")</f>
        <v>112.5</v>
      </c>
      <c r="N228" s="21">
        <f t="shared" si="44"/>
        <v>-520.8</v>
      </c>
      <c r="O228" s="21">
        <f t="shared" si="45"/>
        <v>120.7</v>
      </c>
      <c r="P228" s="21">
        <f t="shared" si="37"/>
        <v>-523.8</v>
      </c>
      <c r="Q228" s="21">
        <f t="shared" si="46"/>
        <v>120.7</v>
      </c>
      <c r="R228" s="21"/>
      <c r="S228" s="21">
        <f t="array" ref="S228">IF(ROW(S228)&lt;=COUNTA(N:N)*2,IF(MOD(ROW(S228),2)=1,INDEX(N:N,(ROW(S228)+1)/2),INDEX(P:P,ROW(S228)/2)),"")</f>
        <v>-219.45</v>
      </c>
      <c r="T228" s="21">
        <f t="array" ref="T228">IF(ROW(T228)&lt;=COUNTA(O:O)*2,IF(MOD(ROW(T228),2)=1,INDEX(O:O,(ROW(T228)+1)/2),INDEX(Q:Q,ROW(T228)/2)),"")</f>
        <v>115.5</v>
      </c>
      <c r="V228" s="22">
        <f t="shared" si="47"/>
        <v>-520.8</v>
      </c>
      <c r="W228" s="22">
        <f t="shared" si="38"/>
        <v>122.6582</v>
      </c>
      <c r="X228" s="22">
        <f t="shared" si="39"/>
        <v>-523.8</v>
      </c>
      <c r="Y228" s="22">
        <f t="shared" si="40"/>
        <v>122.6582</v>
      </c>
      <c r="Z228" s="22"/>
      <c r="AA228" s="22">
        <f t="array" ref="AA228">IF(ROW(AA228)&lt;=COUNTA(V:V)*2,IF(MOD(ROW(AA228),2)=1,INDEX(V:V,(ROW(AA228)+1)/2),INDEX(X:X,ROW(AA228)/2)),"")</f>
        <v>-219.45</v>
      </c>
      <c r="AB228" s="22">
        <f t="array" ref="AB228">IF(ROW(AB228)&lt;=COUNTA(W:W)*2,IF(MOD(ROW(AB228),2)=1,INDEX(W:W,(ROW(AB228)+1)/2),INDEX(Y:Y,ROW(AB228)/2)),"")</f>
        <v>125.36645</v>
      </c>
    </row>
    <row r="229" spans="1:28" s="2" customFormat="1" x14ac:dyDescent="0.25">
      <c r="A229" s="19"/>
      <c r="B229" s="20"/>
      <c r="C229" s="21"/>
      <c r="D229" s="22"/>
      <c r="F229" s="34">
        <f t="shared" si="41"/>
        <v>-523.8</v>
      </c>
      <c r="G229" s="34">
        <f t="shared" si="42"/>
        <v>112.3</v>
      </c>
      <c r="H229" s="34">
        <f t="shared" si="36"/>
        <v>-526.8</v>
      </c>
      <c r="I229" s="34">
        <f t="shared" si="43"/>
        <v>112.3</v>
      </c>
      <c r="J229" s="20"/>
      <c r="K229" s="34">
        <f t="array" ref="K229">IF(ROW(K229)&lt;=COUNTA(F:F)*2,IF(MOD(ROW(K229),2)=1,INDEX(F:F,(ROW(K229)+1)/2),INDEX(H:H,ROW(K229)/2)),"")</f>
        <v>-219.45</v>
      </c>
      <c r="L229" s="34">
        <f t="array" ref="L229">IF(ROW(L229)&lt;=COUNTA(G:G)*2,IF(MOD(ROW(L229),2)=1,INDEX(G:G,(ROW(L229)+1)/2),INDEX(I:I,ROW(L229)/2)),"")</f>
        <v>112.5</v>
      </c>
      <c r="N229" s="21">
        <f t="shared" si="44"/>
        <v>-523.8</v>
      </c>
      <c r="O229" s="21">
        <f t="shared" si="45"/>
        <v>119.6</v>
      </c>
      <c r="P229" s="21">
        <f t="shared" si="37"/>
        <v>-526.8</v>
      </c>
      <c r="Q229" s="21">
        <f t="shared" si="46"/>
        <v>119.6</v>
      </c>
      <c r="R229" s="21"/>
      <c r="S229" s="21">
        <f t="array" ref="S229">IF(ROW(S229)&lt;=COUNTA(N:N)*2,IF(MOD(ROW(S229),2)=1,INDEX(N:N,(ROW(S229)+1)/2),INDEX(P:P,ROW(S229)/2)),"")</f>
        <v>-219.45</v>
      </c>
      <c r="T229" s="21">
        <f t="array" ref="T229">IF(ROW(T229)&lt;=COUNTA(O:O)*2,IF(MOD(ROW(T229),2)=1,INDEX(O:O,(ROW(T229)+1)/2),INDEX(Q:Q,ROW(T229)/2)),"")</f>
        <v>121.1</v>
      </c>
      <c r="V229" s="22">
        <f t="shared" si="47"/>
        <v>-523.8</v>
      </c>
      <c r="W229" s="22">
        <f t="shared" si="38"/>
        <v>122.6579</v>
      </c>
      <c r="X229" s="22">
        <f t="shared" si="39"/>
        <v>-526.8</v>
      </c>
      <c r="Y229" s="22">
        <f t="shared" si="40"/>
        <v>122.6579</v>
      </c>
      <c r="Z229" s="22"/>
      <c r="AA229" s="22">
        <f t="array" ref="AA229">IF(ROW(AA229)&lt;=COUNTA(V:V)*2,IF(MOD(ROW(AA229),2)=1,INDEX(V:V,(ROW(AA229)+1)/2),INDEX(X:X,ROW(AA229)/2)),"")</f>
        <v>-219.45</v>
      </c>
      <c r="AB229" s="22">
        <f t="array" ref="AB229">IF(ROW(AB229)&lt;=COUNTA(W:W)*2,IF(MOD(ROW(AB229),2)=1,INDEX(W:W,(ROW(AB229)+1)/2),INDEX(Y:Y,ROW(AB229)/2)),"")</f>
        <v>125.2514</v>
      </c>
    </row>
    <row r="230" spans="1:28" s="2" customFormat="1" x14ac:dyDescent="0.25">
      <c r="A230" s="19"/>
      <c r="B230" s="20"/>
      <c r="C230" s="21"/>
      <c r="D230" s="22"/>
      <c r="F230" s="34">
        <f t="shared" si="41"/>
        <v>-526.8</v>
      </c>
      <c r="G230" s="34">
        <f t="shared" si="42"/>
        <v>112.5</v>
      </c>
      <c r="H230" s="34">
        <f t="shared" si="36"/>
        <v>-529.8</v>
      </c>
      <c r="I230" s="34">
        <f t="shared" si="43"/>
        <v>112.5</v>
      </c>
      <c r="J230" s="20"/>
      <c r="K230" s="34">
        <f t="array" ref="K230">IF(ROW(K230)&lt;=COUNTA(F:F)*2,IF(MOD(ROW(K230),2)=1,INDEX(F:F,(ROW(K230)+1)/2),INDEX(H:H,ROW(K230)/2)),"")</f>
        <v>-221.65</v>
      </c>
      <c r="L230" s="34">
        <f t="array" ref="L230">IF(ROW(L230)&lt;=COUNTA(G:G)*2,IF(MOD(ROW(L230),2)=1,INDEX(G:G,(ROW(L230)+1)/2),INDEX(I:I,ROW(L230)/2)),"")</f>
        <v>112.5</v>
      </c>
      <c r="N230" s="21">
        <f t="shared" si="44"/>
        <v>-526.8</v>
      </c>
      <c r="O230" s="21">
        <f t="shared" si="45"/>
        <v>119.2</v>
      </c>
      <c r="P230" s="21">
        <f t="shared" si="37"/>
        <v>-529.8</v>
      </c>
      <c r="Q230" s="21">
        <f t="shared" si="46"/>
        <v>119.2</v>
      </c>
      <c r="R230" s="21"/>
      <c r="S230" s="21">
        <f t="array" ref="S230">IF(ROW(S230)&lt;=COUNTA(N:N)*2,IF(MOD(ROW(S230),2)=1,INDEX(N:N,(ROW(S230)+1)/2),INDEX(P:P,ROW(S230)/2)),"")</f>
        <v>-221.65</v>
      </c>
      <c r="T230" s="21">
        <f t="array" ref="T230">IF(ROW(T230)&lt;=COUNTA(O:O)*2,IF(MOD(ROW(T230),2)=1,INDEX(O:O,(ROW(T230)+1)/2),INDEX(Q:Q,ROW(T230)/2)),"")</f>
        <v>121.1</v>
      </c>
      <c r="V230" s="22">
        <f t="shared" si="47"/>
        <v>-526.8</v>
      </c>
      <c r="W230" s="22">
        <f t="shared" si="38"/>
        <v>122.660725</v>
      </c>
      <c r="X230" s="22">
        <f t="shared" si="39"/>
        <v>-529.8</v>
      </c>
      <c r="Y230" s="22">
        <f t="shared" si="40"/>
        <v>122.660725</v>
      </c>
      <c r="Z230" s="22"/>
      <c r="AA230" s="22">
        <f t="array" ref="AA230">IF(ROW(AA230)&lt;=COUNTA(V:V)*2,IF(MOD(ROW(AA230),2)=1,INDEX(V:V,(ROW(AA230)+1)/2),INDEX(X:X,ROW(AA230)/2)),"")</f>
        <v>-221.65</v>
      </c>
      <c r="AB230" s="22">
        <f t="array" ref="AB230">IF(ROW(AB230)&lt;=COUNTA(W:W)*2,IF(MOD(ROW(AB230),2)=1,INDEX(W:W,(ROW(AB230)+1)/2),INDEX(Y:Y,ROW(AB230)/2)),"")</f>
        <v>125.2514</v>
      </c>
    </row>
    <row r="231" spans="1:28" s="2" customFormat="1" x14ac:dyDescent="0.25">
      <c r="A231" s="19"/>
      <c r="B231" s="20"/>
      <c r="C231" s="21"/>
      <c r="D231" s="22"/>
      <c r="F231" s="34">
        <f t="shared" si="41"/>
        <v>-529.8</v>
      </c>
      <c r="G231" s="34">
        <f t="shared" si="42"/>
        <v>112.4</v>
      </c>
      <c r="H231" s="34">
        <f t="shared" si="36"/>
        <v>-532.8</v>
      </c>
      <c r="I231" s="34">
        <f t="shared" si="43"/>
        <v>112.4</v>
      </c>
      <c r="J231" s="20"/>
      <c r="K231" s="34">
        <f t="array" ref="K231">IF(ROW(K231)&lt;=COUNTA(F:F)*2,IF(MOD(ROW(K231),2)=1,INDEX(F:F,(ROW(K231)+1)/2),INDEX(H:H,ROW(K231)/2)),"")</f>
        <v>-221.65</v>
      </c>
      <c r="L231" s="34">
        <f t="array" ref="L231">IF(ROW(L231)&lt;=COUNTA(G:G)*2,IF(MOD(ROW(L231),2)=1,INDEX(G:G,(ROW(L231)+1)/2),INDEX(I:I,ROW(L231)/2)),"")</f>
        <v>112.5</v>
      </c>
      <c r="N231" s="21">
        <f t="shared" si="44"/>
        <v>-529.8</v>
      </c>
      <c r="O231" s="21">
        <f t="shared" si="45"/>
        <v>116.4</v>
      </c>
      <c r="P231" s="21">
        <f t="shared" si="37"/>
        <v>-532.8</v>
      </c>
      <c r="Q231" s="21">
        <f t="shared" si="46"/>
        <v>116.4</v>
      </c>
      <c r="R231" s="21"/>
      <c r="S231" s="21">
        <f t="array" ref="S231">IF(ROW(S231)&lt;=COUNTA(N:N)*2,IF(MOD(ROW(S231),2)=1,INDEX(N:N,(ROW(S231)+1)/2),INDEX(P:P,ROW(S231)/2)),"")</f>
        <v>-221.65</v>
      </c>
      <c r="T231" s="21">
        <f t="array" ref="T231">IF(ROW(T231)&lt;=COUNTA(O:O)*2,IF(MOD(ROW(T231),2)=1,INDEX(O:O,(ROW(T231)+1)/2),INDEX(Q:Q,ROW(T231)/2)),"")</f>
        <v>114.4</v>
      </c>
      <c r="V231" s="22">
        <f t="shared" si="47"/>
        <v>-529.8</v>
      </c>
      <c r="W231" s="22">
        <f t="shared" si="38"/>
        <v>122.660725</v>
      </c>
      <c r="X231" s="22">
        <f t="shared" si="39"/>
        <v>-532.8</v>
      </c>
      <c r="Y231" s="22">
        <f t="shared" si="40"/>
        <v>122.660725</v>
      </c>
      <c r="Z231" s="22"/>
      <c r="AA231" s="22">
        <f t="array" ref="AA231">IF(ROW(AA231)&lt;=COUNTA(V:V)*2,IF(MOD(ROW(AA231),2)=1,INDEX(V:V,(ROW(AA231)+1)/2),INDEX(X:X,ROW(AA231)/2)),"")</f>
        <v>-221.65</v>
      </c>
      <c r="AB231" s="22">
        <f t="array" ref="AB231">IF(ROW(AB231)&lt;=COUNTA(W:W)*2,IF(MOD(ROW(AB231),2)=1,INDEX(W:W,(ROW(AB231)+1)/2),INDEX(Y:Y,ROW(AB231)/2)),"")</f>
        <v>125.250425</v>
      </c>
    </row>
    <row r="232" spans="1:28" s="2" customFormat="1" x14ac:dyDescent="0.25">
      <c r="A232" s="19"/>
      <c r="B232" s="20"/>
      <c r="C232" s="21"/>
      <c r="D232" s="22"/>
      <c r="F232" s="34">
        <f t="shared" si="41"/>
        <v>-532.8</v>
      </c>
      <c r="G232" s="34">
        <f t="shared" si="42"/>
        <v>112.3</v>
      </c>
      <c r="H232" s="34">
        <f t="shared" si="36"/>
        <v>-535.8</v>
      </c>
      <c r="I232" s="34">
        <f t="shared" si="43"/>
        <v>112.3</v>
      </c>
      <c r="J232" s="20"/>
      <c r="K232" s="34">
        <f t="array" ref="K232">IF(ROW(K232)&lt;=COUNTA(F:F)*2,IF(MOD(ROW(K232),2)=1,INDEX(F:F,(ROW(K232)+1)/2),INDEX(H:H,ROW(K232)/2)),"")</f>
        <v>-223.95</v>
      </c>
      <c r="L232" s="34">
        <f t="array" ref="L232">IF(ROW(L232)&lt;=COUNTA(G:G)*2,IF(MOD(ROW(L232),2)=1,INDEX(G:G,(ROW(L232)+1)/2),INDEX(I:I,ROW(L232)/2)),"")</f>
        <v>112.5</v>
      </c>
      <c r="N232" s="21">
        <f t="shared" si="44"/>
        <v>-532.8</v>
      </c>
      <c r="O232" s="21">
        <f t="shared" si="45"/>
        <v>116</v>
      </c>
      <c r="P232" s="21">
        <f t="shared" si="37"/>
        <v>-535.8</v>
      </c>
      <c r="Q232" s="21">
        <f t="shared" si="46"/>
        <v>116</v>
      </c>
      <c r="R232" s="21"/>
      <c r="S232" s="21">
        <f t="array" ref="S232">IF(ROW(S232)&lt;=COUNTA(N:N)*2,IF(MOD(ROW(S232),2)=1,INDEX(N:N,(ROW(S232)+1)/2),INDEX(P:P,ROW(S232)/2)),"")</f>
        <v>-223.95</v>
      </c>
      <c r="T232" s="21">
        <f t="array" ref="T232">IF(ROW(T232)&lt;=COUNTA(O:O)*2,IF(MOD(ROW(T232),2)=1,INDEX(O:O,(ROW(T232)+1)/2),INDEX(Q:Q,ROW(T232)/2)),"")</f>
        <v>114.4</v>
      </c>
      <c r="V232" s="22">
        <f t="shared" si="47"/>
        <v>-532.8</v>
      </c>
      <c r="W232" s="22">
        <f t="shared" si="38"/>
        <v>122.660725</v>
      </c>
      <c r="X232" s="22">
        <f t="shared" si="39"/>
        <v>-535.8</v>
      </c>
      <c r="Y232" s="22">
        <f t="shared" si="40"/>
        <v>122.660725</v>
      </c>
      <c r="Z232" s="22"/>
      <c r="AA232" s="22">
        <f t="array" ref="AA232">IF(ROW(AA232)&lt;=COUNTA(V:V)*2,IF(MOD(ROW(AA232),2)=1,INDEX(V:V,(ROW(AA232)+1)/2),INDEX(X:X,ROW(AA232)/2)),"")</f>
        <v>-223.95</v>
      </c>
      <c r="AB232" s="22">
        <f t="array" ref="AB232">IF(ROW(AB232)&lt;=COUNTA(W:W)*2,IF(MOD(ROW(AB232),2)=1,INDEX(W:W,(ROW(AB232)+1)/2),INDEX(Y:Y,ROW(AB232)/2)),"")</f>
        <v>125.250425</v>
      </c>
    </row>
    <row r="233" spans="1:28" s="2" customFormat="1" x14ac:dyDescent="0.25">
      <c r="A233" s="19"/>
      <c r="B233" s="20"/>
      <c r="C233" s="21"/>
      <c r="D233" s="22"/>
      <c r="F233" s="34">
        <f t="shared" si="41"/>
        <v>-535.8</v>
      </c>
      <c r="G233" s="34">
        <f t="shared" si="42"/>
        <v>112.3</v>
      </c>
      <c r="H233" s="34">
        <f t="shared" si="36"/>
        <v>-538.8</v>
      </c>
      <c r="I233" s="34">
        <f t="shared" si="43"/>
        <v>112.3</v>
      </c>
      <c r="J233" s="20"/>
      <c r="K233" s="34">
        <f t="array" ref="K233">IF(ROW(K233)&lt;=COUNTA(F:F)*2,IF(MOD(ROW(K233),2)=1,INDEX(F:F,(ROW(K233)+1)/2),INDEX(H:H,ROW(K233)/2)),"")</f>
        <v>-223.95</v>
      </c>
      <c r="L233" s="34">
        <f t="array" ref="L233">IF(ROW(L233)&lt;=COUNTA(G:G)*2,IF(MOD(ROW(L233),2)=1,INDEX(G:G,(ROW(L233)+1)/2),INDEX(I:I,ROW(L233)/2)),"")</f>
        <v>112.5</v>
      </c>
      <c r="N233" s="21">
        <f t="shared" si="44"/>
        <v>-535.8</v>
      </c>
      <c r="O233" s="21">
        <f t="shared" si="45"/>
        <v>120</v>
      </c>
      <c r="P233" s="21">
        <f t="shared" si="37"/>
        <v>-538.8</v>
      </c>
      <c r="Q233" s="21">
        <f t="shared" si="46"/>
        <v>120</v>
      </c>
      <c r="R233" s="21"/>
      <c r="S233" s="21">
        <f t="array" ref="S233">IF(ROW(S233)&lt;=COUNTA(N:N)*2,IF(MOD(ROW(S233),2)=1,INDEX(N:N,(ROW(S233)+1)/2),INDEX(P:P,ROW(S233)/2)),"")</f>
        <v>-223.95</v>
      </c>
      <c r="T233" s="21">
        <f t="array" ref="T233">IF(ROW(T233)&lt;=COUNTA(O:O)*2,IF(MOD(ROW(T233),2)=1,INDEX(O:O,(ROW(T233)+1)/2),INDEX(Q:Q,ROW(T233)/2)),"")</f>
        <v>117.4</v>
      </c>
      <c r="V233" s="22">
        <f t="shared" si="47"/>
        <v>-535.8</v>
      </c>
      <c r="W233" s="22">
        <f t="shared" si="38"/>
        <v>122.660725</v>
      </c>
      <c r="X233" s="22">
        <f t="shared" si="39"/>
        <v>-538.8</v>
      </c>
      <c r="Y233" s="22">
        <f t="shared" si="40"/>
        <v>122.660725</v>
      </c>
      <c r="Z233" s="22"/>
      <c r="AA233" s="22">
        <f t="array" ref="AA233">IF(ROW(AA233)&lt;=COUNTA(V:V)*2,IF(MOD(ROW(AA233),2)=1,INDEX(V:V,(ROW(AA233)+1)/2),INDEX(X:X,ROW(AA233)/2)),"")</f>
        <v>-223.95</v>
      </c>
      <c r="AB233" s="22">
        <f t="array" ref="AB233">IF(ROW(AB233)&lt;=COUNTA(W:W)*2,IF(MOD(ROW(AB233),2)=1,INDEX(W:W,(ROW(AB233)+1)/2),INDEX(Y:Y,ROW(AB233)/2)),"")</f>
        <v>125.27465</v>
      </c>
    </row>
    <row r="234" spans="1:28" s="2" customFormat="1" x14ac:dyDescent="0.25">
      <c r="A234" s="19"/>
      <c r="B234" s="20"/>
      <c r="C234" s="21"/>
      <c r="D234" s="22"/>
      <c r="F234" s="34">
        <f t="shared" si="41"/>
        <v>-538.8</v>
      </c>
      <c r="G234" s="34">
        <f t="shared" si="42"/>
        <v>112.4</v>
      </c>
      <c r="H234" s="34">
        <f t="shared" si="36"/>
        <v>-541.8</v>
      </c>
      <c r="I234" s="34">
        <f t="shared" si="43"/>
        <v>112.4</v>
      </c>
      <c r="J234" s="20"/>
      <c r="K234" s="34">
        <f t="array" ref="K234">IF(ROW(K234)&lt;=COUNTA(F:F)*2,IF(MOD(ROW(K234),2)=1,INDEX(F:F,(ROW(K234)+1)/2),INDEX(H:H,ROW(K234)/2)),"")</f>
        <v>-226.95</v>
      </c>
      <c r="L234" s="34">
        <f t="array" ref="L234">IF(ROW(L234)&lt;=COUNTA(G:G)*2,IF(MOD(ROW(L234),2)=1,INDEX(G:G,(ROW(L234)+1)/2),INDEX(I:I,ROW(L234)/2)),"")</f>
        <v>112.5</v>
      </c>
      <c r="N234" s="21">
        <f t="shared" si="44"/>
        <v>-538.8</v>
      </c>
      <c r="O234" s="21">
        <f t="shared" si="45"/>
        <v>118.2</v>
      </c>
      <c r="P234" s="21">
        <f t="shared" si="37"/>
        <v>-541.8</v>
      </c>
      <c r="Q234" s="21">
        <f t="shared" si="46"/>
        <v>118.2</v>
      </c>
      <c r="R234" s="21"/>
      <c r="S234" s="21">
        <f t="array" ref="S234">IF(ROW(S234)&lt;=COUNTA(N:N)*2,IF(MOD(ROW(S234),2)=1,INDEX(N:N,(ROW(S234)+1)/2),INDEX(P:P,ROW(S234)/2)),"")</f>
        <v>-226.95</v>
      </c>
      <c r="T234" s="21">
        <f t="array" ref="T234">IF(ROW(T234)&lt;=COUNTA(O:O)*2,IF(MOD(ROW(T234),2)=1,INDEX(O:O,(ROW(T234)+1)/2),INDEX(Q:Q,ROW(T234)/2)),"")</f>
        <v>117.4</v>
      </c>
      <c r="V234" s="22">
        <f t="shared" si="47"/>
        <v>-538.8</v>
      </c>
      <c r="W234" s="22">
        <f t="shared" si="38"/>
        <v>122.6396</v>
      </c>
      <c r="X234" s="22">
        <f t="shared" si="39"/>
        <v>-541.8</v>
      </c>
      <c r="Y234" s="22">
        <f t="shared" si="40"/>
        <v>122.6396</v>
      </c>
      <c r="Z234" s="22"/>
      <c r="AA234" s="22">
        <f t="array" ref="AA234">IF(ROW(AA234)&lt;=COUNTA(V:V)*2,IF(MOD(ROW(AA234),2)=1,INDEX(V:V,(ROW(AA234)+1)/2),INDEX(X:X,ROW(AA234)/2)),"")</f>
        <v>-226.95</v>
      </c>
      <c r="AB234" s="22">
        <f t="array" ref="AB234">IF(ROW(AB234)&lt;=COUNTA(W:W)*2,IF(MOD(ROW(AB234),2)=1,INDEX(W:W,(ROW(AB234)+1)/2),INDEX(Y:Y,ROW(AB234)/2)),"")</f>
        <v>125.27465</v>
      </c>
    </row>
    <row r="235" spans="1:28" s="2" customFormat="1" x14ac:dyDescent="0.25">
      <c r="A235" s="19"/>
      <c r="B235" s="20"/>
      <c r="C235" s="21"/>
      <c r="D235" s="22"/>
      <c r="F235" s="34">
        <f t="shared" si="41"/>
        <v>-541.8</v>
      </c>
      <c r="G235" s="34">
        <f t="shared" si="42"/>
        <v>112.3</v>
      </c>
      <c r="H235" s="34">
        <f t="shared" si="36"/>
        <v>-544.8</v>
      </c>
      <c r="I235" s="34">
        <f t="shared" si="43"/>
        <v>112.3</v>
      </c>
      <c r="J235" s="20"/>
      <c r="K235" s="34">
        <f t="array" ref="K235">IF(ROW(K235)&lt;=COUNTA(F:F)*2,IF(MOD(ROW(K235),2)=1,INDEX(F:F,(ROW(K235)+1)/2),INDEX(H:H,ROW(K235)/2)),"")</f>
        <v>-226.95</v>
      </c>
      <c r="L235" s="34">
        <f t="array" ref="L235">IF(ROW(L235)&lt;=COUNTA(G:G)*2,IF(MOD(ROW(L235),2)=1,INDEX(G:G,(ROW(L235)+1)/2),INDEX(I:I,ROW(L235)/2)),"")</f>
        <v>112.5</v>
      </c>
      <c r="N235" s="21">
        <f t="shared" si="44"/>
        <v>-541.8</v>
      </c>
      <c r="O235" s="21">
        <f t="shared" si="45"/>
        <v>115</v>
      </c>
      <c r="P235" s="21">
        <f t="shared" si="37"/>
        <v>-544.8</v>
      </c>
      <c r="Q235" s="21">
        <f t="shared" si="46"/>
        <v>115</v>
      </c>
      <c r="R235" s="21"/>
      <c r="S235" s="21">
        <f t="array" ref="S235">IF(ROW(S235)&lt;=COUNTA(N:N)*2,IF(MOD(ROW(S235),2)=1,INDEX(N:N,(ROW(S235)+1)/2),INDEX(P:P,ROW(S235)/2)),"")</f>
        <v>-226.95</v>
      </c>
      <c r="T235" s="21">
        <f t="array" ref="T235">IF(ROW(T235)&lt;=COUNTA(O:O)*2,IF(MOD(ROW(T235),2)=1,INDEX(O:O,(ROW(T235)+1)/2),INDEX(Q:Q,ROW(T235)/2)),"")</f>
        <v>115.9</v>
      </c>
      <c r="V235" s="22">
        <f t="shared" si="47"/>
        <v>-541.8</v>
      </c>
      <c r="W235" s="22">
        <f t="shared" si="38"/>
        <v>122.6471</v>
      </c>
      <c r="X235" s="22">
        <f t="shared" si="39"/>
        <v>-544.8</v>
      </c>
      <c r="Y235" s="22">
        <f t="shared" si="40"/>
        <v>122.6471</v>
      </c>
      <c r="Z235" s="22"/>
      <c r="AA235" s="22">
        <f t="array" ref="AA235">IF(ROW(AA235)&lt;=COUNTA(V:V)*2,IF(MOD(ROW(AA235),2)=1,INDEX(V:V,(ROW(AA235)+1)/2),INDEX(X:X,ROW(AA235)/2)),"")</f>
        <v>-226.95</v>
      </c>
      <c r="AB235" s="22">
        <f t="array" ref="AB235">IF(ROW(AB235)&lt;=COUNTA(W:W)*2,IF(MOD(ROW(AB235),2)=1,INDEX(W:W,(ROW(AB235)+1)/2),INDEX(Y:Y,ROW(AB235)/2)),"")</f>
        <v>125.10335</v>
      </c>
    </row>
    <row r="236" spans="1:28" s="2" customFormat="1" x14ac:dyDescent="0.25">
      <c r="A236" s="19"/>
      <c r="B236" s="20"/>
      <c r="C236" s="21"/>
      <c r="D236" s="22"/>
      <c r="F236" s="34">
        <f t="shared" si="41"/>
        <v>-544.8</v>
      </c>
      <c r="G236" s="34">
        <f t="shared" si="42"/>
        <v>112.1</v>
      </c>
      <c r="H236" s="34">
        <f t="shared" si="36"/>
        <v>-547.8</v>
      </c>
      <c r="I236" s="34">
        <f t="shared" si="43"/>
        <v>112.1</v>
      </c>
      <c r="J236" s="20"/>
      <c r="K236" s="34">
        <f t="array" ref="K236">IF(ROW(K236)&lt;=COUNTA(F:F)*2,IF(MOD(ROW(K236),2)=1,INDEX(F:F,(ROW(K236)+1)/2),INDEX(H:H,ROW(K236)/2)),"")</f>
        <v>-229.55</v>
      </c>
      <c r="L236" s="34">
        <f t="array" ref="L236">IF(ROW(L236)&lt;=COUNTA(G:G)*2,IF(MOD(ROW(L236),2)=1,INDEX(G:G,(ROW(L236)+1)/2),INDEX(I:I,ROW(L236)/2)),"")</f>
        <v>112.5</v>
      </c>
      <c r="N236" s="21">
        <f t="shared" si="44"/>
        <v>-544.8</v>
      </c>
      <c r="O236" s="21">
        <f t="shared" si="45"/>
        <v>118.9</v>
      </c>
      <c r="P236" s="21">
        <f t="shared" si="37"/>
        <v>-547.8</v>
      </c>
      <c r="Q236" s="21">
        <f t="shared" si="46"/>
        <v>118.9</v>
      </c>
      <c r="R236" s="21"/>
      <c r="S236" s="21">
        <f t="array" ref="S236">IF(ROW(S236)&lt;=COUNTA(N:N)*2,IF(MOD(ROW(S236),2)=1,INDEX(N:N,(ROW(S236)+1)/2),INDEX(P:P,ROW(S236)/2)),"")</f>
        <v>-229.55</v>
      </c>
      <c r="T236" s="21">
        <f t="array" ref="T236">IF(ROW(T236)&lt;=COUNTA(O:O)*2,IF(MOD(ROW(T236),2)=1,INDEX(O:O,(ROW(T236)+1)/2),INDEX(Q:Q,ROW(T236)/2)),"")</f>
        <v>115.9</v>
      </c>
      <c r="V236" s="22">
        <f t="shared" si="47"/>
        <v>-544.8</v>
      </c>
      <c r="W236" s="22">
        <f t="shared" si="38"/>
        <v>122.742225</v>
      </c>
      <c r="X236" s="22">
        <f t="shared" si="39"/>
        <v>-547.8</v>
      </c>
      <c r="Y236" s="22">
        <f t="shared" si="40"/>
        <v>122.742225</v>
      </c>
      <c r="Z236" s="22"/>
      <c r="AA236" s="22">
        <f t="array" ref="AA236">IF(ROW(AA236)&lt;=COUNTA(V:V)*2,IF(MOD(ROW(AA236),2)=1,INDEX(V:V,(ROW(AA236)+1)/2),INDEX(X:X,ROW(AA236)/2)),"")</f>
        <v>-229.55</v>
      </c>
      <c r="AB236" s="22">
        <f t="array" ref="AB236">IF(ROW(AB236)&lt;=COUNTA(W:W)*2,IF(MOD(ROW(AB236),2)=1,INDEX(W:W,(ROW(AB236)+1)/2),INDEX(Y:Y,ROW(AB236)/2)),"")</f>
        <v>125.10335</v>
      </c>
    </row>
    <row r="237" spans="1:28" s="2" customFormat="1" x14ac:dyDescent="0.25">
      <c r="A237" s="19"/>
      <c r="B237" s="20"/>
      <c r="C237" s="21"/>
      <c r="D237" s="22"/>
      <c r="F237" s="34">
        <f t="shared" si="41"/>
        <v>-547.8</v>
      </c>
      <c r="G237" s="34">
        <f t="shared" si="42"/>
        <v>111.7</v>
      </c>
      <c r="H237" s="34">
        <f t="shared" si="36"/>
        <v>-550.8</v>
      </c>
      <c r="I237" s="34">
        <f t="shared" si="43"/>
        <v>111.7</v>
      </c>
      <c r="J237" s="20"/>
      <c r="K237" s="34">
        <f t="array" ref="K237">IF(ROW(K237)&lt;=COUNTA(F:F)*2,IF(MOD(ROW(K237),2)=1,INDEX(F:F,(ROW(K237)+1)/2),INDEX(H:H,ROW(K237)/2)),"")</f>
        <v>-229.55</v>
      </c>
      <c r="L237" s="34">
        <f t="array" ref="L237">IF(ROW(L237)&lt;=COUNTA(G:G)*2,IF(MOD(ROW(L237),2)=1,INDEX(G:G,(ROW(L237)+1)/2),INDEX(I:I,ROW(L237)/2)),"")</f>
        <v>112.5</v>
      </c>
      <c r="N237" s="21">
        <f t="shared" si="44"/>
        <v>-547.8</v>
      </c>
      <c r="O237" s="21">
        <f t="shared" si="45"/>
        <v>115.6</v>
      </c>
      <c r="P237" s="21">
        <f t="shared" si="37"/>
        <v>-550.8</v>
      </c>
      <c r="Q237" s="21">
        <f t="shared" si="46"/>
        <v>115.6</v>
      </c>
      <c r="R237" s="21"/>
      <c r="S237" s="21">
        <f t="array" ref="S237">IF(ROW(S237)&lt;=COUNTA(N:N)*2,IF(MOD(ROW(S237),2)=1,INDEX(N:N,(ROW(S237)+1)/2),INDEX(P:P,ROW(S237)/2)),"")</f>
        <v>-229.55</v>
      </c>
      <c r="T237" s="21">
        <f t="array" ref="T237">IF(ROW(T237)&lt;=COUNTA(O:O)*2,IF(MOD(ROW(T237),2)=1,INDEX(O:O,(ROW(T237)+1)/2),INDEX(Q:Q,ROW(T237)/2)),"")</f>
        <v>115.7</v>
      </c>
      <c r="V237" s="22">
        <f t="shared" si="47"/>
        <v>-547.8</v>
      </c>
      <c r="W237" s="22">
        <f t="shared" si="38"/>
        <v>122.6497</v>
      </c>
      <c r="X237" s="22">
        <f t="shared" si="39"/>
        <v>-550.8</v>
      </c>
      <c r="Y237" s="22">
        <f t="shared" si="40"/>
        <v>122.6497</v>
      </c>
      <c r="Z237" s="22"/>
      <c r="AA237" s="22">
        <f t="array" ref="AA237">IF(ROW(AA237)&lt;=COUNTA(V:V)*2,IF(MOD(ROW(AA237),2)=1,INDEX(V:V,(ROW(AA237)+1)/2),INDEX(X:X,ROW(AA237)/2)),"")</f>
        <v>-229.55</v>
      </c>
      <c r="AB237" s="22">
        <f t="array" ref="AB237">IF(ROW(AB237)&lt;=COUNTA(W:W)*2,IF(MOD(ROW(AB237),2)=1,INDEX(W:W,(ROW(AB237)+1)/2),INDEX(Y:Y,ROW(AB237)/2)),"")</f>
        <v>124.858675</v>
      </c>
    </row>
    <row r="238" spans="1:28" s="2" customFormat="1" x14ac:dyDescent="0.25">
      <c r="A238" s="19"/>
      <c r="B238" s="20"/>
      <c r="C238" s="21"/>
      <c r="D238" s="22"/>
      <c r="F238" s="34">
        <f t="shared" si="41"/>
        <v>-550.8</v>
      </c>
      <c r="G238" s="34">
        <f t="shared" si="42"/>
        <v>112.2</v>
      </c>
      <c r="H238" s="34">
        <f t="shared" si="36"/>
        <v>-553.8</v>
      </c>
      <c r="I238" s="34">
        <f t="shared" si="43"/>
        <v>112.2</v>
      </c>
      <c r="J238" s="20"/>
      <c r="K238" s="34">
        <f t="array" ref="K238">IF(ROW(K238)&lt;=COUNTA(F:F)*2,IF(MOD(ROW(K238),2)=1,INDEX(F:F,(ROW(K238)+1)/2),INDEX(H:H,ROW(K238)/2)),"")</f>
        <v>-232.55</v>
      </c>
      <c r="L238" s="34">
        <f t="array" ref="L238">IF(ROW(L238)&lt;=COUNTA(G:G)*2,IF(MOD(ROW(L238),2)=1,INDEX(G:G,(ROW(L238)+1)/2),INDEX(I:I,ROW(L238)/2)),"")</f>
        <v>112.5</v>
      </c>
      <c r="N238" s="21">
        <f t="shared" si="44"/>
        <v>-550.8</v>
      </c>
      <c r="O238" s="21">
        <f t="shared" si="45"/>
        <v>120.6</v>
      </c>
      <c r="P238" s="21">
        <f t="shared" si="37"/>
        <v>-553.8</v>
      </c>
      <c r="Q238" s="21">
        <f t="shared" si="46"/>
        <v>120.6</v>
      </c>
      <c r="R238" s="21"/>
      <c r="S238" s="21">
        <f t="array" ref="S238">IF(ROW(S238)&lt;=COUNTA(N:N)*2,IF(MOD(ROW(S238),2)=1,INDEX(N:N,(ROW(S238)+1)/2),INDEX(P:P,ROW(S238)/2)),"")</f>
        <v>-232.55</v>
      </c>
      <c r="T238" s="21">
        <f t="array" ref="T238">IF(ROW(T238)&lt;=COUNTA(O:O)*2,IF(MOD(ROW(T238),2)=1,INDEX(O:O,(ROW(T238)+1)/2),INDEX(Q:Q,ROW(T238)/2)),"")</f>
        <v>115.7</v>
      </c>
      <c r="V238" s="22">
        <f t="shared" si="47"/>
        <v>-550.8</v>
      </c>
      <c r="W238" s="22">
        <f t="shared" si="38"/>
        <v>122.654875</v>
      </c>
      <c r="X238" s="22">
        <f t="shared" si="39"/>
        <v>-553.8</v>
      </c>
      <c r="Y238" s="22">
        <f t="shared" si="40"/>
        <v>122.654875</v>
      </c>
      <c r="Z238" s="22"/>
      <c r="AA238" s="22">
        <f t="array" ref="AA238">IF(ROW(AA238)&lt;=COUNTA(V:V)*2,IF(MOD(ROW(AA238),2)=1,INDEX(V:V,(ROW(AA238)+1)/2),INDEX(X:X,ROW(AA238)/2)),"")</f>
        <v>-232.55</v>
      </c>
      <c r="AB238" s="22">
        <f t="array" ref="AB238">IF(ROW(AB238)&lt;=COUNTA(W:W)*2,IF(MOD(ROW(AB238),2)=1,INDEX(W:W,(ROW(AB238)+1)/2),INDEX(Y:Y,ROW(AB238)/2)),"")</f>
        <v>124.858675</v>
      </c>
    </row>
    <row r="239" spans="1:28" s="2" customFormat="1" x14ac:dyDescent="0.25">
      <c r="A239" s="19"/>
      <c r="B239" s="20"/>
      <c r="C239" s="21"/>
      <c r="D239" s="22"/>
      <c r="F239" s="34">
        <f t="shared" si="41"/>
        <v>-553.8</v>
      </c>
      <c r="G239" s="34">
        <f t="shared" si="42"/>
        <v>112.3</v>
      </c>
      <c r="H239" s="34">
        <f t="shared" si="36"/>
        <v>-556.8</v>
      </c>
      <c r="I239" s="34">
        <f t="shared" si="43"/>
        <v>112.3</v>
      </c>
      <c r="J239" s="20"/>
      <c r="K239" s="34">
        <f t="array" ref="K239">IF(ROW(K239)&lt;=COUNTA(F:F)*2,IF(MOD(ROW(K239),2)=1,INDEX(F:F,(ROW(K239)+1)/2),INDEX(H:H,ROW(K239)/2)),"")</f>
        <v>-232.55</v>
      </c>
      <c r="L239" s="34">
        <f t="array" ref="L239">IF(ROW(L239)&lt;=COUNTA(G:G)*2,IF(MOD(ROW(L239),2)=1,INDEX(G:G,(ROW(L239)+1)/2),INDEX(I:I,ROW(L239)/2)),"")</f>
        <v>112.5</v>
      </c>
      <c r="N239" s="21">
        <f t="shared" si="44"/>
        <v>-553.8</v>
      </c>
      <c r="O239" s="21">
        <f t="shared" si="45"/>
        <v>119.6</v>
      </c>
      <c r="P239" s="21">
        <f t="shared" si="37"/>
        <v>-556.8</v>
      </c>
      <c r="Q239" s="21">
        <f t="shared" si="46"/>
        <v>119.6</v>
      </c>
      <c r="R239" s="21"/>
      <c r="S239" s="21">
        <f t="array" ref="S239">IF(ROW(S239)&lt;=COUNTA(N:N)*2,IF(MOD(ROW(S239),2)=1,INDEX(N:N,(ROW(S239)+1)/2),INDEX(P:P,ROW(S239)/2)),"")</f>
        <v>-232.55</v>
      </c>
      <c r="T239" s="21">
        <f t="array" ref="T239">IF(ROW(T239)&lt;=COUNTA(O:O)*2,IF(MOD(ROW(T239),2)=1,INDEX(O:O,(ROW(T239)+1)/2),INDEX(Q:Q,ROW(T239)/2)),"")</f>
        <v>115.3</v>
      </c>
      <c r="V239" s="22">
        <f t="shared" si="47"/>
        <v>-553.8</v>
      </c>
      <c r="W239" s="22">
        <f t="shared" si="38"/>
        <v>122.64925</v>
      </c>
      <c r="X239" s="22">
        <f t="shared" si="39"/>
        <v>-556.8</v>
      </c>
      <c r="Y239" s="22">
        <f t="shared" si="40"/>
        <v>122.64925</v>
      </c>
      <c r="Z239" s="22"/>
      <c r="AA239" s="22">
        <f t="array" ref="AA239">IF(ROW(AA239)&lt;=COUNTA(V:V)*2,IF(MOD(ROW(AA239),2)=1,INDEX(V:V,(ROW(AA239)+1)/2),INDEX(X:X,ROW(AA239)/2)),"")</f>
        <v>-232.55</v>
      </c>
      <c r="AB239" s="22">
        <f t="array" ref="AB239">IF(ROW(AB239)&lt;=COUNTA(W:W)*2,IF(MOD(ROW(AB239),2)=1,INDEX(W:W,(ROW(AB239)+1)/2),INDEX(Y:Y,ROW(AB239)/2)),"")</f>
        <v>125.26965</v>
      </c>
    </row>
    <row r="240" spans="1:28" s="2" customFormat="1" x14ac:dyDescent="0.25">
      <c r="A240" s="19"/>
      <c r="B240" s="20"/>
      <c r="C240" s="21"/>
      <c r="D240" s="22"/>
      <c r="F240" s="34">
        <f t="shared" si="41"/>
        <v>-556.8</v>
      </c>
      <c r="G240" s="34">
        <f t="shared" si="42"/>
        <v>112.4</v>
      </c>
      <c r="H240" s="34">
        <f t="shared" si="36"/>
        <v>-559.8</v>
      </c>
      <c r="I240" s="34">
        <f t="shared" si="43"/>
        <v>112.4</v>
      </c>
      <c r="J240" s="20"/>
      <c r="K240" s="34">
        <f t="array" ref="K240">IF(ROW(K240)&lt;=COUNTA(F:F)*2,IF(MOD(ROW(K240),2)=1,INDEX(F:F,(ROW(K240)+1)/2),INDEX(H:H,ROW(K240)/2)),"")</f>
        <v>-234.1</v>
      </c>
      <c r="L240" s="34">
        <f t="array" ref="L240">IF(ROW(L240)&lt;=COUNTA(G:G)*2,IF(MOD(ROW(L240),2)=1,INDEX(G:G,(ROW(L240)+1)/2),INDEX(I:I,ROW(L240)/2)),"")</f>
        <v>112.5</v>
      </c>
      <c r="N240" s="21">
        <f t="shared" si="44"/>
        <v>-556.8</v>
      </c>
      <c r="O240" s="21">
        <f t="shared" si="45"/>
        <v>121.1</v>
      </c>
      <c r="P240" s="21">
        <f t="shared" si="37"/>
        <v>-559.8</v>
      </c>
      <c r="Q240" s="21">
        <f t="shared" si="46"/>
        <v>121.1</v>
      </c>
      <c r="R240" s="21"/>
      <c r="S240" s="21">
        <f t="array" ref="S240">IF(ROW(S240)&lt;=COUNTA(N:N)*2,IF(MOD(ROW(S240),2)=1,INDEX(N:N,(ROW(S240)+1)/2),INDEX(P:P,ROW(S240)/2)),"")</f>
        <v>-234.1</v>
      </c>
      <c r="T240" s="21">
        <f t="array" ref="T240">IF(ROW(T240)&lt;=COUNTA(O:O)*2,IF(MOD(ROW(T240),2)=1,INDEX(O:O,(ROW(T240)+1)/2),INDEX(Q:Q,ROW(T240)/2)),"")</f>
        <v>115.3</v>
      </c>
      <c r="V240" s="22">
        <f t="shared" si="47"/>
        <v>-556.8</v>
      </c>
      <c r="W240" s="22">
        <f t="shared" si="38"/>
        <v>122.6122</v>
      </c>
      <c r="X240" s="22">
        <f t="shared" si="39"/>
        <v>-559.8</v>
      </c>
      <c r="Y240" s="22">
        <f t="shared" si="40"/>
        <v>122.6122</v>
      </c>
      <c r="Z240" s="22"/>
      <c r="AA240" s="22">
        <f t="array" ref="AA240">IF(ROW(AA240)&lt;=COUNTA(V:V)*2,IF(MOD(ROW(AA240),2)=1,INDEX(V:V,(ROW(AA240)+1)/2),INDEX(X:X,ROW(AA240)/2)),"")</f>
        <v>-234.1</v>
      </c>
      <c r="AB240" s="22">
        <f t="array" ref="AB240">IF(ROW(AB240)&lt;=COUNTA(W:W)*2,IF(MOD(ROW(AB240),2)=1,INDEX(W:W,(ROW(AB240)+1)/2),INDEX(Y:Y,ROW(AB240)/2)),"")</f>
        <v>125.26965</v>
      </c>
    </row>
    <row r="241" spans="1:28" s="2" customFormat="1" x14ac:dyDescent="0.25">
      <c r="A241" s="19"/>
      <c r="B241" s="20"/>
      <c r="C241" s="21"/>
      <c r="D241" s="22"/>
      <c r="F241" s="34">
        <f t="shared" si="41"/>
        <v>-559.8</v>
      </c>
      <c r="G241" s="34">
        <f t="shared" si="42"/>
        <v>112.5</v>
      </c>
      <c r="H241" s="34">
        <f t="shared" si="36"/>
        <v>-562.8</v>
      </c>
      <c r="I241" s="34">
        <f t="shared" si="43"/>
        <v>112.5</v>
      </c>
      <c r="J241" s="20"/>
      <c r="K241" s="34">
        <f t="array" ref="K241">IF(ROW(K241)&lt;=COUNTA(F:F)*2,IF(MOD(ROW(K241),2)=1,INDEX(F:F,(ROW(K241)+1)/2),INDEX(H:H,ROW(K241)/2)),"")</f>
        <v>-234.1</v>
      </c>
      <c r="L241" s="34">
        <f t="array" ref="L241">IF(ROW(L241)&lt;=COUNTA(G:G)*2,IF(MOD(ROW(L241),2)=1,INDEX(G:G,(ROW(L241)+1)/2),INDEX(I:I,ROW(L241)/2)),"")</f>
        <v>112.5</v>
      </c>
      <c r="N241" s="21">
        <f t="shared" si="44"/>
        <v>-559.8</v>
      </c>
      <c r="O241" s="21">
        <f t="shared" si="45"/>
        <v>120.6</v>
      </c>
      <c r="P241" s="21">
        <f t="shared" si="37"/>
        <v>-562.8</v>
      </c>
      <c r="Q241" s="21">
        <f t="shared" si="46"/>
        <v>120.6</v>
      </c>
      <c r="R241" s="21"/>
      <c r="S241" s="21">
        <f t="array" ref="S241">IF(ROW(S241)&lt;=COUNTA(N:N)*2,IF(MOD(ROW(S241),2)=1,INDEX(N:N,(ROW(S241)+1)/2),INDEX(P:P,ROW(S241)/2)),"")</f>
        <v>-234.1</v>
      </c>
      <c r="T241" s="21">
        <f t="array" ref="T241">IF(ROW(T241)&lt;=COUNTA(O:O)*2,IF(MOD(ROW(T241),2)=1,INDEX(O:O,(ROW(T241)+1)/2),INDEX(Q:Q,ROW(T241)/2)),"")</f>
        <v>118.2</v>
      </c>
      <c r="V241" s="22">
        <f t="shared" si="47"/>
        <v>-559.8</v>
      </c>
      <c r="W241" s="22">
        <f t="shared" si="38"/>
        <v>122.693</v>
      </c>
      <c r="X241" s="22">
        <f t="shared" si="39"/>
        <v>-562.8</v>
      </c>
      <c r="Y241" s="22">
        <f t="shared" si="40"/>
        <v>122.693</v>
      </c>
      <c r="Z241" s="22"/>
      <c r="AA241" s="22">
        <f t="array" ref="AA241">IF(ROW(AA241)&lt;=COUNTA(V:V)*2,IF(MOD(ROW(AA241),2)=1,INDEX(V:V,(ROW(AA241)+1)/2),INDEX(X:X,ROW(AA241)/2)),"")</f>
        <v>-234.1</v>
      </c>
      <c r="AB241" s="22">
        <f t="array" ref="AB241">IF(ROW(AB241)&lt;=COUNTA(W:W)*2,IF(MOD(ROW(AB241),2)=1,INDEX(W:W,(ROW(AB241)+1)/2),INDEX(Y:Y,ROW(AB241)/2)),"")</f>
        <v>125.1608</v>
      </c>
    </row>
    <row r="242" spans="1:28" s="2" customFormat="1" x14ac:dyDescent="0.25">
      <c r="A242" s="19"/>
      <c r="B242" s="20"/>
      <c r="C242" s="21"/>
      <c r="D242" s="22"/>
      <c r="F242" s="34">
        <f t="shared" si="41"/>
        <v>-562.8</v>
      </c>
      <c r="G242" s="34">
        <f t="shared" si="42"/>
        <v>112.4</v>
      </c>
      <c r="H242" s="34">
        <f t="shared" si="36"/>
        <v>-565.8</v>
      </c>
      <c r="I242" s="34">
        <f t="shared" si="43"/>
        <v>112.4</v>
      </c>
      <c r="J242" s="20"/>
      <c r="K242" s="34">
        <f t="array" ref="K242">IF(ROW(K242)&lt;=COUNTA(F:F)*2,IF(MOD(ROW(K242),2)=1,INDEX(F:F,(ROW(K242)+1)/2),INDEX(H:H,ROW(K242)/2)),"")</f>
        <v>-236.15</v>
      </c>
      <c r="L242" s="34">
        <f t="array" ref="L242">IF(ROW(L242)&lt;=COUNTA(G:G)*2,IF(MOD(ROW(L242),2)=1,INDEX(G:G,(ROW(L242)+1)/2),INDEX(I:I,ROW(L242)/2)),"")</f>
        <v>112.5</v>
      </c>
      <c r="N242" s="21">
        <f t="shared" si="44"/>
        <v>-562.8</v>
      </c>
      <c r="O242" s="21">
        <f t="shared" si="45"/>
        <v>115.8</v>
      </c>
      <c r="P242" s="21">
        <f t="shared" si="37"/>
        <v>-565.8</v>
      </c>
      <c r="Q242" s="21">
        <f t="shared" si="46"/>
        <v>115.8</v>
      </c>
      <c r="R242" s="21"/>
      <c r="S242" s="21">
        <f t="array" ref="S242">IF(ROW(S242)&lt;=COUNTA(N:N)*2,IF(MOD(ROW(S242),2)=1,INDEX(N:N,(ROW(S242)+1)/2),INDEX(P:P,ROW(S242)/2)),"")</f>
        <v>-236.15</v>
      </c>
      <c r="T242" s="21">
        <f t="array" ref="T242">IF(ROW(T242)&lt;=COUNTA(O:O)*2,IF(MOD(ROW(T242),2)=1,INDEX(O:O,(ROW(T242)+1)/2),INDEX(Q:Q,ROW(T242)/2)),"")</f>
        <v>118.2</v>
      </c>
      <c r="V242" s="22">
        <f t="shared" si="47"/>
        <v>-562.8</v>
      </c>
      <c r="W242" s="22">
        <f t="shared" si="38"/>
        <v>122.750425</v>
      </c>
      <c r="X242" s="22">
        <f t="shared" si="39"/>
        <v>-565.8</v>
      </c>
      <c r="Y242" s="22">
        <f t="shared" si="40"/>
        <v>122.750425</v>
      </c>
      <c r="Z242" s="22"/>
      <c r="AA242" s="22">
        <f t="array" ref="AA242">IF(ROW(AA242)&lt;=COUNTA(V:V)*2,IF(MOD(ROW(AA242),2)=1,INDEX(V:V,(ROW(AA242)+1)/2),INDEX(X:X,ROW(AA242)/2)),"")</f>
        <v>-236.15</v>
      </c>
      <c r="AB242" s="22">
        <f t="array" ref="AB242">IF(ROW(AB242)&lt;=COUNTA(W:W)*2,IF(MOD(ROW(AB242),2)=1,INDEX(W:W,(ROW(AB242)+1)/2),INDEX(Y:Y,ROW(AB242)/2)),"")</f>
        <v>125.1608</v>
      </c>
    </row>
    <row r="243" spans="1:28" s="2" customFormat="1" x14ac:dyDescent="0.25">
      <c r="A243" s="19"/>
      <c r="B243" s="20"/>
      <c r="C243" s="21"/>
      <c r="D243" s="22"/>
      <c r="F243" s="34">
        <f t="shared" si="41"/>
        <v>-565.8</v>
      </c>
      <c r="G243" s="34">
        <f t="shared" si="42"/>
        <v>112.4</v>
      </c>
      <c r="H243" s="34">
        <f t="shared" si="36"/>
        <v>-568.8</v>
      </c>
      <c r="I243" s="34">
        <f t="shared" si="43"/>
        <v>112.4</v>
      </c>
      <c r="J243" s="20"/>
      <c r="K243" s="34">
        <f t="array" ref="K243">IF(ROW(K243)&lt;=COUNTA(F:F)*2,IF(MOD(ROW(K243),2)=1,INDEX(F:F,(ROW(K243)+1)/2),INDEX(H:H,ROW(K243)/2)),"")</f>
        <v>-236.15</v>
      </c>
      <c r="L243" s="34">
        <f t="array" ref="L243">IF(ROW(L243)&lt;=COUNTA(G:G)*2,IF(MOD(ROW(L243),2)=1,INDEX(G:G,(ROW(L243)+1)/2),INDEX(I:I,ROW(L243)/2)),"")</f>
        <v>112.5</v>
      </c>
      <c r="N243" s="21">
        <f t="shared" si="44"/>
        <v>-565.8</v>
      </c>
      <c r="O243" s="21">
        <f t="shared" si="45"/>
        <v>121.2</v>
      </c>
      <c r="P243" s="21">
        <f t="shared" si="37"/>
        <v>-568.8</v>
      </c>
      <c r="Q243" s="21">
        <f t="shared" si="46"/>
        <v>121.2</v>
      </c>
      <c r="R243" s="21"/>
      <c r="S243" s="21">
        <f t="array" ref="S243">IF(ROW(S243)&lt;=COUNTA(N:N)*2,IF(MOD(ROW(S243),2)=1,INDEX(N:N,(ROW(S243)+1)/2),INDEX(P:P,ROW(S243)/2)),"")</f>
        <v>-236.15</v>
      </c>
      <c r="T243" s="21">
        <f t="array" ref="T243">IF(ROW(T243)&lt;=COUNTA(O:O)*2,IF(MOD(ROW(T243),2)=1,INDEX(O:O,(ROW(T243)+1)/2),INDEX(Q:Q,ROW(T243)/2)),"")</f>
        <v>115.8</v>
      </c>
      <c r="V243" s="22">
        <f t="shared" si="47"/>
        <v>-565.8</v>
      </c>
      <c r="W243" s="22">
        <f t="shared" si="38"/>
        <v>122.779175</v>
      </c>
      <c r="X243" s="22">
        <f t="shared" si="39"/>
        <v>-568.8</v>
      </c>
      <c r="Y243" s="22">
        <f t="shared" si="40"/>
        <v>122.779175</v>
      </c>
      <c r="Z243" s="22"/>
      <c r="AA243" s="22">
        <f t="array" ref="AA243">IF(ROW(AA243)&lt;=COUNTA(V:V)*2,IF(MOD(ROW(AA243),2)=1,INDEX(V:V,(ROW(AA243)+1)/2),INDEX(X:X,ROW(AA243)/2)),"")</f>
        <v>-236.15</v>
      </c>
      <c r="AB243" s="22">
        <f t="array" ref="AB243">IF(ROW(AB243)&lt;=COUNTA(W:W)*2,IF(MOD(ROW(AB243),2)=1,INDEX(W:W,(ROW(AB243)+1)/2),INDEX(Y:Y,ROW(AB243)/2)),"")</f>
        <v>125.381075</v>
      </c>
    </row>
    <row r="244" spans="1:28" s="2" customFormat="1" x14ac:dyDescent="0.25">
      <c r="A244" s="19"/>
      <c r="B244" s="20"/>
      <c r="C244" s="21"/>
      <c r="D244" s="22"/>
      <c r="F244" s="34">
        <f t="shared" si="41"/>
        <v>-568.8</v>
      </c>
      <c r="G244" s="34">
        <f t="shared" si="42"/>
        <v>112.4</v>
      </c>
      <c r="H244" s="34">
        <f t="shared" si="36"/>
        <v>-571.8</v>
      </c>
      <c r="I244" s="34">
        <f t="shared" si="43"/>
        <v>112.4</v>
      </c>
      <c r="J244" s="20"/>
      <c r="K244" s="34">
        <f t="array" ref="K244">IF(ROW(K244)&lt;=COUNTA(F:F)*2,IF(MOD(ROW(K244),2)=1,INDEX(F:F,(ROW(K244)+1)/2),INDEX(H:H,ROW(K244)/2)),"")</f>
        <v>-238.45</v>
      </c>
      <c r="L244" s="34">
        <f t="array" ref="L244">IF(ROW(L244)&lt;=COUNTA(G:G)*2,IF(MOD(ROW(L244),2)=1,INDEX(G:G,(ROW(L244)+1)/2),INDEX(I:I,ROW(L244)/2)),"")</f>
        <v>112.5</v>
      </c>
      <c r="N244" s="21">
        <f t="shared" si="44"/>
        <v>-568.8</v>
      </c>
      <c r="O244" s="21">
        <f t="shared" si="45"/>
        <v>119.3</v>
      </c>
      <c r="P244" s="21">
        <f t="shared" si="37"/>
        <v>-571.8</v>
      </c>
      <c r="Q244" s="21">
        <f t="shared" si="46"/>
        <v>119.3</v>
      </c>
      <c r="R244" s="21"/>
      <c r="S244" s="21">
        <f t="array" ref="S244">IF(ROW(S244)&lt;=COUNTA(N:N)*2,IF(MOD(ROW(S244),2)=1,INDEX(N:N,(ROW(S244)+1)/2),INDEX(P:P,ROW(S244)/2)),"")</f>
        <v>-238.45</v>
      </c>
      <c r="T244" s="21">
        <f t="array" ref="T244">IF(ROW(T244)&lt;=COUNTA(O:O)*2,IF(MOD(ROW(T244),2)=1,INDEX(O:O,(ROW(T244)+1)/2),INDEX(Q:Q,ROW(T244)/2)),"")</f>
        <v>115.8</v>
      </c>
      <c r="V244" s="22">
        <f t="shared" si="47"/>
        <v>-568.8</v>
      </c>
      <c r="W244" s="22">
        <f t="shared" si="38"/>
        <v>122.7066</v>
      </c>
      <c r="X244" s="22">
        <f t="shared" si="39"/>
        <v>-571.8</v>
      </c>
      <c r="Y244" s="22">
        <f t="shared" si="40"/>
        <v>122.7066</v>
      </c>
      <c r="Z244" s="22"/>
      <c r="AA244" s="22">
        <f t="array" ref="AA244">IF(ROW(AA244)&lt;=COUNTA(V:V)*2,IF(MOD(ROW(AA244),2)=1,INDEX(V:V,(ROW(AA244)+1)/2),INDEX(X:X,ROW(AA244)/2)),"")</f>
        <v>-238.45</v>
      </c>
      <c r="AB244" s="22">
        <f t="array" ref="AB244">IF(ROW(AB244)&lt;=COUNTA(W:W)*2,IF(MOD(ROW(AB244),2)=1,INDEX(W:W,(ROW(AB244)+1)/2),INDEX(Y:Y,ROW(AB244)/2)),"")</f>
        <v>125.381075</v>
      </c>
    </row>
    <row r="245" spans="1:28" s="2" customFormat="1" x14ac:dyDescent="0.25">
      <c r="A245" s="19"/>
      <c r="B245" s="20"/>
      <c r="C245" s="21"/>
      <c r="D245" s="22"/>
      <c r="F245" s="34">
        <f t="shared" si="41"/>
        <v>-571.8</v>
      </c>
      <c r="G245" s="34">
        <f t="shared" si="42"/>
        <v>112.4</v>
      </c>
      <c r="H245" s="34">
        <f t="shared" si="36"/>
        <v>-574.8</v>
      </c>
      <c r="I245" s="34">
        <f t="shared" si="43"/>
        <v>112.4</v>
      </c>
      <c r="J245" s="20"/>
      <c r="K245" s="34">
        <f t="array" ref="K245">IF(ROW(K245)&lt;=COUNTA(F:F)*2,IF(MOD(ROW(K245),2)=1,INDEX(F:F,(ROW(K245)+1)/2),INDEX(H:H,ROW(K245)/2)),"")</f>
        <v>-238.45</v>
      </c>
      <c r="L245" s="34">
        <f t="array" ref="L245">IF(ROW(L245)&lt;=COUNTA(G:G)*2,IF(MOD(ROW(L245),2)=1,INDEX(G:G,(ROW(L245)+1)/2),INDEX(I:I,ROW(L245)/2)),"")</f>
        <v>112.5</v>
      </c>
      <c r="N245" s="21">
        <f t="shared" si="44"/>
        <v>-571.8</v>
      </c>
      <c r="O245" s="21">
        <f t="shared" si="45"/>
        <v>120.7</v>
      </c>
      <c r="P245" s="21">
        <f t="shared" si="37"/>
        <v>-574.8</v>
      </c>
      <c r="Q245" s="21">
        <f t="shared" si="46"/>
        <v>120.7</v>
      </c>
      <c r="R245" s="21"/>
      <c r="S245" s="21">
        <f t="array" ref="S245">IF(ROW(S245)&lt;=COUNTA(N:N)*2,IF(MOD(ROW(S245),2)=1,INDEX(N:N,(ROW(S245)+1)/2),INDEX(P:P,ROW(S245)/2)),"")</f>
        <v>-238.45</v>
      </c>
      <c r="T245" s="21">
        <f t="array" ref="T245">IF(ROW(T245)&lt;=COUNTA(O:O)*2,IF(MOD(ROW(T245),2)=1,INDEX(O:O,(ROW(T245)+1)/2),INDEX(Q:Q,ROW(T245)/2)),"")</f>
        <v>113.9</v>
      </c>
      <c r="V245" s="22">
        <f t="shared" si="47"/>
        <v>-571.8</v>
      </c>
      <c r="W245" s="22">
        <f t="shared" si="38"/>
        <v>122.635625</v>
      </c>
      <c r="X245" s="22">
        <f t="shared" si="39"/>
        <v>-574.8</v>
      </c>
      <c r="Y245" s="22">
        <f t="shared" si="40"/>
        <v>122.635625</v>
      </c>
      <c r="Z245" s="22"/>
      <c r="AA245" s="22">
        <f t="array" ref="AA245">IF(ROW(AA245)&lt;=COUNTA(V:V)*2,IF(MOD(ROW(AA245),2)=1,INDEX(V:V,(ROW(AA245)+1)/2),INDEX(X:X,ROW(AA245)/2)),"")</f>
        <v>-238.45</v>
      </c>
      <c r="AB245" s="22">
        <f t="array" ref="AB245">IF(ROW(AB245)&lt;=COUNTA(W:W)*2,IF(MOD(ROW(AB245),2)=1,INDEX(W:W,(ROW(AB245)+1)/2),INDEX(Y:Y,ROW(AB245)/2)),"")</f>
        <v>125.326325</v>
      </c>
    </row>
    <row r="246" spans="1:28" s="2" customFormat="1" x14ac:dyDescent="0.25">
      <c r="A246" s="19"/>
      <c r="B246" s="20"/>
      <c r="C246" s="21"/>
      <c r="D246" s="22"/>
      <c r="F246" s="34">
        <f t="shared" si="41"/>
        <v>-574.8</v>
      </c>
      <c r="G246" s="34">
        <f t="shared" si="42"/>
        <v>112.4</v>
      </c>
      <c r="H246" s="34">
        <f t="shared" si="36"/>
        <v>-577.8</v>
      </c>
      <c r="I246" s="34">
        <f t="shared" si="43"/>
        <v>112.4</v>
      </c>
      <c r="J246" s="20"/>
      <c r="K246" s="34">
        <f t="array" ref="K246">IF(ROW(K246)&lt;=COUNTA(F:F)*2,IF(MOD(ROW(K246),2)=1,INDEX(F:F,(ROW(K246)+1)/2),INDEX(H:H,ROW(K246)/2)),"")</f>
        <v>-240.65</v>
      </c>
      <c r="L246" s="34">
        <f t="array" ref="L246">IF(ROW(L246)&lt;=COUNTA(G:G)*2,IF(MOD(ROW(L246),2)=1,INDEX(G:G,(ROW(L246)+1)/2),INDEX(I:I,ROW(L246)/2)),"")</f>
        <v>112.5</v>
      </c>
      <c r="N246" s="21">
        <f t="shared" si="44"/>
        <v>-574.8</v>
      </c>
      <c r="O246" s="21">
        <f t="shared" si="45"/>
        <v>120.8</v>
      </c>
      <c r="P246" s="21">
        <f t="shared" si="37"/>
        <v>-577.8</v>
      </c>
      <c r="Q246" s="21">
        <f t="shared" si="46"/>
        <v>120.8</v>
      </c>
      <c r="R246" s="21"/>
      <c r="S246" s="21">
        <f t="array" ref="S246">IF(ROW(S246)&lt;=COUNTA(N:N)*2,IF(MOD(ROW(S246),2)=1,INDEX(N:N,(ROW(S246)+1)/2),INDEX(P:P,ROW(S246)/2)),"")</f>
        <v>-240.65</v>
      </c>
      <c r="T246" s="21">
        <f t="array" ref="T246">IF(ROW(T246)&lt;=COUNTA(O:O)*2,IF(MOD(ROW(T246),2)=1,INDEX(O:O,(ROW(T246)+1)/2),INDEX(Q:Q,ROW(T246)/2)),"")</f>
        <v>113.9</v>
      </c>
      <c r="V246" s="22">
        <f t="shared" si="47"/>
        <v>-574.8</v>
      </c>
      <c r="W246" s="22">
        <f t="shared" si="38"/>
        <v>122.6391</v>
      </c>
      <c r="X246" s="22">
        <f t="shared" si="39"/>
        <v>-577.8</v>
      </c>
      <c r="Y246" s="22">
        <f t="shared" si="40"/>
        <v>122.6391</v>
      </c>
      <c r="Z246" s="22"/>
      <c r="AA246" s="22">
        <f t="array" ref="AA246">IF(ROW(AA246)&lt;=COUNTA(V:V)*2,IF(MOD(ROW(AA246),2)=1,INDEX(V:V,(ROW(AA246)+1)/2),INDEX(X:X,ROW(AA246)/2)),"")</f>
        <v>-240.65</v>
      </c>
      <c r="AB246" s="22">
        <f t="array" ref="AB246">IF(ROW(AB246)&lt;=COUNTA(W:W)*2,IF(MOD(ROW(AB246),2)=1,INDEX(W:W,(ROW(AB246)+1)/2),INDEX(Y:Y,ROW(AB246)/2)),"")</f>
        <v>125.326325</v>
      </c>
    </row>
    <row r="247" spans="1:28" s="2" customFormat="1" x14ac:dyDescent="0.25">
      <c r="A247" s="19"/>
      <c r="B247" s="20"/>
      <c r="C247" s="21"/>
      <c r="D247" s="22"/>
      <c r="F247" s="34">
        <f t="shared" si="41"/>
        <v>-577.8</v>
      </c>
      <c r="G247" s="34">
        <f t="shared" si="42"/>
        <v>112.5</v>
      </c>
      <c r="H247" s="34">
        <f t="shared" si="36"/>
        <v>-580.8</v>
      </c>
      <c r="I247" s="34">
        <f t="shared" si="43"/>
        <v>112.5</v>
      </c>
      <c r="J247" s="20"/>
      <c r="K247" s="34">
        <f t="array" ref="K247">IF(ROW(K247)&lt;=COUNTA(F:F)*2,IF(MOD(ROW(K247),2)=1,INDEX(F:F,(ROW(K247)+1)/2),INDEX(H:H,ROW(K247)/2)),"")</f>
        <v>-240.65</v>
      </c>
      <c r="L247" s="34">
        <f t="array" ref="L247">IF(ROW(L247)&lt;=COUNTA(G:G)*2,IF(MOD(ROW(L247),2)=1,INDEX(G:G,(ROW(L247)+1)/2),INDEX(I:I,ROW(L247)/2)),"")</f>
        <v>112.5</v>
      </c>
      <c r="N247" s="21">
        <f t="shared" si="44"/>
        <v>-577.8</v>
      </c>
      <c r="O247" s="21">
        <f t="shared" si="45"/>
        <v>120.8</v>
      </c>
      <c r="P247" s="21">
        <f t="shared" si="37"/>
        <v>-580.8</v>
      </c>
      <c r="Q247" s="21">
        <f t="shared" si="46"/>
        <v>120.8</v>
      </c>
      <c r="R247" s="21"/>
      <c r="S247" s="21">
        <f t="array" ref="S247">IF(ROW(S247)&lt;=COUNTA(N:N)*2,IF(MOD(ROW(S247),2)=1,INDEX(N:N,(ROW(S247)+1)/2),INDEX(P:P,ROW(S247)/2)),"")</f>
        <v>-240.65</v>
      </c>
      <c r="T247" s="21">
        <f t="array" ref="T247">IF(ROW(T247)&lt;=COUNTA(O:O)*2,IF(MOD(ROW(T247),2)=1,INDEX(O:O,(ROW(T247)+1)/2),INDEX(Q:Q,ROW(T247)/2)),"")</f>
        <v>120.3</v>
      </c>
      <c r="V247" s="22">
        <f t="shared" si="47"/>
        <v>-577.8</v>
      </c>
      <c r="W247" s="22">
        <f t="shared" si="38"/>
        <v>122.6757</v>
      </c>
      <c r="X247" s="22">
        <f t="shared" si="39"/>
        <v>-580.8</v>
      </c>
      <c r="Y247" s="22">
        <f t="shared" si="40"/>
        <v>122.6757</v>
      </c>
      <c r="Z247" s="22"/>
      <c r="AA247" s="22">
        <f t="array" ref="AA247">IF(ROW(AA247)&lt;=COUNTA(V:V)*2,IF(MOD(ROW(AA247),2)=1,INDEX(V:V,(ROW(AA247)+1)/2),INDEX(X:X,ROW(AA247)/2)),"")</f>
        <v>-240.65</v>
      </c>
      <c r="AB247" s="22">
        <f t="array" ref="AB247">IF(ROW(AB247)&lt;=COUNTA(W:W)*2,IF(MOD(ROW(AB247),2)=1,INDEX(W:W,(ROW(AB247)+1)/2),INDEX(Y:Y,ROW(AB247)/2)),"")</f>
        <v>125.1514</v>
      </c>
    </row>
    <row r="248" spans="1:28" s="2" customFormat="1" x14ac:dyDescent="0.25">
      <c r="A248" s="19"/>
      <c r="B248" s="20"/>
      <c r="C248" s="21"/>
      <c r="D248" s="22"/>
      <c r="F248" s="34">
        <f t="shared" si="41"/>
        <v>-580.8</v>
      </c>
      <c r="G248" s="34">
        <f t="shared" si="42"/>
        <v>112.4</v>
      </c>
      <c r="H248" s="34">
        <f t="shared" si="36"/>
        <v>-583.8</v>
      </c>
      <c r="I248" s="34">
        <f t="shared" si="43"/>
        <v>112.4</v>
      </c>
      <c r="J248" s="20"/>
      <c r="K248" s="34">
        <f t="array" ref="K248">IF(ROW(K248)&lt;=COUNTA(F:F)*2,IF(MOD(ROW(K248),2)=1,INDEX(F:F,(ROW(K248)+1)/2),INDEX(H:H,ROW(K248)/2)),"")</f>
        <v>-243.45</v>
      </c>
      <c r="L248" s="34">
        <f t="array" ref="L248">IF(ROW(L248)&lt;=COUNTA(G:G)*2,IF(MOD(ROW(L248),2)=1,INDEX(G:G,(ROW(L248)+1)/2),INDEX(I:I,ROW(L248)/2)),"")</f>
        <v>112.5</v>
      </c>
      <c r="N248" s="21">
        <f t="shared" si="44"/>
        <v>-580.8</v>
      </c>
      <c r="O248" s="21">
        <f t="shared" si="45"/>
        <v>118</v>
      </c>
      <c r="P248" s="21">
        <f t="shared" si="37"/>
        <v>-583.8</v>
      </c>
      <c r="Q248" s="21">
        <f t="shared" si="46"/>
        <v>118</v>
      </c>
      <c r="R248" s="21"/>
      <c r="S248" s="21">
        <f t="array" ref="S248">IF(ROW(S248)&lt;=COUNTA(N:N)*2,IF(MOD(ROW(S248),2)=1,INDEX(N:N,(ROW(S248)+1)/2),INDEX(P:P,ROW(S248)/2)),"")</f>
        <v>-243.45</v>
      </c>
      <c r="T248" s="21">
        <f t="array" ref="T248">IF(ROW(T248)&lt;=COUNTA(O:O)*2,IF(MOD(ROW(T248),2)=1,INDEX(O:O,(ROW(T248)+1)/2),INDEX(Q:Q,ROW(T248)/2)),"")</f>
        <v>120.3</v>
      </c>
      <c r="V248" s="22">
        <f t="shared" si="47"/>
        <v>-580.8</v>
      </c>
      <c r="W248" s="22">
        <f t="shared" si="38"/>
        <v>122.650775</v>
      </c>
      <c r="X248" s="22">
        <f t="shared" si="39"/>
        <v>-583.8</v>
      </c>
      <c r="Y248" s="22">
        <f t="shared" si="40"/>
        <v>122.650775</v>
      </c>
      <c r="Z248" s="22"/>
      <c r="AA248" s="22">
        <f t="array" ref="AA248">IF(ROW(AA248)&lt;=COUNTA(V:V)*2,IF(MOD(ROW(AA248),2)=1,INDEX(V:V,(ROW(AA248)+1)/2),INDEX(X:X,ROW(AA248)/2)),"")</f>
        <v>-243.45</v>
      </c>
      <c r="AB248" s="22">
        <f t="array" ref="AB248">IF(ROW(AB248)&lt;=COUNTA(W:W)*2,IF(MOD(ROW(AB248),2)=1,INDEX(W:W,(ROW(AB248)+1)/2),INDEX(Y:Y,ROW(AB248)/2)),"")</f>
        <v>125.1514</v>
      </c>
    </row>
    <row r="249" spans="1:28" s="2" customFormat="1" x14ac:dyDescent="0.25">
      <c r="A249" s="19"/>
      <c r="B249" s="20"/>
      <c r="C249" s="21"/>
      <c r="D249" s="22"/>
      <c r="F249" s="34">
        <f t="shared" si="41"/>
        <v>-583.8</v>
      </c>
      <c r="G249" s="34">
        <f t="shared" si="42"/>
        <v>112.2</v>
      </c>
      <c r="H249" s="34">
        <f t="shared" si="36"/>
        <v>-585.7</v>
      </c>
      <c r="I249" s="34">
        <f t="shared" si="43"/>
        <v>112.2</v>
      </c>
      <c r="J249" s="20"/>
      <c r="K249" s="34">
        <f t="array" ref="K249">IF(ROW(K249)&lt;=COUNTA(F:F)*2,IF(MOD(ROW(K249),2)=1,INDEX(F:F,(ROW(K249)+1)/2),INDEX(H:H,ROW(K249)/2)),"")</f>
        <v>-243.45</v>
      </c>
      <c r="L249" s="34">
        <f t="array" ref="L249">IF(ROW(L249)&lt;=COUNTA(G:G)*2,IF(MOD(ROW(L249),2)=1,INDEX(G:G,(ROW(L249)+1)/2),INDEX(I:I,ROW(L249)/2)),"")</f>
        <v>112.5</v>
      </c>
      <c r="N249" s="21">
        <f t="shared" si="44"/>
        <v>-583.8</v>
      </c>
      <c r="O249" s="21">
        <f t="shared" si="45"/>
        <v>115.4</v>
      </c>
      <c r="P249" s="21">
        <f t="shared" si="37"/>
        <v>-585.7</v>
      </c>
      <c r="Q249" s="21">
        <f t="shared" si="46"/>
        <v>115.4</v>
      </c>
      <c r="R249" s="21"/>
      <c r="S249" s="21">
        <f t="array" ref="S249">IF(ROW(S249)&lt;=COUNTA(N:N)*2,IF(MOD(ROW(S249),2)=1,INDEX(N:N,(ROW(S249)+1)/2),INDEX(P:P,ROW(S249)/2)),"")</f>
        <v>-243.45</v>
      </c>
      <c r="T249" s="21">
        <f t="array" ref="T249">IF(ROW(T249)&lt;=COUNTA(O:O)*2,IF(MOD(ROW(T249),2)=1,INDEX(O:O,(ROW(T249)+1)/2),INDEX(Q:Q,ROW(T249)/2)),"")</f>
        <v>117.2</v>
      </c>
      <c r="V249" s="22">
        <f t="shared" si="47"/>
        <v>-583.8</v>
      </c>
      <c r="W249" s="22">
        <f t="shared" si="38"/>
        <v>122.664175</v>
      </c>
      <c r="X249" s="22">
        <f t="shared" si="39"/>
        <v>-585.7</v>
      </c>
      <c r="Y249" s="22">
        <f t="shared" si="40"/>
        <v>122.664175</v>
      </c>
      <c r="Z249" s="22"/>
      <c r="AA249" s="22">
        <f t="array" ref="AA249">IF(ROW(AA249)&lt;=COUNTA(V:V)*2,IF(MOD(ROW(AA249),2)=1,INDEX(V:V,(ROW(AA249)+1)/2),INDEX(X:X,ROW(AA249)/2)),"")</f>
        <v>-243.45</v>
      </c>
      <c r="AB249" s="22">
        <f t="array" ref="AB249">IF(ROW(AB249)&lt;=COUNTA(W:W)*2,IF(MOD(ROW(AB249),2)=1,INDEX(W:W,(ROW(AB249)+1)/2),INDEX(Y:Y,ROW(AB249)/2)),"")</f>
        <v>125.246925</v>
      </c>
    </row>
    <row r="250" spans="1:28" s="2" customFormat="1" x14ac:dyDescent="0.25">
      <c r="A250" s="19"/>
      <c r="B250" s="20"/>
      <c r="C250" s="21"/>
      <c r="D250" s="22"/>
      <c r="F250" s="34">
        <f t="shared" si="41"/>
        <v>-585.7</v>
      </c>
      <c r="G250" s="34">
        <f t="shared" si="42"/>
        <v>112.3</v>
      </c>
      <c r="H250" s="34">
        <f t="shared" si="36"/>
        <v>-586.7</v>
      </c>
      <c r="I250" s="34">
        <f t="shared" si="43"/>
        <v>112.3</v>
      </c>
      <c r="J250" s="20"/>
      <c r="K250" s="34">
        <f t="array" ref="K250">IF(ROW(K250)&lt;=COUNTA(F:F)*2,IF(MOD(ROW(K250),2)=1,INDEX(F:F,(ROW(K250)+1)/2),INDEX(H:H,ROW(K250)/2)),"")</f>
        <v>-244.95</v>
      </c>
      <c r="L250" s="34">
        <f t="array" ref="L250">IF(ROW(L250)&lt;=COUNTA(G:G)*2,IF(MOD(ROW(L250),2)=1,INDEX(G:G,(ROW(L250)+1)/2),INDEX(I:I,ROW(L250)/2)),"")</f>
        <v>112.5</v>
      </c>
      <c r="N250" s="21">
        <f t="shared" si="44"/>
        <v>-585.7</v>
      </c>
      <c r="O250" s="21">
        <f t="shared" si="45"/>
        <v>117</v>
      </c>
      <c r="P250" s="21">
        <f t="shared" si="37"/>
        <v>-586.7</v>
      </c>
      <c r="Q250" s="21">
        <f t="shared" si="46"/>
        <v>117</v>
      </c>
      <c r="R250" s="21"/>
      <c r="S250" s="21">
        <f t="array" ref="S250">IF(ROW(S250)&lt;=COUNTA(N:N)*2,IF(MOD(ROW(S250),2)=1,INDEX(N:N,(ROW(S250)+1)/2),INDEX(P:P,ROW(S250)/2)),"")</f>
        <v>-244.95</v>
      </c>
      <c r="T250" s="21">
        <f t="array" ref="T250">IF(ROW(T250)&lt;=COUNTA(O:O)*2,IF(MOD(ROW(T250),2)=1,INDEX(O:O,(ROW(T250)+1)/2),INDEX(Q:Q,ROW(T250)/2)),"")</f>
        <v>117.2</v>
      </c>
      <c r="V250" s="22">
        <f t="shared" si="47"/>
        <v>-585.7</v>
      </c>
      <c r="W250" s="22">
        <f t="shared" si="38"/>
        <v>122.663025</v>
      </c>
      <c r="X250" s="22">
        <f t="shared" si="39"/>
        <v>-586.7</v>
      </c>
      <c r="Y250" s="22">
        <f t="shared" si="40"/>
        <v>122.663025</v>
      </c>
      <c r="Z250" s="22"/>
      <c r="AA250" s="22">
        <f t="array" ref="AA250">IF(ROW(AA250)&lt;=COUNTA(V:V)*2,IF(MOD(ROW(AA250),2)=1,INDEX(V:V,(ROW(AA250)+1)/2),INDEX(X:X,ROW(AA250)/2)),"")</f>
        <v>-244.95</v>
      </c>
      <c r="AB250" s="22">
        <f t="array" ref="AB250">IF(ROW(AB250)&lt;=COUNTA(W:W)*2,IF(MOD(ROW(AB250),2)=1,INDEX(W:W,(ROW(AB250)+1)/2),INDEX(Y:Y,ROW(AB250)/2)),"")</f>
        <v>125.246925</v>
      </c>
    </row>
    <row r="251" spans="1:28" s="2" customFormat="1" x14ac:dyDescent="0.25">
      <c r="A251" s="19"/>
      <c r="B251" s="20"/>
      <c r="C251" s="21"/>
      <c r="D251" s="22"/>
      <c r="F251" s="34">
        <f t="shared" si="41"/>
        <v>-586.7</v>
      </c>
      <c r="G251" s="34">
        <f t="shared" si="42"/>
        <v>112</v>
      </c>
      <c r="H251" s="34">
        <f t="shared" si="36"/>
        <v>-589.8</v>
      </c>
      <c r="I251" s="34">
        <f t="shared" si="43"/>
        <v>112</v>
      </c>
      <c r="J251" s="20"/>
      <c r="K251" s="34">
        <f t="array" ref="K251">IF(ROW(K251)&lt;=COUNTA(F:F)*2,IF(MOD(ROW(K251),2)=1,INDEX(F:F,(ROW(K251)+1)/2),INDEX(H:H,ROW(K251)/2)),"")</f>
        <v>-244.95</v>
      </c>
      <c r="L251" s="34">
        <f t="array" ref="L251">IF(ROW(L251)&lt;=COUNTA(G:G)*2,IF(MOD(ROW(L251),2)=1,INDEX(G:G,(ROW(L251)+1)/2),INDEX(I:I,ROW(L251)/2)),"")</f>
        <v>112.5</v>
      </c>
      <c r="N251" s="21">
        <f t="shared" si="44"/>
        <v>-586.7</v>
      </c>
      <c r="O251" s="21">
        <f t="shared" si="45"/>
        <v>117.1</v>
      </c>
      <c r="P251" s="21">
        <f t="shared" si="37"/>
        <v>-589.8</v>
      </c>
      <c r="Q251" s="21">
        <f t="shared" si="46"/>
        <v>117.1</v>
      </c>
      <c r="R251" s="21"/>
      <c r="S251" s="21">
        <f t="array" ref="S251">IF(ROW(S251)&lt;=COUNTA(N:N)*2,IF(MOD(ROW(S251),2)=1,INDEX(N:N,(ROW(S251)+1)/2),INDEX(P:P,ROW(S251)/2)),"")</f>
        <v>-244.95</v>
      </c>
      <c r="T251" s="21">
        <f t="array" ref="T251">IF(ROW(T251)&lt;=COUNTA(O:O)*2,IF(MOD(ROW(T251),2)=1,INDEX(O:O,(ROW(T251)+1)/2),INDEX(Q:Q,ROW(T251)/2)),"")</f>
        <v>117.6</v>
      </c>
      <c r="V251" s="22">
        <f t="shared" si="47"/>
        <v>-586.7</v>
      </c>
      <c r="W251" s="22">
        <f t="shared" si="38"/>
        <v>122.664175</v>
      </c>
      <c r="X251" s="22">
        <f t="shared" si="39"/>
        <v>-589.8</v>
      </c>
      <c r="Y251" s="22">
        <f t="shared" si="40"/>
        <v>122.664175</v>
      </c>
      <c r="Z251" s="22"/>
      <c r="AA251" s="22">
        <f t="array" ref="AA251">IF(ROW(AA251)&lt;=COUNTA(V:V)*2,IF(MOD(ROW(AA251),2)=1,INDEX(V:V,(ROW(AA251)+1)/2),INDEX(X:X,ROW(AA251)/2)),"")</f>
        <v>-244.95</v>
      </c>
      <c r="AB251" s="22">
        <f t="array" ref="AB251">IF(ROW(AB251)&lt;=COUNTA(W:W)*2,IF(MOD(ROW(AB251),2)=1,INDEX(W:W,(ROW(AB251)+1)/2),INDEX(Y:Y,ROW(AB251)/2)),"")</f>
        <v>125.2741</v>
      </c>
    </row>
    <row r="252" spans="1:28" s="2" customFormat="1" x14ac:dyDescent="0.25">
      <c r="A252" s="19"/>
      <c r="B252" s="20"/>
      <c r="C252" s="21"/>
      <c r="D252" s="22"/>
      <c r="F252" s="34">
        <f t="shared" si="41"/>
        <v>-589.8</v>
      </c>
      <c r="G252" s="34">
        <f t="shared" si="42"/>
        <v>112</v>
      </c>
      <c r="H252" s="34">
        <f t="shared" si="36"/>
        <v>-592.8</v>
      </c>
      <c r="I252" s="34">
        <f t="shared" si="43"/>
        <v>112</v>
      </c>
      <c r="J252" s="20"/>
      <c r="K252" s="34">
        <f t="array" ref="K252">IF(ROW(K252)&lt;=COUNTA(F:F)*2,IF(MOD(ROW(K252),2)=1,INDEX(F:F,(ROW(K252)+1)/2),INDEX(H:H,ROW(K252)/2)),"")</f>
        <v>-247.95</v>
      </c>
      <c r="L252" s="34">
        <f t="array" ref="L252">IF(ROW(L252)&lt;=COUNTA(G:G)*2,IF(MOD(ROW(L252),2)=1,INDEX(G:G,(ROW(L252)+1)/2),INDEX(I:I,ROW(L252)/2)),"")</f>
        <v>112.5</v>
      </c>
      <c r="N252" s="21">
        <f t="shared" si="44"/>
        <v>-589.8</v>
      </c>
      <c r="O252" s="21">
        <f t="shared" si="45"/>
        <v>119.6</v>
      </c>
      <c r="P252" s="21">
        <f t="shared" si="37"/>
        <v>-592.8</v>
      </c>
      <c r="Q252" s="21">
        <f t="shared" si="46"/>
        <v>119.6</v>
      </c>
      <c r="R252" s="21"/>
      <c r="S252" s="21">
        <f t="array" ref="S252">IF(ROW(S252)&lt;=COUNTA(N:N)*2,IF(MOD(ROW(S252),2)=1,INDEX(N:N,(ROW(S252)+1)/2),INDEX(P:P,ROW(S252)/2)),"")</f>
        <v>-247.95</v>
      </c>
      <c r="T252" s="21">
        <f t="array" ref="T252">IF(ROW(T252)&lt;=COUNTA(O:O)*2,IF(MOD(ROW(T252),2)=1,INDEX(O:O,(ROW(T252)+1)/2),INDEX(Q:Q,ROW(T252)/2)),"")</f>
        <v>117.6</v>
      </c>
      <c r="V252" s="22">
        <f t="shared" si="47"/>
        <v>-589.8</v>
      </c>
      <c r="W252" s="22">
        <f t="shared" si="38"/>
        <v>122.6594</v>
      </c>
      <c r="X252" s="22">
        <f t="shared" si="39"/>
        <v>-592.8</v>
      </c>
      <c r="Y252" s="22">
        <f t="shared" si="40"/>
        <v>122.6594</v>
      </c>
      <c r="Z252" s="22"/>
      <c r="AA252" s="22">
        <f t="array" ref="AA252">IF(ROW(AA252)&lt;=COUNTA(V:V)*2,IF(MOD(ROW(AA252),2)=1,INDEX(V:V,(ROW(AA252)+1)/2),INDEX(X:X,ROW(AA252)/2)),"")</f>
        <v>-247.95</v>
      </c>
      <c r="AB252" s="22">
        <f t="array" ref="AB252">IF(ROW(AB252)&lt;=COUNTA(W:W)*2,IF(MOD(ROW(AB252),2)=1,INDEX(W:W,(ROW(AB252)+1)/2),INDEX(Y:Y,ROW(AB252)/2)),"")</f>
        <v>125.2741</v>
      </c>
    </row>
    <row r="253" spans="1:28" s="2" customFormat="1" x14ac:dyDescent="0.25">
      <c r="A253" s="19"/>
      <c r="B253" s="20"/>
      <c r="C253" s="21"/>
      <c r="D253" s="22"/>
      <c r="F253" s="34">
        <f t="shared" si="41"/>
        <v>-592.8</v>
      </c>
      <c r="G253" s="34">
        <f t="shared" si="42"/>
        <v>112.3</v>
      </c>
      <c r="H253" s="34">
        <f t="shared" si="36"/>
        <v>-595.8</v>
      </c>
      <c r="I253" s="34">
        <f t="shared" si="43"/>
        <v>112.3</v>
      </c>
      <c r="J253" s="20"/>
      <c r="K253" s="34">
        <f t="array" ref="K253">IF(ROW(K253)&lt;=COUNTA(F:F)*2,IF(MOD(ROW(K253),2)=1,INDEX(F:F,(ROW(K253)+1)/2),INDEX(H:H,ROW(K253)/2)),"")</f>
        <v>-247.95</v>
      </c>
      <c r="L253" s="34">
        <f t="array" ref="L253">IF(ROW(L253)&lt;=COUNTA(G:G)*2,IF(MOD(ROW(L253),2)=1,INDEX(G:G,(ROW(L253)+1)/2),INDEX(I:I,ROW(L253)/2)),"")</f>
        <v>112.5</v>
      </c>
      <c r="N253" s="21">
        <f t="shared" si="44"/>
        <v>-592.8</v>
      </c>
      <c r="O253" s="21">
        <f t="shared" si="45"/>
        <v>115.2</v>
      </c>
      <c r="P253" s="21">
        <f t="shared" si="37"/>
        <v>-595.8</v>
      </c>
      <c r="Q253" s="21">
        <f t="shared" si="46"/>
        <v>115.2</v>
      </c>
      <c r="R253" s="21"/>
      <c r="S253" s="21">
        <f t="array" ref="S253">IF(ROW(S253)&lt;=COUNTA(N:N)*2,IF(MOD(ROW(S253),2)=1,INDEX(N:N,(ROW(S253)+1)/2),INDEX(P:P,ROW(S253)/2)),"")</f>
        <v>-247.95</v>
      </c>
      <c r="T253" s="21">
        <f t="array" ref="T253">IF(ROW(T253)&lt;=COUNTA(O:O)*2,IF(MOD(ROW(T253),2)=1,INDEX(O:O,(ROW(T253)+1)/2),INDEX(Q:Q,ROW(T253)/2)),"")</f>
        <v>114.9</v>
      </c>
      <c r="V253" s="22">
        <f t="shared" si="47"/>
        <v>-592.8</v>
      </c>
      <c r="W253" s="22">
        <f t="shared" si="38"/>
        <v>122.6508</v>
      </c>
      <c r="X253" s="22">
        <f t="shared" si="39"/>
        <v>-595.8</v>
      </c>
      <c r="Y253" s="22">
        <f t="shared" si="40"/>
        <v>122.6508</v>
      </c>
      <c r="Z253" s="22"/>
      <c r="AA253" s="22">
        <f t="array" ref="AA253">IF(ROW(AA253)&lt;=COUNTA(V:V)*2,IF(MOD(ROW(AA253),2)=1,INDEX(V:V,(ROW(AA253)+1)/2),INDEX(X:X,ROW(AA253)/2)),"")</f>
        <v>-247.95</v>
      </c>
      <c r="AB253" s="22">
        <f t="array" ref="AB253">IF(ROW(AB253)&lt;=COUNTA(W:W)*2,IF(MOD(ROW(AB253),2)=1,INDEX(W:W,(ROW(AB253)+1)/2),INDEX(Y:Y,ROW(AB253)/2)),"")</f>
        <v>124.94975</v>
      </c>
    </row>
    <row r="254" spans="1:28" s="2" customFormat="1" x14ac:dyDescent="0.25">
      <c r="A254" s="19"/>
      <c r="B254" s="20"/>
      <c r="C254" s="21"/>
      <c r="D254" s="22"/>
      <c r="F254" s="34">
        <f t="shared" si="41"/>
        <v>-595.8</v>
      </c>
      <c r="G254" s="34">
        <f t="shared" si="42"/>
        <v>112</v>
      </c>
      <c r="H254" s="34">
        <f t="shared" si="36"/>
        <v>-598.8</v>
      </c>
      <c r="I254" s="34">
        <f t="shared" si="43"/>
        <v>112</v>
      </c>
      <c r="J254" s="20"/>
      <c r="K254" s="34">
        <f t="array" ref="K254">IF(ROW(K254)&lt;=COUNTA(F:F)*2,IF(MOD(ROW(K254),2)=1,INDEX(F:F,(ROW(K254)+1)/2),INDEX(H:H,ROW(K254)/2)),"")</f>
        <v>-250.95</v>
      </c>
      <c r="L254" s="34">
        <f t="array" ref="L254">IF(ROW(L254)&lt;=COUNTA(G:G)*2,IF(MOD(ROW(L254),2)=1,INDEX(G:G,(ROW(L254)+1)/2),INDEX(I:I,ROW(L254)/2)),"")</f>
        <v>112.5</v>
      </c>
      <c r="N254" s="21">
        <f t="shared" si="44"/>
        <v>-595.8</v>
      </c>
      <c r="O254" s="21">
        <f t="shared" si="45"/>
        <v>120.3</v>
      </c>
      <c r="P254" s="21">
        <f t="shared" si="37"/>
        <v>-598.8</v>
      </c>
      <c r="Q254" s="21">
        <f t="shared" si="46"/>
        <v>120.3</v>
      </c>
      <c r="R254" s="21"/>
      <c r="S254" s="21">
        <f t="array" ref="S254">IF(ROW(S254)&lt;=COUNTA(N:N)*2,IF(MOD(ROW(S254),2)=1,INDEX(N:N,(ROW(S254)+1)/2),INDEX(P:P,ROW(S254)/2)),"")</f>
        <v>-250.95</v>
      </c>
      <c r="T254" s="21">
        <f t="array" ref="T254">IF(ROW(T254)&lt;=COUNTA(O:O)*2,IF(MOD(ROW(T254),2)=1,INDEX(O:O,(ROW(T254)+1)/2),INDEX(Q:Q,ROW(T254)/2)),"")</f>
        <v>114.9</v>
      </c>
      <c r="V254" s="22">
        <f t="shared" si="47"/>
        <v>-595.8</v>
      </c>
      <c r="W254" s="22">
        <f t="shared" si="38"/>
        <v>122.8421</v>
      </c>
      <c r="X254" s="22">
        <f t="shared" si="39"/>
        <v>-598.8</v>
      </c>
      <c r="Y254" s="22">
        <f t="shared" si="40"/>
        <v>122.8421</v>
      </c>
      <c r="Z254" s="22"/>
      <c r="AA254" s="22">
        <f t="array" ref="AA254">IF(ROW(AA254)&lt;=COUNTA(V:V)*2,IF(MOD(ROW(AA254),2)=1,INDEX(V:V,(ROW(AA254)+1)/2),INDEX(X:X,ROW(AA254)/2)),"")</f>
        <v>-250.95</v>
      </c>
      <c r="AB254" s="22">
        <f t="array" ref="AB254">IF(ROW(AB254)&lt;=COUNTA(W:W)*2,IF(MOD(ROW(AB254),2)=1,INDEX(W:W,(ROW(AB254)+1)/2),INDEX(Y:Y,ROW(AB254)/2)),"")</f>
        <v>124.94975</v>
      </c>
    </row>
    <row r="255" spans="1:28" s="2" customFormat="1" x14ac:dyDescent="0.25">
      <c r="A255" s="19"/>
      <c r="B255" s="20"/>
      <c r="C255" s="21"/>
      <c r="D255" s="22"/>
      <c r="F255" s="34">
        <f t="shared" si="41"/>
        <v>-598.8</v>
      </c>
      <c r="G255" s="34">
        <f t="shared" si="42"/>
        <v>112.4</v>
      </c>
      <c r="H255" s="34">
        <f t="shared" si="36"/>
        <v>-601.8</v>
      </c>
      <c r="I255" s="34">
        <f t="shared" si="43"/>
        <v>112.4</v>
      </c>
      <c r="J255" s="20"/>
      <c r="K255" s="34">
        <f t="array" ref="K255">IF(ROW(K255)&lt;=COUNTA(F:F)*2,IF(MOD(ROW(K255),2)=1,INDEX(F:F,(ROW(K255)+1)/2),INDEX(H:H,ROW(K255)/2)),"")</f>
        <v>-250.95</v>
      </c>
      <c r="L255" s="34">
        <f t="array" ref="L255">IF(ROW(L255)&lt;=COUNTA(G:G)*2,IF(MOD(ROW(L255),2)=1,INDEX(G:G,(ROW(L255)+1)/2),INDEX(I:I,ROW(L255)/2)),"")</f>
        <v>112.5</v>
      </c>
      <c r="N255" s="21">
        <f t="shared" si="44"/>
        <v>-598.8</v>
      </c>
      <c r="O255" s="21">
        <f t="shared" si="45"/>
        <v>114.4</v>
      </c>
      <c r="P255" s="21">
        <f t="shared" si="37"/>
        <v>-601.8</v>
      </c>
      <c r="Q255" s="21">
        <f t="shared" si="46"/>
        <v>114.4</v>
      </c>
      <c r="R255" s="21"/>
      <c r="S255" s="21">
        <f t="array" ref="S255">IF(ROW(S255)&lt;=COUNTA(N:N)*2,IF(MOD(ROW(S255),2)=1,INDEX(N:N,(ROW(S255)+1)/2),INDEX(P:P,ROW(S255)/2)),"")</f>
        <v>-250.95</v>
      </c>
      <c r="T255" s="21">
        <f t="array" ref="T255">IF(ROW(T255)&lt;=COUNTA(O:O)*2,IF(MOD(ROW(T255),2)=1,INDEX(O:O,(ROW(T255)+1)/2),INDEX(Q:Q,ROW(T255)/2)),"")</f>
        <v>113.2</v>
      </c>
      <c r="V255" s="22">
        <f t="shared" si="47"/>
        <v>-598.8</v>
      </c>
      <c r="W255" s="22">
        <f t="shared" si="38"/>
        <v>123.0052</v>
      </c>
      <c r="X255" s="22">
        <f t="shared" si="39"/>
        <v>-601.8</v>
      </c>
      <c r="Y255" s="22">
        <f t="shared" si="40"/>
        <v>123.0052</v>
      </c>
      <c r="Z255" s="22"/>
      <c r="AA255" s="22">
        <f t="array" ref="AA255">IF(ROW(AA255)&lt;=COUNTA(V:V)*2,IF(MOD(ROW(AA255),2)=1,INDEX(V:V,(ROW(AA255)+1)/2),INDEX(X:X,ROW(AA255)/2)),"")</f>
        <v>-250.95</v>
      </c>
      <c r="AB255" s="22">
        <f t="array" ref="AB255">IF(ROW(AB255)&lt;=COUNTA(W:W)*2,IF(MOD(ROW(AB255),2)=1,INDEX(W:W,(ROW(AB255)+1)/2),INDEX(Y:Y,ROW(AB255)/2)),"")</f>
        <v>124.858475</v>
      </c>
    </row>
    <row r="256" spans="1:28" s="2" customFormat="1" x14ac:dyDescent="0.25">
      <c r="A256" s="19"/>
      <c r="B256" s="20"/>
      <c r="C256" s="21"/>
      <c r="D256" s="22"/>
      <c r="F256" s="34">
        <f t="shared" si="41"/>
        <v>-601.8</v>
      </c>
      <c r="G256" s="34">
        <f t="shared" si="42"/>
        <v>111.8</v>
      </c>
      <c r="H256" s="34">
        <f t="shared" si="36"/>
        <v>-603.3</v>
      </c>
      <c r="I256" s="34">
        <f t="shared" si="43"/>
        <v>111.8</v>
      </c>
      <c r="J256" s="20"/>
      <c r="K256" s="34">
        <f t="array" ref="K256">IF(ROW(K256)&lt;=COUNTA(F:F)*2,IF(MOD(ROW(K256),2)=1,INDEX(F:F,(ROW(K256)+1)/2),INDEX(H:H,ROW(K256)/2)),"")</f>
        <v>-253.85</v>
      </c>
      <c r="L256" s="34">
        <f t="array" ref="L256">IF(ROW(L256)&lt;=COUNTA(G:G)*2,IF(MOD(ROW(L256),2)=1,INDEX(G:G,(ROW(L256)+1)/2),INDEX(I:I,ROW(L256)/2)),"")</f>
        <v>112.5</v>
      </c>
      <c r="N256" s="21">
        <f t="shared" si="44"/>
        <v>-601.8</v>
      </c>
      <c r="O256" s="21">
        <f t="shared" si="45"/>
        <v>119.3</v>
      </c>
      <c r="P256" s="21">
        <f t="shared" si="37"/>
        <v>-603.3</v>
      </c>
      <c r="Q256" s="21">
        <f t="shared" si="46"/>
        <v>119.3</v>
      </c>
      <c r="R256" s="21"/>
      <c r="S256" s="21">
        <f t="array" ref="S256">IF(ROW(S256)&lt;=COUNTA(N:N)*2,IF(MOD(ROW(S256),2)=1,INDEX(N:N,(ROW(S256)+1)/2),INDEX(P:P,ROW(S256)/2)),"")</f>
        <v>-253.85</v>
      </c>
      <c r="T256" s="21">
        <f t="array" ref="T256">IF(ROW(T256)&lt;=COUNTA(O:O)*2,IF(MOD(ROW(T256),2)=1,INDEX(O:O,(ROW(T256)+1)/2),INDEX(Q:Q,ROW(T256)/2)),"")</f>
        <v>113.2</v>
      </c>
      <c r="V256" s="22">
        <f t="shared" si="47"/>
        <v>-601.8</v>
      </c>
      <c r="W256" s="22">
        <f t="shared" si="38"/>
        <v>122.7572</v>
      </c>
      <c r="X256" s="22">
        <f t="shared" si="39"/>
        <v>-603.3</v>
      </c>
      <c r="Y256" s="22">
        <f t="shared" si="40"/>
        <v>122.7572</v>
      </c>
      <c r="Z256" s="22"/>
      <c r="AA256" s="22">
        <f t="array" ref="AA256">IF(ROW(AA256)&lt;=COUNTA(V:V)*2,IF(MOD(ROW(AA256),2)=1,INDEX(V:V,(ROW(AA256)+1)/2),INDEX(X:X,ROW(AA256)/2)),"")</f>
        <v>-253.85</v>
      </c>
      <c r="AB256" s="22">
        <f t="array" ref="AB256">IF(ROW(AB256)&lt;=COUNTA(W:W)*2,IF(MOD(ROW(AB256),2)=1,INDEX(W:W,(ROW(AB256)+1)/2),INDEX(Y:Y,ROW(AB256)/2)),"")</f>
        <v>124.858475</v>
      </c>
    </row>
    <row r="257" spans="1:28" s="2" customFormat="1" x14ac:dyDescent="0.25">
      <c r="A257" s="19"/>
      <c r="B257" s="20"/>
      <c r="C257" s="21"/>
      <c r="D257" s="22"/>
      <c r="F257" s="34">
        <f t="shared" si="41"/>
        <v>-603.3</v>
      </c>
      <c r="G257" s="34">
        <f t="shared" si="42"/>
        <v>112.4</v>
      </c>
      <c r="H257" s="34">
        <f t="shared" si="36"/>
        <v>-606.3</v>
      </c>
      <c r="I257" s="34">
        <f t="shared" si="43"/>
        <v>112.4</v>
      </c>
      <c r="J257" s="20"/>
      <c r="K257" s="34">
        <f t="array" ref="K257">IF(ROW(K257)&lt;=COUNTA(F:F)*2,IF(MOD(ROW(K257),2)=1,INDEX(F:F,(ROW(K257)+1)/2),INDEX(H:H,ROW(K257)/2)),"")</f>
        <v>-253.85</v>
      </c>
      <c r="L257" s="34">
        <f t="array" ref="L257">IF(ROW(L257)&lt;=COUNTA(G:G)*2,IF(MOD(ROW(L257),2)=1,INDEX(G:G,(ROW(L257)+1)/2),INDEX(I:I,ROW(L257)/2)),"")</f>
        <v>112.4</v>
      </c>
      <c r="N257" s="21">
        <f t="shared" si="44"/>
        <v>-603.3</v>
      </c>
      <c r="O257" s="21">
        <f t="shared" si="45"/>
        <v>118.3</v>
      </c>
      <c r="P257" s="21">
        <f t="shared" si="37"/>
        <v>-606.3</v>
      </c>
      <c r="Q257" s="21">
        <f t="shared" si="46"/>
        <v>118.3</v>
      </c>
      <c r="R257" s="21"/>
      <c r="S257" s="21">
        <f t="array" ref="S257">IF(ROW(S257)&lt;=COUNTA(N:N)*2,IF(MOD(ROW(S257),2)=1,INDEX(N:N,(ROW(S257)+1)/2),INDEX(P:P,ROW(S257)/2)),"")</f>
        <v>-253.85</v>
      </c>
      <c r="T257" s="21">
        <f t="array" ref="T257">IF(ROW(T257)&lt;=COUNTA(O:O)*2,IF(MOD(ROW(T257),2)=1,INDEX(O:O,(ROW(T257)+1)/2),INDEX(Q:Q,ROW(T257)/2)),"")</f>
        <v>117</v>
      </c>
      <c r="V257" s="22">
        <f t="shared" si="47"/>
        <v>-603.3</v>
      </c>
      <c r="W257" s="22">
        <f t="shared" si="38"/>
        <v>122.720625</v>
      </c>
      <c r="X257" s="22">
        <f t="shared" si="39"/>
        <v>-606.3</v>
      </c>
      <c r="Y257" s="22">
        <f t="shared" si="40"/>
        <v>122.720625</v>
      </c>
      <c r="Z257" s="22"/>
      <c r="AA257" s="22">
        <f t="array" ref="AA257">IF(ROW(AA257)&lt;=COUNTA(V:V)*2,IF(MOD(ROW(AA257),2)=1,INDEX(V:V,(ROW(AA257)+1)/2),INDEX(X:X,ROW(AA257)/2)),"")</f>
        <v>-253.85</v>
      </c>
      <c r="AB257" s="22">
        <f t="array" ref="AB257">IF(ROW(AB257)&lt;=COUNTA(W:W)*2,IF(MOD(ROW(AB257),2)=1,INDEX(W:W,(ROW(AB257)+1)/2),INDEX(Y:Y,ROW(AB257)/2)),"")</f>
        <v>125.2735</v>
      </c>
    </row>
    <row r="258" spans="1:28" s="2" customFormat="1" x14ac:dyDescent="0.25">
      <c r="A258" s="19"/>
      <c r="B258" s="20"/>
      <c r="C258" s="21"/>
      <c r="D258" s="22"/>
      <c r="F258" s="34">
        <f t="shared" si="41"/>
        <v>-606.3</v>
      </c>
      <c r="G258" s="34">
        <f t="shared" si="42"/>
        <v>112.4</v>
      </c>
      <c r="H258" s="34">
        <f t="shared" si="36"/>
        <v>-609.3</v>
      </c>
      <c r="I258" s="34">
        <f t="shared" si="43"/>
        <v>112.4</v>
      </c>
      <c r="J258" s="20"/>
      <c r="K258" s="34">
        <f t="array" ref="K258">IF(ROW(K258)&lt;=COUNTA(F:F)*2,IF(MOD(ROW(K258),2)=1,INDEX(F:F,(ROW(K258)+1)/2),INDEX(H:H,ROW(K258)/2)),"")</f>
        <v>-256.75</v>
      </c>
      <c r="L258" s="34">
        <f t="array" ref="L258">IF(ROW(L258)&lt;=COUNTA(G:G)*2,IF(MOD(ROW(L258),2)=1,INDEX(G:G,(ROW(L258)+1)/2),INDEX(I:I,ROW(L258)/2)),"")</f>
        <v>112.4</v>
      </c>
      <c r="N258" s="21">
        <f t="shared" si="44"/>
        <v>-606.3</v>
      </c>
      <c r="O258" s="21">
        <f t="shared" si="45"/>
        <v>118.5</v>
      </c>
      <c r="P258" s="21">
        <f t="shared" si="37"/>
        <v>-609.3</v>
      </c>
      <c r="Q258" s="21">
        <f t="shared" si="46"/>
        <v>118.5</v>
      </c>
      <c r="R258" s="21"/>
      <c r="S258" s="21">
        <f t="array" ref="S258">IF(ROW(S258)&lt;=COUNTA(N:N)*2,IF(MOD(ROW(S258),2)=1,INDEX(N:N,(ROW(S258)+1)/2),INDEX(P:P,ROW(S258)/2)),"")</f>
        <v>-256.75</v>
      </c>
      <c r="T258" s="21">
        <f t="array" ref="T258">IF(ROW(T258)&lt;=COUNTA(O:O)*2,IF(MOD(ROW(T258),2)=1,INDEX(O:O,(ROW(T258)+1)/2),INDEX(Q:Q,ROW(T258)/2)),"")</f>
        <v>117</v>
      </c>
      <c r="V258" s="22">
        <f t="shared" si="47"/>
        <v>-606.3</v>
      </c>
      <c r="W258" s="22">
        <f t="shared" si="38"/>
        <v>122.712</v>
      </c>
      <c r="X258" s="22">
        <f t="shared" si="39"/>
        <v>-609.3</v>
      </c>
      <c r="Y258" s="22">
        <f t="shared" si="40"/>
        <v>122.712</v>
      </c>
      <c r="Z258" s="22"/>
      <c r="AA258" s="22">
        <f t="array" ref="AA258">IF(ROW(AA258)&lt;=COUNTA(V:V)*2,IF(MOD(ROW(AA258),2)=1,INDEX(V:V,(ROW(AA258)+1)/2),INDEX(X:X,ROW(AA258)/2)),"")</f>
        <v>-256.75</v>
      </c>
      <c r="AB258" s="22">
        <f t="array" ref="AB258">IF(ROW(AB258)&lt;=COUNTA(W:W)*2,IF(MOD(ROW(AB258),2)=1,INDEX(W:W,(ROW(AB258)+1)/2),INDEX(Y:Y,ROW(AB258)/2)),"")</f>
        <v>125.2735</v>
      </c>
    </row>
    <row r="259" spans="1:28" s="2" customFormat="1" x14ac:dyDescent="0.25">
      <c r="A259" s="19"/>
      <c r="B259" s="20"/>
      <c r="C259" s="21"/>
      <c r="D259" s="22"/>
      <c r="F259" s="34">
        <f t="shared" si="41"/>
        <v>-609.3</v>
      </c>
      <c r="G259" s="34">
        <f t="shared" si="42"/>
        <v>112.4</v>
      </c>
      <c r="H259" s="34">
        <f t="shared" ref="H259:H322" si="48">0-A259</f>
        <v>-612.3</v>
      </c>
      <c r="I259" s="34">
        <f t="shared" si="43"/>
        <v>112.4</v>
      </c>
      <c r="J259" s="20"/>
      <c r="K259" s="34">
        <f t="array" ref="K259">IF(ROW(K259)&lt;=COUNTA(F:F)*2,IF(MOD(ROW(K259),2)=1,INDEX(F:F,(ROW(K259)+1)/2),INDEX(H:H,ROW(K259)/2)),"")</f>
        <v>-256.75</v>
      </c>
      <c r="L259" s="34">
        <f t="array" ref="L259">IF(ROW(L259)&lt;=COUNTA(G:G)*2,IF(MOD(ROW(L259),2)=1,INDEX(G:G,(ROW(L259)+1)/2),INDEX(I:I,ROW(L259)/2)),"")</f>
        <v>112.3</v>
      </c>
      <c r="N259" s="21">
        <f t="shared" si="44"/>
        <v>-609.3</v>
      </c>
      <c r="O259" s="21">
        <f t="shared" si="45"/>
        <v>118.9</v>
      </c>
      <c r="P259" s="21">
        <f t="shared" ref="P259:P322" si="49">0-A259</f>
        <v>-612.3</v>
      </c>
      <c r="Q259" s="21">
        <f t="shared" si="46"/>
        <v>118.9</v>
      </c>
      <c r="R259" s="21"/>
      <c r="S259" s="21">
        <f t="array" ref="S259">IF(ROW(S259)&lt;=COUNTA(N:N)*2,IF(MOD(ROW(S259),2)=1,INDEX(N:N,(ROW(S259)+1)/2),INDEX(P:P,ROW(S259)/2)),"")</f>
        <v>-256.75</v>
      </c>
      <c r="T259" s="21">
        <f t="array" ref="T259">IF(ROW(T259)&lt;=COUNTA(O:O)*2,IF(MOD(ROW(T259),2)=1,INDEX(O:O,(ROW(T259)+1)/2),INDEX(Q:Q,ROW(T259)/2)),"")</f>
        <v>115.4</v>
      </c>
      <c r="V259" s="22">
        <f t="shared" si="47"/>
        <v>-609.3</v>
      </c>
      <c r="W259" s="22">
        <f t="shared" ref="W259:W322" si="50">(49+(D259)*4/4)*2.5</f>
        <v>122.63435</v>
      </c>
      <c r="X259" s="22">
        <f t="shared" ref="X259:X322" si="51">0-A259</f>
        <v>-612.3</v>
      </c>
      <c r="Y259" s="22">
        <f t="shared" ref="Y259:Y322" si="52">(49+(D259)*4/4)*2.5</f>
        <v>122.63435</v>
      </c>
      <c r="Z259" s="22"/>
      <c r="AA259" s="22">
        <f t="array" ref="AA259">IF(ROW(AA259)&lt;=COUNTA(V:V)*2,IF(MOD(ROW(AA259),2)=1,INDEX(V:V,(ROW(AA259)+1)/2),INDEX(X:X,ROW(AA259)/2)),"")</f>
        <v>-256.75</v>
      </c>
      <c r="AB259" s="22">
        <f t="array" ref="AB259">IF(ROW(AB259)&lt;=COUNTA(W:W)*2,IF(MOD(ROW(AB259),2)=1,INDEX(W:W,(ROW(AB259)+1)/2),INDEX(Y:Y,ROW(AB259)/2)),"")</f>
        <v>125.2735</v>
      </c>
    </row>
    <row r="260" spans="1:28" s="2" customFormat="1" x14ac:dyDescent="0.25">
      <c r="A260" s="19"/>
      <c r="B260" s="20"/>
      <c r="C260" s="21"/>
      <c r="D260" s="22"/>
      <c r="F260" s="34">
        <f t="shared" ref="F260:F323" si="53">0-A259</f>
        <v>-612.3</v>
      </c>
      <c r="G260" s="34">
        <f t="shared" ref="G260:G323" si="54">(41+(B260/100)*4)*2.5</f>
        <v>112.4</v>
      </c>
      <c r="H260" s="34">
        <f t="shared" si="48"/>
        <v>-615.3</v>
      </c>
      <c r="I260" s="34">
        <f t="shared" ref="I260:I323" si="55">(41+(B260/100)*4)*2.5</f>
        <v>112.4</v>
      </c>
      <c r="J260" s="20"/>
      <c r="K260" s="34">
        <f t="array" ref="K260">IF(ROW(K260)&lt;=COUNTA(F:F)*2,IF(MOD(ROW(K260),2)=1,INDEX(F:F,(ROW(K260)+1)/2),INDEX(H:H,ROW(K260)/2)),"")</f>
        <v>-259.75</v>
      </c>
      <c r="L260" s="34">
        <f t="array" ref="L260">IF(ROW(L260)&lt;=COUNTA(G:G)*2,IF(MOD(ROW(L260),2)=1,INDEX(G:G,(ROW(L260)+1)/2),INDEX(I:I,ROW(L260)/2)),"")</f>
        <v>112.3</v>
      </c>
      <c r="N260" s="21">
        <f t="shared" ref="N260:N323" si="56">0-A259</f>
        <v>-612.3</v>
      </c>
      <c r="O260" s="21">
        <f t="shared" ref="O260:O323" si="57">(45+(C260/100)*4)*2.5</f>
        <v>115.7</v>
      </c>
      <c r="P260" s="21">
        <f t="shared" si="49"/>
        <v>-615.3</v>
      </c>
      <c r="Q260" s="21">
        <f t="shared" ref="Q260:Q323" si="58">(45+(C260/100)*4)*2.5</f>
        <v>115.7</v>
      </c>
      <c r="R260" s="21"/>
      <c r="S260" s="21">
        <f t="array" ref="S260">IF(ROW(S260)&lt;=COUNTA(N:N)*2,IF(MOD(ROW(S260),2)=1,INDEX(N:N,(ROW(S260)+1)/2),INDEX(P:P,ROW(S260)/2)),"")</f>
        <v>-259.75</v>
      </c>
      <c r="T260" s="21">
        <f t="array" ref="T260">IF(ROW(T260)&lt;=COUNTA(O:O)*2,IF(MOD(ROW(T260),2)=1,INDEX(O:O,(ROW(T260)+1)/2),INDEX(Q:Q,ROW(T260)/2)),"")</f>
        <v>115.4</v>
      </c>
      <c r="V260" s="22">
        <f t="shared" ref="V260:V323" si="59">0-A259</f>
        <v>-612.3</v>
      </c>
      <c r="W260" s="22">
        <f t="shared" si="50"/>
        <v>122.65795</v>
      </c>
      <c r="X260" s="22">
        <f t="shared" si="51"/>
        <v>-615.3</v>
      </c>
      <c r="Y260" s="22">
        <f t="shared" si="52"/>
        <v>122.65795</v>
      </c>
      <c r="Z260" s="22"/>
      <c r="AA260" s="22">
        <f t="array" ref="AA260">IF(ROW(AA260)&lt;=COUNTA(V:V)*2,IF(MOD(ROW(AA260),2)=1,INDEX(V:V,(ROW(AA260)+1)/2),INDEX(X:X,ROW(AA260)/2)),"")</f>
        <v>-259.75</v>
      </c>
      <c r="AB260" s="22">
        <f t="array" ref="AB260">IF(ROW(AB260)&lt;=COUNTA(W:W)*2,IF(MOD(ROW(AB260),2)=1,INDEX(W:W,(ROW(AB260)+1)/2),INDEX(Y:Y,ROW(AB260)/2)),"")</f>
        <v>125.2735</v>
      </c>
    </row>
    <row r="261" spans="1:28" s="2" customFormat="1" x14ac:dyDescent="0.25">
      <c r="A261" s="19"/>
      <c r="B261" s="20"/>
      <c r="C261" s="21"/>
      <c r="D261" s="22"/>
      <c r="F261" s="34">
        <f t="shared" si="53"/>
        <v>-615.3</v>
      </c>
      <c r="G261" s="34">
        <f t="shared" si="54"/>
        <v>112.2</v>
      </c>
      <c r="H261" s="34">
        <f t="shared" si="48"/>
        <v>-617.7</v>
      </c>
      <c r="I261" s="34">
        <f t="shared" si="55"/>
        <v>112.2</v>
      </c>
      <c r="J261" s="20"/>
      <c r="K261" s="34">
        <f t="array" ref="K261">IF(ROW(K261)&lt;=COUNTA(F:F)*2,IF(MOD(ROW(K261),2)=1,INDEX(F:F,(ROW(K261)+1)/2),INDEX(H:H,ROW(K261)/2)),"")</f>
        <v>-259.75</v>
      </c>
      <c r="L261" s="34">
        <f t="array" ref="L261">IF(ROW(L261)&lt;=COUNTA(G:G)*2,IF(MOD(ROW(L261),2)=1,INDEX(G:G,(ROW(L261)+1)/2),INDEX(I:I,ROW(L261)/2)),"")</f>
        <v>112.2</v>
      </c>
      <c r="N261" s="21">
        <f t="shared" si="56"/>
        <v>-615.3</v>
      </c>
      <c r="O261" s="21">
        <f t="shared" si="57"/>
        <v>117.1</v>
      </c>
      <c r="P261" s="21">
        <f t="shared" si="49"/>
        <v>-617.7</v>
      </c>
      <c r="Q261" s="21">
        <f t="shared" si="58"/>
        <v>117.1</v>
      </c>
      <c r="R261" s="21"/>
      <c r="S261" s="21">
        <f t="array" ref="S261">IF(ROW(S261)&lt;=COUNTA(N:N)*2,IF(MOD(ROW(S261),2)=1,INDEX(N:N,(ROW(S261)+1)/2),INDEX(P:P,ROW(S261)/2)),"")</f>
        <v>-259.75</v>
      </c>
      <c r="T261" s="21">
        <f t="array" ref="T261">IF(ROW(T261)&lt;=COUNTA(O:O)*2,IF(MOD(ROW(T261),2)=1,INDEX(O:O,(ROW(T261)+1)/2),INDEX(Q:Q,ROW(T261)/2)),"")</f>
        <v>112.9</v>
      </c>
      <c r="V261" s="22">
        <f t="shared" si="59"/>
        <v>-615.3</v>
      </c>
      <c r="W261" s="22">
        <f t="shared" si="50"/>
        <v>122.6534</v>
      </c>
      <c r="X261" s="22">
        <f t="shared" si="51"/>
        <v>-617.7</v>
      </c>
      <c r="Y261" s="22">
        <f t="shared" si="52"/>
        <v>122.6534</v>
      </c>
      <c r="Z261" s="22"/>
      <c r="AA261" s="22">
        <f t="array" ref="AA261">IF(ROW(AA261)&lt;=COUNTA(V:V)*2,IF(MOD(ROW(AA261),2)=1,INDEX(V:V,(ROW(AA261)+1)/2),INDEX(X:X,ROW(AA261)/2)),"")</f>
        <v>-259.75</v>
      </c>
      <c r="AB261" s="22">
        <f t="array" ref="AB261">IF(ROW(AB261)&lt;=COUNTA(W:W)*2,IF(MOD(ROW(AB261),2)=1,INDEX(W:W,(ROW(AB261)+1)/2),INDEX(Y:Y,ROW(AB261)/2)),"")</f>
        <v>125.701225</v>
      </c>
    </row>
    <row r="262" spans="1:28" s="2" customFormat="1" x14ac:dyDescent="0.25">
      <c r="A262" s="19"/>
      <c r="B262" s="20"/>
      <c r="C262" s="21"/>
      <c r="D262" s="22"/>
      <c r="F262" s="34">
        <f t="shared" si="53"/>
        <v>-617.7</v>
      </c>
      <c r="G262" s="34">
        <f t="shared" si="54"/>
        <v>112.1</v>
      </c>
      <c r="H262" s="34">
        <f t="shared" si="48"/>
        <v>-619.1</v>
      </c>
      <c r="I262" s="34">
        <f t="shared" si="55"/>
        <v>112.1</v>
      </c>
      <c r="J262" s="20"/>
      <c r="K262" s="34">
        <f t="array" ref="K262">IF(ROW(K262)&lt;=COUNTA(F:F)*2,IF(MOD(ROW(K262),2)=1,INDEX(F:F,(ROW(K262)+1)/2),INDEX(H:H,ROW(K262)/2)),"")</f>
        <v>-262.65</v>
      </c>
      <c r="L262" s="34">
        <f t="array" ref="L262">IF(ROW(L262)&lt;=COUNTA(G:G)*2,IF(MOD(ROW(L262),2)=1,INDEX(G:G,(ROW(L262)+1)/2),INDEX(I:I,ROW(L262)/2)),"")</f>
        <v>112.2</v>
      </c>
      <c r="N262" s="21">
        <f t="shared" si="56"/>
        <v>-617.7</v>
      </c>
      <c r="O262" s="21">
        <f t="shared" si="57"/>
        <v>117.2</v>
      </c>
      <c r="P262" s="21">
        <f t="shared" si="49"/>
        <v>-619.1</v>
      </c>
      <c r="Q262" s="21">
        <f t="shared" si="58"/>
        <v>117.2</v>
      </c>
      <c r="R262" s="21"/>
      <c r="S262" s="21">
        <f t="array" ref="S262">IF(ROW(S262)&lt;=COUNTA(N:N)*2,IF(MOD(ROW(S262),2)=1,INDEX(N:N,(ROW(S262)+1)/2),INDEX(P:P,ROW(S262)/2)),"")</f>
        <v>-262.65</v>
      </c>
      <c r="T262" s="21">
        <f t="array" ref="T262">IF(ROW(T262)&lt;=COUNTA(O:O)*2,IF(MOD(ROW(T262),2)=1,INDEX(O:O,(ROW(T262)+1)/2),INDEX(Q:Q,ROW(T262)/2)),"")</f>
        <v>112.9</v>
      </c>
      <c r="V262" s="22">
        <f t="shared" si="59"/>
        <v>-617.7</v>
      </c>
      <c r="W262" s="22">
        <f t="shared" si="50"/>
        <v>122.656525</v>
      </c>
      <c r="X262" s="22">
        <f t="shared" si="51"/>
        <v>-619.1</v>
      </c>
      <c r="Y262" s="22">
        <f t="shared" si="52"/>
        <v>122.656525</v>
      </c>
      <c r="Z262" s="22"/>
      <c r="AA262" s="22">
        <f t="array" ref="AA262">IF(ROW(AA262)&lt;=COUNTA(V:V)*2,IF(MOD(ROW(AA262),2)=1,INDEX(V:V,(ROW(AA262)+1)/2),INDEX(X:X,ROW(AA262)/2)),"")</f>
        <v>-262.65</v>
      </c>
      <c r="AB262" s="22">
        <f t="array" ref="AB262">IF(ROW(AB262)&lt;=COUNTA(W:W)*2,IF(MOD(ROW(AB262),2)=1,INDEX(W:W,(ROW(AB262)+1)/2),INDEX(Y:Y,ROW(AB262)/2)),"")</f>
        <v>125.701225</v>
      </c>
    </row>
    <row r="263" spans="1:28" s="2" customFormat="1" x14ac:dyDescent="0.25">
      <c r="A263" s="19"/>
      <c r="B263" s="20"/>
      <c r="C263" s="21"/>
      <c r="D263" s="22"/>
      <c r="F263" s="34">
        <f t="shared" si="53"/>
        <v>-619.1</v>
      </c>
      <c r="G263" s="34">
        <f t="shared" si="54"/>
        <v>111.9</v>
      </c>
      <c r="H263" s="34">
        <f t="shared" si="48"/>
        <v>-620.1</v>
      </c>
      <c r="I263" s="34">
        <f t="shared" si="55"/>
        <v>111.9</v>
      </c>
      <c r="J263" s="20"/>
      <c r="K263" s="34">
        <f t="array" ref="K263">IF(ROW(K263)&lt;=COUNTA(F:F)*2,IF(MOD(ROW(K263),2)=1,INDEX(F:F,(ROW(K263)+1)/2),INDEX(H:H,ROW(K263)/2)),"")</f>
        <v>-262.65</v>
      </c>
      <c r="L263" s="34">
        <f t="array" ref="L263">IF(ROW(L263)&lt;=COUNTA(G:G)*2,IF(MOD(ROW(L263),2)=1,INDEX(G:G,(ROW(L263)+1)/2),INDEX(I:I,ROW(L263)/2)),"")</f>
        <v>112.5</v>
      </c>
      <c r="N263" s="21">
        <f t="shared" si="56"/>
        <v>-619.1</v>
      </c>
      <c r="O263" s="21">
        <f t="shared" si="57"/>
        <v>119.9</v>
      </c>
      <c r="P263" s="21">
        <f t="shared" si="49"/>
        <v>-620.1</v>
      </c>
      <c r="Q263" s="21">
        <f t="shared" si="58"/>
        <v>119.9</v>
      </c>
      <c r="R263" s="21"/>
      <c r="S263" s="21">
        <f t="array" ref="S263">IF(ROW(S263)&lt;=COUNTA(N:N)*2,IF(MOD(ROW(S263),2)=1,INDEX(N:N,(ROW(S263)+1)/2),INDEX(P:P,ROW(S263)/2)),"")</f>
        <v>-262.65</v>
      </c>
      <c r="T263" s="21">
        <f t="array" ref="T263">IF(ROW(T263)&lt;=COUNTA(O:O)*2,IF(MOD(ROW(T263),2)=1,INDEX(O:O,(ROW(T263)+1)/2),INDEX(Q:Q,ROW(T263)/2)),"")</f>
        <v>113</v>
      </c>
      <c r="V263" s="22">
        <f t="shared" si="59"/>
        <v>-619.1</v>
      </c>
      <c r="W263" s="22">
        <f t="shared" si="50"/>
        <v>122.65365</v>
      </c>
      <c r="X263" s="22">
        <f t="shared" si="51"/>
        <v>-620.1</v>
      </c>
      <c r="Y263" s="22">
        <f t="shared" si="52"/>
        <v>122.65365</v>
      </c>
      <c r="Z263" s="22"/>
      <c r="AA263" s="22">
        <f t="array" ref="AA263">IF(ROW(AA263)&lt;=COUNTA(V:V)*2,IF(MOD(ROW(AA263),2)=1,INDEX(V:V,(ROW(AA263)+1)/2),INDEX(X:X,ROW(AA263)/2)),"")</f>
        <v>-262.65</v>
      </c>
      <c r="AB263" s="22">
        <f t="array" ref="AB263">IF(ROW(AB263)&lt;=COUNTA(W:W)*2,IF(MOD(ROW(AB263),2)=1,INDEX(W:W,(ROW(AB263)+1)/2),INDEX(Y:Y,ROW(AB263)/2)),"")</f>
        <v>125.385525</v>
      </c>
    </row>
    <row r="264" spans="1:28" s="2" customFormat="1" x14ac:dyDescent="0.25">
      <c r="A264" s="19"/>
      <c r="B264" s="20"/>
      <c r="C264" s="21"/>
      <c r="D264" s="22"/>
      <c r="F264" s="34">
        <f t="shared" si="53"/>
        <v>-620.1</v>
      </c>
      <c r="G264" s="34">
        <f t="shared" si="54"/>
        <v>112</v>
      </c>
      <c r="H264" s="34">
        <f t="shared" si="48"/>
        <v>-621.6</v>
      </c>
      <c r="I264" s="34">
        <f t="shared" si="55"/>
        <v>112</v>
      </c>
      <c r="J264" s="20"/>
      <c r="K264" s="34">
        <f t="array" ref="K264">IF(ROW(K264)&lt;=COUNTA(F:F)*2,IF(MOD(ROW(K264),2)=1,INDEX(F:F,(ROW(K264)+1)/2),INDEX(H:H,ROW(K264)/2)),"")</f>
        <v>-265.45</v>
      </c>
      <c r="L264" s="34">
        <f t="array" ref="L264">IF(ROW(L264)&lt;=COUNTA(G:G)*2,IF(MOD(ROW(L264),2)=1,INDEX(G:G,(ROW(L264)+1)/2),INDEX(I:I,ROW(L264)/2)),"")</f>
        <v>112.5</v>
      </c>
      <c r="N264" s="21">
        <f t="shared" si="56"/>
        <v>-620.1</v>
      </c>
      <c r="O264" s="21">
        <f t="shared" si="57"/>
        <v>119.9</v>
      </c>
      <c r="P264" s="21">
        <f t="shared" si="49"/>
        <v>-621.6</v>
      </c>
      <c r="Q264" s="21">
        <f t="shared" si="58"/>
        <v>119.9</v>
      </c>
      <c r="R264" s="21"/>
      <c r="S264" s="21">
        <f t="array" ref="S264">IF(ROW(S264)&lt;=COUNTA(N:N)*2,IF(MOD(ROW(S264),2)=1,INDEX(N:N,(ROW(S264)+1)/2),INDEX(P:P,ROW(S264)/2)),"")</f>
        <v>-265.45</v>
      </c>
      <c r="T264" s="21">
        <f t="array" ref="T264">IF(ROW(T264)&lt;=COUNTA(O:O)*2,IF(MOD(ROW(T264),2)=1,INDEX(O:O,(ROW(T264)+1)/2),INDEX(Q:Q,ROW(T264)/2)),"")</f>
        <v>113</v>
      </c>
      <c r="V264" s="22">
        <f t="shared" si="59"/>
        <v>-620.1</v>
      </c>
      <c r="W264" s="22">
        <f t="shared" si="50"/>
        <v>122.65195</v>
      </c>
      <c r="X264" s="22">
        <f t="shared" si="51"/>
        <v>-621.6</v>
      </c>
      <c r="Y264" s="22">
        <f t="shared" si="52"/>
        <v>122.65195</v>
      </c>
      <c r="Z264" s="22"/>
      <c r="AA264" s="22">
        <f t="array" ref="AA264">IF(ROW(AA264)&lt;=COUNTA(V:V)*2,IF(MOD(ROW(AA264),2)=1,INDEX(V:V,(ROW(AA264)+1)/2),INDEX(X:X,ROW(AA264)/2)),"")</f>
        <v>-265.45</v>
      </c>
      <c r="AB264" s="22">
        <f t="array" ref="AB264">IF(ROW(AB264)&lt;=COUNTA(W:W)*2,IF(MOD(ROW(AB264),2)=1,INDEX(W:W,(ROW(AB264)+1)/2),INDEX(Y:Y,ROW(AB264)/2)),"")</f>
        <v>125.385525</v>
      </c>
    </row>
    <row r="265" spans="1:28" s="2" customFormat="1" x14ac:dyDescent="0.25">
      <c r="A265" s="19"/>
      <c r="B265" s="20"/>
      <c r="C265" s="21"/>
      <c r="D265" s="22"/>
      <c r="F265" s="34">
        <f t="shared" si="53"/>
        <v>-621.6</v>
      </c>
      <c r="G265" s="34">
        <f t="shared" si="54"/>
        <v>112.4</v>
      </c>
      <c r="H265" s="34">
        <f t="shared" si="48"/>
        <v>-623.75</v>
      </c>
      <c r="I265" s="34">
        <f t="shared" si="55"/>
        <v>112.4</v>
      </c>
      <c r="J265" s="20"/>
      <c r="K265" s="34">
        <f t="array" ref="K265">IF(ROW(K265)&lt;=COUNTA(F:F)*2,IF(MOD(ROW(K265),2)=1,INDEX(F:F,(ROW(K265)+1)/2),INDEX(H:H,ROW(K265)/2)),"")</f>
        <v>-265.45</v>
      </c>
      <c r="L265" s="34">
        <f t="array" ref="L265">IF(ROW(L265)&lt;=COUNTA(G:G)*2,IF(MOD(ROW(L265),2)=1,INDEX(G:G,(ROW(L265)+1)/2),INDEX(I:I,ROW(L265)/2)),"")</f>
        <v>112.4</v>
      </c>
      <c r="N265" s="21">
        <f t="shared" si="56"/>
        <v>-621.6</v>
      </c>
      <c r="O265" s="21">
        <f t="shared" si="57"/>
        <v>122.2</v>
      </c>
      <c r="P265" s="21">
        <f t="shared" si="49"/>
        <v>-623.75</v>
      </c>
      <c r="Q265" s="21">
        <f t="shared" si="58"/>
        <v>122.2</v>
      </c>
      <c r="R265" s="21"/>
      <c r="S265" s="21">
        <f t="array" ref="S265">IF(ROW(S265)&lt;=COUNTA(N:N)*2,IF(MOD(ROW(S265),2)=1,INDEX(N:N,(ROW(S265)+1)/2),INDEX(P:P,ROW(S265)/2)),"")</f>
        <v>-265.45</v>
      </c>
      <c r="T265" s="21">
        <f t="array" ref="T265">IF(ROW(T265)&lt;=COUNTA(O:O)*2,IF(MOD(ROW(T265),2)=1,INDEX(O:O,(ROW(T265)+1)/2),INDEX(Q:Q,ROW(T265)/2)),"")</f>
        <v>114.7</v>
      </c>
      <c r="V265" s="22">
        <f t="shared" si="59"/>
        <v>-621.6</v>
      </c>
      <c r="W265" s="22">
        <f t="shared" si="50"/>
        <v>122.65635</v>
      </c>
      <c r="X265" s="22">
        <f t="shared" si="51"/>
        <v>-623.75</v>
      </c>
      <c r="Y265" s="22">
        <f t="shared" si="52"/>
        <v>122.65635</v>
      </c>
      <c r="Z265" s="22"/>
      <c r="AA265" s="22">
        <f t="array" ref="AA265">IF(ROW(AA265)&lt;=COUNTA(V:V)*2,IF(MOD(ROW(AA265),2)=1,INDEX(V:V,(ROW(AA265)+1)/2),INDEX(X:X,ROW(AA265)/2)),"")</f>
        <v>-265.45</v>
      </c>
      <c r="AB265" s="22">
        <f t="array" ref="AB265">IF(ROW(AB265)&lt;=COUNTA(W:W)*2,IF(MOD(ROW(AB265),2)=1,INDEX(W:W,(ROW(AB265)+1)/2),INDEX(Y:Y,ROW(AB265)/2)),"")</f>
        <v>125.43845</v>
      </c>
    </row>
    <row r="266" spans="1:28" s="2" customFormat="1" x14ac:dyDescent="0.25">
      <c r="A266" s="19"/>
      <c r="B266" s="20"/>
      <c r="C266" s="21"/>
      <c r="D266" s="22"/>
      <c r="F266" s="34">
        <f t="shared" si="53"/>
        <v>-623.75</v>
      </c>
      <c r="G266" s="34">
        <f t="shared" si="54"/>
        <v>112.3</v>
      </c>
      <c r="H266" s="34">
        <f t="shared" si="48"/>
        <v>-625.8</v>
      </c>
      <c r="I266" s="34">
        <f t="shared" si="55"/>
        <v>112.3</v>
      </c>
      <c r="J266" s="20"/>
      <c r="K266" s="34">
        <f t="array" ref="K266">IF(ROW(K266)&lt;=COUNTA(F:F)*2,IF(MOD(ROW(K266),2)=1,INDEX(F:F,(ROW(K266)+1)/2),INDEX(H:H,ROW(K266)/2)),"")</f>
        <v>-267.45</v>
      </c>
      <c r="L266" s="34">
        <f t="array" ref="L266">IF(ROW(L266)&lt;=COUNTA(G:G)*2,IF(MOD(ROW(L266),2)=1,INDEX(G:G,(ROW(L266)+1)/2),INDEX(I:I,ROW(L266)/2)),"")</f>
        <v>112.4</v>
      </c>
      <c r="N266" s="21">
        <f t="shared" si="56"/>
        <v>-623.75</v>
      </c>
      <c r="O266" s="21">
        <f t="shared" si="57"/>
        <v>119.5</v>
      </c>
      <c r="P266" s="21">
        <f t="shared" si="49"/>
        <v>-625.8</v>
      </c>
      <c r="Q266" s="21">
        <f t="shared" si="58"/>
        <v>119.5</v>
      </c>
      <c r="R266" s="21"/>
      <c r="S266" s="21">
        <f t="array" ref="S266">IF(ROW(S266)&lt;=COUNTA(N:N)*2,IF(MOD(ROW(S266),2)=1,INDEX(N:N,(ROW(S266)+1)/2),INDEX(P:P,ROW(S266)/2)),"")</f>
        <v>-267.45</v>
      </c>
      <c r="T266" s="21">
        <f t="array" ref="T266">IF(ROW(T266)&lt;=COUNTA(O:O)*2,IF(MOD(ROW(T266),2)=1,INDEX(O:O,(ROW(T266)+1)/2),INDEX(Q:Q,ROW(T266)/2)),"")</f>
        <v>114.7</v>
      </c>
      <c r="V266" s="22">
        <f t="shared" si="59"/>
        <v>-623.75</v>
      </c>
      <c r="W266" s="22">
        <f t="shared" si="50"/>
        <v>122.6596</v>
      </c>
      <c r="X266" s="22">
        <f t="shared" si="51"/>
        <v>-625.8</v>
      </c>
      <c r="Y266" s="22">
        <f t="shared" si="52"/>
        <v>122.6596</v>
      </c>
      <c r="Z266" s="22"/>
      <c r="AA266" s="22">
        <f t="array" ref="AA266">IF(ROW(AA266)&lt;=COUNTA(V:V)*2,IF(MOD(ROW(AA266),2)=1,INDEX(V:V,(ROW(AA266)+1)/2),INDEX(X:X,ROW(AA266)/2)),"")</f>
        <v>-267.45</v>
      </c>
      <c r="AB266" s="22">
        <f t="array" ref="AB266">IF(ROW(AB266)&lt;=COUNTA(W:W)*2,IF(MOD(ROW(AB266),2)=1,INDEX(W:W,(ROW(AB266)+1)/2),INDEX(Y:Y,ROW(AB266)/2)),"")</f>
        <v>125.43845</v>
      </c>
    </row>
    <row r="267" spans="1:28" s="2" customFormat="1" x14ac:dyDescent="0.25">
      <c r="A267" s="19"/>
      <c r="B267" s="20"/>
      <c r="C267" s="21"/>
      <c r="D267" s="22"/>
      <c r="F267" s="34">
        <f t="shared" si="53"/>
        <v>-625.8</v>
      </c>
      <c r="G267" s="34">
        <f t="shared" si="54"/>
        <v>112.4</v>
      </c>
      <c r="H267" s="34">
        <f t="shared" si="48"/>
        <v>-628.8</v>
      </c>
      <c r="I267" s="34">
        <f t="shared" si="55"/>
        <v>112.4</v>
      </c>
      <c r="J267" s="20"/>
      <c r="K267" s="34">
        <f t="array" ref="K267">IF(ROW(K267)&lt;=COUNTA(F:F)*2,IF(MOD(ROW(K267),2)=1,INDEX(F:F,(ROW(K267)+1)/2),INDEX(H:H,ROW(K267)/2)),"")</f>
        <v>-267.45</v>
      </c>
      <c r="L267" s="34">
        <f t="array" ref="L267">IF(ROW(L267)&lt;=COUNTA(G:G)*2,IF(MOD(ROW(L267),2)=1,INDEX(G:G,(ROW(L267)+1)/2),INDEX(I:I,ROW(L267)/2)),"")</f>
        <v>112.5</v>
      </c>
      <c r="N267" s="21">
        <f t="shared" si="56"/>
        <v>-625.8</v>
      </c>
      <c r="O267" s="21">
        <f t="shared" si="57"/>
        <v>112.5</v>
      </c>
      <c r="P267" s="21">
        <f t="shared" si="49"/>
        <v>-628.8</v>
      </c>
      <c r="Q267" s="21">
        <f t="shared" si="58"/>
        <v>112.5</v>
      </c>
      <c r="R267" s="21"/>
      <c r="S267" s="21">
        <f t="array" ref="S267">IF(ROW(S267)&lt;=COUNTA(N:N)*2,IF(MOD(ROW(S267),2)=1,INDEX(N:N,(ROW(S267)+1)/2),INDEX(P:P,ROW(S267)/2)),"")</f>
        <v>-267.45</v>
      </c>
      <c r="T267" s="21">
        <f t="array" ref="T267">IF(ROW(T267)&lt;=COUNTA(O:O)*2,IF(MOD(ROW(T267),2)=1,INDEX(O:O,(ROW(T267)+1)/2),INDEX(Q:Q,ROW(T267)/2)),"")</f>
        <v>122</v>
      </c>
      <c r="V267" s="22">
        <f t="shared" si="59"/>
        <v>-625.8</v>
      </c>
      <c r="W267" s="22">
        <f t="shared" si="50"/>
        <v>122.647675</v>
      </c>
      <c r="X267" s="22">
        <f t="shared" si="51"/>
        <v>-628.8</v>
      </c>
      <c r="Y267" s="22">
        <f t="shared" si="52"/>
        <v>122.647675</v>
      </c>
      <c r="Z267" s="22"/>
      <c r="AA267" s="22">
        <f t="array" ref="AA267">IF(ROW(AA267)&lt;=COUNTA(V:V)*2,IF(MOD(ROW(AA267),2)=1,INDEX(V:V,(ROW(AA267)+1)/2),INDEX(X:X,ROW(AA267)/2)),"")</f>
        <v>-267.45</v>
      </c>
      <c r="AB267" s="22">
        <f t="array" ref="AB267">IF(ROW(AB267)&lt;=COUNTA(W:W)*2,IF(MOD(ROW(AB267),2)=1,INDEX(W:W,(ROW(AB267)+1)/2),INDEX(Y:Y,ROW(AB267)/2)),"")</f>
        <v>125.0898</v>
      </c>
    </row>
    <row r="268" spans="1:28" s="2" customFormat="1" x14ac:dyDescent="0.25">
      <c r="A268" s="19"/>
      <c r="B268" s="20"/>
      <c r="C268" s="21"/>
      <c r="D268" s="22"/>
      <c r="F268" s="34">
        <f t="shared" si="53"/>
        <v>-628.8</v>
      </c>
      <c r="G268" s="34">
        <f t="shared" si="54"/>
        <v>112</v>
      </c>
      <c r="H268" s="34">
        <f t="shared" si="48"/>
        <v>-629.35</v>
      </c>
      <c r="I268" s="34">
        <f t="shared" si="55"/>
        <v>112</v>
      </c>
      <c r="J268" s="20"/>
      <c r="K268" s="34">
        <f t="array" ref="K268">IF(ROW(K268)&lt;=COUNTA(F:F)*2,IF(MOD(ROW(K268),2)=1,INDEX(F:F,(ROW(K268)+1)/2),INDEX(H:H,ROW(K268)/2)),"")</f>
        <v>-268.95</v>
      </c>
      <c r="L268" s="34">
        <f t="array" ref="L268">IF(ROW(L268)&lt;=COUNTA(G:G)*2,IF(MOD(ROW(L268),2)=1,INDEX(G:G,(ROW(L268)+1)/2),INDEX(I:I,ROW(L268)/2)),"")</f>
        <v>112.5</v>
      </c>
      <c r="N268" s="21">
        <f t="shared" si="56"/>
        <v>-628.8</v>
      </c>
      <c r="O268" s="21">
        <f t="shared" si="57"/>
        <v>119.2</v>
      </c>
      <c r="P268" s="21">
        <f t="shared" si="49"/>
        <v>-629.35</v>
      </c>
      <c r="Q268" s="21">
        <f t="shared" si="58"/>
        <v>119.2</v>
      </c>
      <c r="R268" s="21"/>
      <c r="S268" s="21">
        <f t="array" ref="S268">IF(ROW(S268)&lt;=COUNTA(N:N)*2,IF(MOD(ROW(S268),2)=1,INDEX(N:N,(ROW(S268)+1)/2),INDEX(P:P,ROW(S268)/2)),"")</f>
        <v>-268.95</v>
      </c>
      <c r="T268" s="21">
        <f t="array" ref="T268">IF(ROW(T268)&lt;=COUNTA(O:O)*2,IF(MOD(ROW(T268),2)=1,INDEX(O:O,(ROW(T268)+1)/2),INDEX(Q:Q,ROW(T268)/2)),"")</f>
        <v>122</v>
      </c>
      <c r="V268" s="22">
        <f t="shared" si="59"/>
        <v>-628.8</v>
      </c>
      <c r="W268" s="22">
        <f t="shared" si="50"/>
        <v>122.6514</v>
      </c>
      <c r="X268" s="22">
        <f t="shared" si="51"/>
        <v>-629.35</v>
      </c>
      <c r="Y268" s="22">
        <f t="shared" si="52"/>
        <v>122.6514</v>
      </c>
      <c r="Z268" s="22"/>
      <c r="AA268" s="22">
        <f t="array" ref="AA268">IF(ROW(AA268)&lt;=COUNTA(V:V)*2,IF(MOD(ROW(AA268),2)=1,INDEX(V:V,(ROW(AA268)+1)/2),INDEX(X:X,ROW(AA268)/2)),"")</f>
        <v>-268.95</v>
      </c>
      <c r="AB268" s="22">
        <f t="array" ref="AB268">IF(ROW(AB268)&lt;=COUNTA(W:W)*2,IF(MOD(ROW(AB268),2)=1,INDEX(W:W,(ROW(AB268)+1)/2),INDEX(Y:Y,ROW(AB268)/2)),"")</f>
        <v>125.0898</v>
      </c>
    </row>
    <row r="269" spans="1:28" s="2" customFormat="1" x14ac:dyDescent="0.25">
      <c r="A269" s="19"/>
      <c r="B269" s="20"/>
      <c r="C269" s="21"/>
      <c r="D269" s="22"/>
      <c r="F269" s="34">
        <f t="shared" si="53"/>
        <v>-629.35</v>
      </c>
      <c r="G269" s="34">
        <f t="shared" si="54"/>
        <v>111.6</v>
      </c>
      <c r="H269" s="34">
        <f t="shared" si="48"/>
        <v>-631.8</v>
      </c>
      <c r="I269" s="34">
        <f t="shared" si="55"/>
        <v>111.6</v>
      </c>
      <c r="J269" s="20"/>
      <c r="K269" s="34">
        <f t="array" ref="K269">IF(ROW(K269)&lt;=COUNTA(F:F)*2,IF(MOD(ROW(K269),2)=1,INDEX(F:F,(ROW(K269)+1)/2),INDEX(H:H,ROW(K269)/2)),"")</f>
        <v>-268.95</v>
      </c>
      <c r="L269" s="34">
        <f t="array" ref="L269">IF(ROW(L269)&lt;=COUNTA(G:G)*2,IF(MOD(ROW(L269),2)=1,INDEX(G:G,(ROW(L269)+1)/2),INDEX(I:I,ROW(L269)/2)),"")</f>
        <v>112.5</v>
      </c>
      <c r="N269" s="21">
        <f t="shared" si="56"/>
        <v>-629.35</v>
      </c>
      <c r="O269" s="21">
        <f t="shared" si="57"/>
        <v>121.1</v>
      </c>
      <c r="P269" s="21">
        <f t="shared" si="49"/>
        <v>-631.8</v>
      </c>
      <c r="Q269" s="21">
        <f t="shared" si="58"/>
        <v>121.1</v>
      </c>
      <c r="R269" s="21"/>
      <c r="S269" s="21">
        <f t="array" ref="S269">IF(ROW(S269)&lt;=COUNTA(N:N)*2,IF(MOD(ROW(S269),2)=1,INDEX(N:N,(ROW(S269)+1)/2),INDEX(P:P,ROW(S269)/2)),"")</f>
        <v>-268.95</v>
      </c>
      <c r="T269" s="21">
        <f t="array" ref="T269">IF(ROW(T269)&lt;=COUNTA(O:O)*2,IF(MOD(ROW(T269),2)=1,INDEX(O:O,(ROW(T269)+1)/2),INDEX(Q:Q,ROW(T269)/2)),"")</f>
        <v>121.2</v>
      </c>
      <c r="V269" s="22">
        <f t="shared" si="59"/>
        <v>-629.35</v>
      </c>
      <c r="W269" s="22">
        <f t="shared" si="50"/>
        <v>122.663675</v>
      </c>
      <c r="X269" s="22">
        <f t="shared" si="51"/>
        <v>-631.8</v>
      </c>
      <c r="Y269" s="22">
        <f t="shared" si="52"/>
        <v>122.663675</v>
      </c>
      <c r="Z269" s="22"/>
      <c r="AA269" s="22">
        <f t="array" ref="AA269">IF(ROW(AA269)&lt;=COUNTA(V:V)*2,IF(MOD(ROW(AA269),2)=1,INDEX(V:V,(ROW(AA269)+1)/2),INDEX(X:X,ROW(AA269)/2)),"")</f>
        <v>-268.95</v>
      </c>
      <c r="AB269" s="22">
        <f t="array" ref="AB269">IF(ROW(AB269)&lt;=COUNTA(W:W)*2,IF(MOD(ROW(AB269),2)=1,INDEX(W:W,(ROW(AB269)+1)/2),INDEX(Y:Y,ROW(AB269)/2)),"")</f>
        <v>124.856625</v>
      </c>
    </row>
    <row r="270" spans="1:28" s="2" customFormat="1" x14ac:dyDescent="0.25">
      <c r="A270" s="19"/>
      <c r="B270" s="20"/>
      <c r="C270" s="21"/>
      <c r="D270" s="22"/>
      <c r="F270" s="34">
        <f t="shared" si="53"/>
        <v>-631.8</v>
      </c>
      <c r="G270" s="34">
        <f t="shared" si="54"/>
        <v>112.4</v>
      </c>
      <c r="H270" s="34">
        <f t="shared" si="48"/>
        <v>-634.8</v>
      </c>
      <c r="I270" s="34">
        <f t="shared" si="55"/>
        <v>112.4</v>
      </c>
      <c r="J270" s="20"/>
      <c r="K270" s="34">
        <f t="array" ref="K270">IF(ROW(K270)&lt;=COUNTA(F:F)*2,IF(MOD(ROW(K270),2)=1,INDEX(F:F,(ROW(K270)+1)/2),INDEX(H:H,ROW(K270)/2)),"")</f>
        <v>-271.95</v>
      </c>
      <c r="L270" s="34">
        <f t="array" ref="L270">IF(ROW(L270)&lt;=COUNTA(G:G)*2,IF(MOD(ROW(L270),2)=1,INDEX(G:G,(ROW(L270)+1)/2),INDEX(I:I,ROW(L270)/2)),"")</f>
        <v>112.5</v>
      </c>
      <c r="N270" s="21">
        <f t="shared" si="56"/>
        <v>-631.8</v>
      </c>
      <c r="O270" s="21">
        <f t="shared" si="57"/>
        <v>120.7</v>
      </c>
      <c r="P270" s="21">
        <f t="shared" si="49"/>
        <v>-634.8</v>
      </c>
      <c r="Q270" s="21">
        <f t="shared" si="58"/>
        <v>120.7</v>
      </c>
      <c r="R270" s="21"/>
      <c r="S270" s="21">
        <f t="array" ref="S270">IF(ROW(S270)&lt;=COUNTA(N:N)*2,IF(MOD(ROW(S270),2)=1,INDEX(N:N,(ROW(S270)+1)/2),INDEX(P:P,ROW(S270)/2)),"")</f>
        <v>-271.95</v>
      </c>
      <c r="T270" s="21">
        <f t="array" ref="T270">IF(ROW(T270)&lt;=COUNTA(O:O)*2,IF(MOD(ROW(T270),2)=1,INDEX(O:O,(ROW(T270)+1)/2),INDEX(Q:Q,ROW(T270)/2)),"")</f>
        <v>121.2</v>
      </c>
      <c r="V270" s="22">
        <f t="shared" si="59"/>
        <v>-631.8</v>
      </c>
      <c r="W270" s="22">
        <f t="shared" si="50"/>
        <v>122.77185</v>
      </c>
      <c r="X270" s="22">
        <f t="shared" si="51"/>
        <v>-634.8</v>
      </c>
      <c r="Y270" s="22">
        <f t="shared" si="52"/>
        <v>122.77185</v>
      </c>
      <c r="Z270" s="22"/>
      <c r="AA270" s="22">
        <f t="array" ref="AA270">IF(ROW(AA270)&lt;=COUNTA(V:V)*2,IF(MOD(ROW(AA270),2)=1,INDEX(V:V,(ROW(AA270)+1)/2),INDEX(X:X,ROW(AA270)/2)),"")</f>
        <v>-271.95</v>
      </c>
      <c r="AB270" s="22">
        <f t="array" ref="AB270">IF(ROW(AB270)&lt;=COUNTA(W:W)*2,IF(MOD(ROW(AB270),2)=1,INDEX(W:W,(ROW(AB270)+1)/2),INDEX(Y:Y,ROW(AB270)/2)),"")</f>
        <v>124.856625</v>
      </c>
    </row>
    <row r="271" spans="1:28" s="2" customFormat="1" x14ac:dyDescent="0.25">
      <c r="A271" s="19"/>
      <c r="B271" s="20"/>
      <c r="C271" s="21"/>
      <c r="D271" s="22"/>
      <c r="F271" s="34">
        <f t="shared" si="53"/>
        <v>-634.8</v>
      </c>
      <c r="G271" s="34">
        <f t="shared" si="54"/>
        <v>111.8</v>
      </c>
      <c r="H271" s="34">
        <f t="shared" si="48"/>
        <v>-636.3</v>
      </c>
      <c r="I271" s="34">
        <f t="shared" si="55"/>
        <v>111.8</v>
      </c>
      <c r="J271" s="20"/>
      <c r="K271" s="34">
        <f t="array" ref="K271">IF(ROW(K271)&lt;=COUNTA(F:F)*2,IF(MOD(ROW(K271),2)=1,INDEX(F:F,(ROW(K271)+1)/2),INDEX(H:H,ROW(K271)/2)),"")</f>
        <v>-271.95</v>
      </c>
      <c r="L271" s="34">
        <f t="array" ref="L271">IF(ROW(L271)&lt;=COUNTA(G:G)*2,IF(MOD(ROW(L271),2)=1,INDEX(G:G,(ROW(L271)+1)/2),INDEX(I:I,ROW(L271)/2)),"")</f>
        <v>112.5</v>
      </c>
      <c r="N271" s="21">
        <f t="shared" si="56"/>
        <v>-634.8</v>
      </c>
      <c r="O271" s="21">
        <f t="shared" si="57"/>
        <v>121</v>
      </c>
      <c r="P271" s="21">
        <f t="shared" si="49"/>
        <v>-636.3</v>
      </c>
      <c r="Q271" s="21">
        <f t="shared" si="58"/>
        <v>121</v>
      </c>
      <c r="R271" s="21"/>
      <c r="S271" s="21">
        <f t="array" ref="S271">IF(ROW(S271)&lt;=COUNTA(N:N)*2,IF(MOD(ROW(S271),2)=1,INDEX(N:N,(ROW(S271)+1)/2),INDEX(P:P,ROW(S271)/2)),"")</f>
        <v>-271.95</v>
      </c>
      <c r="T271" s="21">
        <f t="array" ref="T271">IF(ROW(T271)&lt;=COUNTA(O:O)*2,IF(MOD(ROW(T271),2)=1,INDEX(O:O,(ROW(T271)+1)/2),INDEX(Q:Q,ROW(T271)/2)),"")</f>
        <v>117.7</v>
      </c>
      <c r="V271" s="22">
        <f t="shared" si="59"/>
        <v>-634.8</v>
      </c>
      <c r="W271" s="22">
        <f t="shared" si="50"/>
        <v>122.6649</v>
      </c>
      <c r="X271" s="22">
        <f t="shared" si="51"/>
        <v>-636.3</v>
      </c>
      <c r="Y271" s="22">
        <f t="shared" si="52"/>
        <v>122.6649</v>
      </c>
      <c r="Z271" s="22"/>
      <c r="AA271" s="22">
        <f t="array" ref="AA271">IF(ROW(AA271)&lt;=COUNTA(V:V)*2,IF(MOD(ROW(AA271),2)=1,INDEX(V:V,(ROW(AA271)+1)/2),INDEX(X:X,ROW(AA271)/2)),"")</f>
        <v>-271.95</v>
      </c>
      <c r="AB271" s="22">
        <f t="array" ref="AB271">IF(ROW(AB271)&lt;=COUNTA(W:W)*2,IF(MOD(ROW(AB271),2)=1,INDEX(W:W,(ROW(AB271)+1)/2),INDEX(Y:Y,ROW(AB271)/2)),"")</f>
        <v>125.762975</v>
      </c>
    </row>
    <row r="272" spans="1:28" s="2" customFormat="1" x14ac:dyDescent="0.25">
      <c r="A272" s="19"/>
      <c r="B272" s="20"/>
      <c r="C272" s="21"/>
      <c r="D272" s="22"/>
      <c r="F272" s="34">
        <f t="shared" si="53"/>
        <v>-636.3</v>
      </c>
      <c r="G272" s="34">
        <f t="shared" si="54"/>
        <v>112.4</v>
      </c>
      <c r="H272" s="34">
        <f t="shared" si="48"/>
        <v>-639.3</v>
      </c>
      <c r="I272" s="34">
        <f t="shared" si="55"/>
        <v>112.4</v>
      </c>
      <c r="J272" s="20"/>
      <c r="K272" s="34">
        <f t="array" ref="K272">IF(ROW(K272)&lt;=COUNTA(F:F)*2,IF(MOD(ROW(K272),2)=1,INDEX(F:F,(ROW(K272)+1)/2),INDEX(H:H,ROW(K272)/2)),"")</f>
        <v>-274.95</v>
      </c>
      <c r="L272" s="34">
        <f t="array" ref="L272">IF(ROW(L272)&lt;=COUNTA(G:G)*2,IF(MOD(ROW(L272),2)=1,INDEX(G:G,(ROW(L272)+1)/2),INDEX(I:I,ROW(L272)/2)),"")</f>
        <v>112.5</v>
      </c>
      <c r="N272" s="21">
        <f t="shared" si="56"/>
        <v>-636.3</v>
      </c>
      <c r="O272" s="21">
        <f t="shared" si="57"/>
        <v>121.2</v>
      </c>
      <c r="P272" s="21">
        <f t="shared" si="49"/>
        <v>-639.3</v>
      </c>
      <c r="Q272" s="21">
        <f t="shared" si="58"/>
        <v>121.2</v>
      </c>
      <c r="R272" s="21"/>
      <c r="S272" s="21">
        <f t="array" ref="S272">IF(ROW(S272)&lt;=COUNTA(N:N)*2,IF(MOD(ROW(S272),2)=1,INDEX(N:N,(ROW(S272)+1)/2),INDEX(P:P,ROW(S272)/2)),"")</f>
        <v>-274.95</v>
      </c>
      <c r="T272" s="21">
        <f t="array" ref="T272">IF(ROW(T272)&lt;=COUNTA(O:O)*2,IF(MOD(ROW(T272),2)=1,INDEX(O:O,(ROW(T272)+1)/2),INDEX(Q:Q,ROW(T272)/2)),"")</f>
        <v>117.7</v>
      </c>
      <c r="V272" s="22">
        <f t="shared" si="59"/>
        <v>-636.3</v>
      </c>
      <c r="W272" s="22">
        <f t="shared" si="50"/>
        <v>122.6684</v>
      </c>
      <c r="X272" s="22">
        <f t="shared" si="51"/>
        <v>-639.3</v>
      </c>
      <c r="Y272" s="22">
        <f t="shared" si="52"/>
        <v>122.6684</v>
      </c>
      <c r="Z272" s="22"/>
      <c r="AA272" s="22">
        <f t="array" ref="AA272">IF(ROW(AA272)&lt;=COUNTA(V:V)*2,IF(MOD(ROW(AA272),2)=1,INDEX(V:V,(ROW(AA272)+1)/2),INDEX(X:X,ROW(AA272)/2)),"")</f>
        <v>-274.95</v>
      </c>
      <c r="AB272" s="22">
        <f t="array" ref="AB272">IF(ROW(AB272)&lt;=COUNTA(W:W)*2,IF(MOD(ROW(AB272),2)=1,INDEX(W:W,(ROW(AB272)+1)/2),INDEX(Y:Y,ROW(AB272)/2)),"")</f>
        <v>125.762975</v>
      </c>
    </row>
    <row r="273" spans="1:28" s="2" customFormat="1" x14ac:dyDescent="0.25">
      <c r="A273" s="19"/>
      <c r="B273" s="20"/>
      <c r="C273" s="21"/>
      <c r="D273" s="22"/>
      <c r="F273" s="34">
        <f t="shared" si="53"/>
        <v>-639.3</v>
      </c>
      <c r="G273" s="34">
        <f t="shared" si="54"/>
        <v>112.4</v>
      </c>
      <c r="H273" s="34">
        <f t="shared" si="48"/>
        <v>-642.3</v>
      </c>
      <c r="I273" s="34">
        <f t="shared" si="55"/>
        <v>112.4</v>
      </c>
      <c r="J273" s="20"/>
      <c r="K273" s="34">
        <f t="array" ref="K273">IF(ROW(K273)&lt;=COUNTA(F:F)*2,IF(MOD(ROW(K273),2)=1,INDEX(F:F,(ROW(K273)+1)/2),INDEX(H:H,ROW(K273)/2)),"")</f>
        <v>-274.95</v>
      </c>
      <c r="L273" s="34">
        <f t="array" ref="L273">IF(ROW(L273)&lt;=COUNTA(G:G)*2,IF(MOD(ROW(L273),2)=1,INDEX(G:G,(ROW(L273)+1)/2),INDEX(I:I,ROW(L273)/2)),"")</f>
        <v>112.5</v>
      </c>
      <c r="N273" s="21">
        <f t="shared" si="56"/>
        <v>-639.3</v>
      </c>
      <c r="O273" s="21">
        <f t="shared" si="57"/>
        <v>121.4</v>
      </c>
      <c r="P273" s="21">
        <f t="shared" si="49"/>
        <v>-642.3</v>
      </c>
      <c r="Q273" s="21">
        <f t="shared" si="58"/>
        <v>121.4</v>
      </c>
      <c r="R273" s="21"/>
      <c r="S273" s="21">
        <f t="array" ref="S273">IF(ROW(S273)&lt;=COUNTA(N:N)*2,IF(MOD(ROW(S273),2)=1,INDEX(N:N,(ROW(S273)+1)/2),INDEX(P:P,ROW(S273)/2)),"")</f>
        <v>-274.95</v>
      </c>
      <c r="T273" s="21">
        <f t="array" ref="T273">IF(ROW(T273)&lt;=COUNTA(O:O)*2,IF(MOD(ROW(T273),2)=1,INDEX(O:O,(ROW(T273)+1)/2),INDEX(Q:Q,ROW(T273)/2)),"")</f>
        <v>118.5</v>
      </c>
      <c r="V273" s="22">
        <f t="shared" si="59"/>
        <v>-639.3</v>
      </c>
      <c r="W273" s="22">
        <f t="shared" si="50"/>
        <v>122.763275</v>
      </c>
      <c r="X273" s="22">
        <f t="shared" si="51"/>
        <v>-642.3</v>
      </c>
      <c r="Y273" s="22">
        <f t="shared" si="52"/>
        <v>122.763275</v>
      </c>
      <c r="Z273" s="22"/>
      <c r="AA273" s="22">
        <f t="array" ref="AA273">IF(ROW(AA273)&lt;=COUNTA(V:V)*2,IF(MOD(ROW(AA273),2)=1,INDEX(V:V,(ROW(AA273)+1)/2),INDEX(X:X,ROW(AA273)/2)),"")</f>
        <v>-274.95</v>
      </c>
      <c r="AB273" s="22">
        <f t="array" ref="AB273">IF(ROW(AB273)&lt;=COUNTA(W:W)*2,IF(MOD(ROW(AB273),2)=1,INDEX(W:W,(ROW(AB273)+1)/2),INDEX(Y:Y,ROW(AB273)/2)),"")</f>
        <v>124.99725</v>
      </c>
    </row>
    <row r="274" spans="1:28" s="2" customFormat="1" x14ac:dyDescent="0.25">
      <c r="A274" s="19"/>
      <c r="B274" s="20"/>
      <c r="C274" s="21"/>
      <c r="D274" s="22"/>
      <c r="F274" s="34">
        <f t="shared" si="53"/>
        <v>-642.3</v>
      </c>
      <c r="G274" s="34">
        <f t="shared" si="54"/>
        <v>112.4</v>
      </c>
      <c r="H274" s="34">
        <f t="shared" si="48"/>
        <v>-645.3</v>
      </c>
      <c r="I274" s="34">
        <f t="shared" si="55"/>
        <v>112.4</v>
      </c>
      <c r="J274" s="20"/>
      <c r="K274" s="34">
        <f t="array" ref="K274">IF(ROW(K274)&lt;=COUNTA(F:F)*2,IF(MOD(ROW(K274),2)=1,INDEX(F:F,(ROW(K274)+1)/2),INDEX(H:H,ROW(K274)/2)),"")</f>
        <v>-277.95</v>
      </c>
      <c r="L274" s="34">
        <f t="array" ref="L274">IF(ROW(L274)&lt;=COUNTA(G:G)*2,IF(MOD(ROW(L274),2)=1,INDEX(G:G,(ROW(L274)+1)/2),INDEX(I:I,ROW(L274)/2)),"")</f>
        <v>112.5</v>
      </c>
      <c r="N274" s="21">
        <f t="shared" si="56"/>
        <v>-642.3</v>
      </c>
      <c r="O274" s="21">
        <f t="shared" si="57"/>
        <v>120</v>
      </c>
      <c r="P274" s="21">
        <f t="shared" si="49"/>
        <v>-645.3</v>
      </c>
      <c r="Q274" s="21">
        <f t="shared" si="58"/>
        <v>120</v>
      </c>
      <c r="R274" s="21"/>
      <c r="S274" s="21">
        <f t="array" ref="S274">IF(ROW(S274)&lt;=COUNTA(N:N)*2,IF(MOD(ROW(S274),2)=1,INDEX(N:N,(ROW(S274)+1)/2),INDEX(P:P,ROW(S274)/2)),"")</f>
        <v>-277.95</v>
      </c>
      <c r="T274" s="21">
        <f t="array" ref="T274">IF(ROW(T274)&lt;=COUNTA(O:O)*2,IF(MOD(ROW(T274),2)=1,INDEX(O:O,(ROW(T274)+1)/2),INDEX(Q:Q,ROW(T274)/2)),"")</f>
        <v>118.5</v>
      </c>
      <c r="V274" s="22">
        <f t="shared" si="59"/>
        <v>-642.3</v>
      </c>
      <c r="W274" s="22">
        <f t="shared" si="50"/>
        <v>122.664125</v>
      </c>
      <c r="X274" s="22">
        <f t="shared" si="51"/>
        <v>-645.3</v>
      </c>
      <c r="Y274" s="22">
        <f t="shared" si="52"/>
        <v>122.664125</v>
      </c>
      <c r="Z274" s="22"/>
      <c r="AA274" s="22">
        <f t="array" ref="AA274">IF(ROW(AA274)&lt;=COUNTA(V:V)*2,IF(MOD(ROW(AA274),2)=1,INDEX(V:V,(ROW(AA274)+1)/2),INDEX(X:X,ROW(AA274)/2)),"")</f>
        <v>-277.95</v>
      </c>
      <c r="AB274" s="22">
        <f t="array" ref="AB274">IF(ROW(AB274)&lt;=COUNTA(W:W)*2,IF(MOD(ROW(AB274),2)=1,INDEX(W:W,(ROW(AB274)+1)/2),INDEX(Y:Y,ROW(AB274)/2)),"")</f>
        <v>124.99725</v>
      </c>
    </row>
    <row r="275" spans="1:28" s="2" customFormat="1" x14ac:dyDescent="0.25">
      <c r="A275" s="19"/>
      <c r="B275" s="20"/>
      <c r="C275" s="21"/>
      <c r="D275" s="22"/>
      <c r="F275" s="34">
        <f t="shared" si="53"/>
        <v>-645.3</v>
      </c>
      <c r="G275" s="34">
        <f t="shared" si="54"/>
        <v>112.3</v>
      </c>
      <c r="H275" s="34">
        <f t="shared" si="48"/>
        <v>-648.3</v>
      </c>
      <c r="I275" s="34">
        <f t="shared" si="55"/>
        <v>112.3</v>
      </c>
      <c r="J275" s="20"/>
      <c r="K275" s="34">
        <f t="array" ref="K275">IF(ROW(K275)&lt;=COUNTA(F:F)*2,IF(MOD(ROW(K275),2)=1,INDEX(F:F,(ROW(K275)+1)/2),INDEX(H:H,ROW(K275)/2)),"")</f>
        <v>-277.95</v>
      </c>
      <c r="L275" s="34">
        <f t="array" ref="L275">IF(ROW(L275)&lt;=COUNTA(G:G)*2,IF(MOD(ROW(L275),2)=1,INDEX(G:G,(ROW(L275)+1)/2),INDEX(I:I,ROW(L275)/2)),"")</f>
        <v>112.5</v>
      </c>
      <c r="N275" s="21">
        <f t="shared" si="56"/>
        <v>-645.3</v>
      </c>
      <c r="O275" s="21">
        <f t="shared" si="57"/>
        <v>120</v>
      </c>
      <c r="P275" s="21">
        <f t="shared" si="49"/>
        <v>-648.3</v>
      </c>
      <c r="Q275" s="21">
        <f t="shared" si="58"/>
        <v>120</v>
      </c>
      <c r="R275" s="21"/>
      <c r="S275" s="21">
        <f t="array" ref="S275">IF(ROW(S275)&lt;=COUNTA(N:N)*2,IF(MOD(ROW(S275),2)=1,INDEX(N:N,(ROW(S275)+1)/2),INDEX(P:P,ROW(S275)/2)),"")</f>
        <v>-277.95</v>
      </c>
      <c r="T275" s="21">
        <f t="array" ref="T275">IF(ROW(T275)&lt;=COUNTA(O:O)*2,IF(MOD(ROW(T275),2)=1,INDEX(O:O,(ROW(T275)+1)/2),INDEX(Q:Q,ROW(T275)/2)),"")</f>
        <v>116.3</v>
      </c>
      <c r="V275" s="22">
        <f t="shared" si="59"/>
        <v>-645.3</v>
      </c>
      <c r="W275" s="22">
        <f t="shared" si="50"/>
        <v>122.66325</v>
      </c>
      <c r="X275" s="22">
        <f t="shared" si="51"/>
        <v>-648.3</v>
      </c>
      <c r="Y275" s="22">
        <f t="shared" si="52"/>
        <v>122.66325</v>
      </c>
      <c r="Z275" s="22"/>
      <c r="AA275" s="22">
        <f t="array" ref="AA275">IF(ROW(AA275)&lt;=COUNTA(V:V)*2,IF(MOD(ROW(AA275),2)=1,INDEX(V:V,(ROW(AA275)+1)/2),INDEX(X:X,ROW(AA275)/2)),"")</f>
        <v>-277.95</v>
      </c>
      <c r="AB275" s="22">
        <f t="array" ref="AB275">IF(ROW(AB275)&lt;=COUNTA(W:W)*2,IF(MOD(ROW(AB275),2)=1,INDEX(W:W,(ROW(AB275)+1)/2),INDEX(Y:Y,ROW(AB275)/2)),"")</f>
        <v>125.385525</v>
      </c>
    </row>
    <row r="276" spans="1:28" s="2" customFormat="1" x14ac:dyDescent="0.25">
      <c r="A276" s="19"/>
      <c r="B276" s="20"/>
      <c r="C276" s="21"/>
      <c r="D276" s="22"/>
      <c r="F276" s="34">
        <f t="shared" si="53"/>
        <v>-648.3</v>
      </c>
      <c r="G276" s="34">
        <f t="shared" si="54"/>
        <v>112.3</v>
      </c>
      <c r="H276" s="34">
        <f t="shared" si="48"/>
        <v>-651.3</v>
      </c>
      <c r="I276" s="34">
        <f t="shared" si="55"/>
        <v>112.3</v>
      </c>
      <c r="J276" s="20"/>
      <c r="K276" s="34">
        <f t="array" ref="K276">IF(ROW(K276)&lt;=COUNTA(F:F)*2,IF(MOD(ROW(K276),2)=1,INDEX(F:F,(ROW(K276)+1)/2),INDEX(H:H,ROW(K276)/2)),"")</f>
        <v>-280.95</v>
      </c>
      <c r="L276" s="34">
        <f t="array" ref="L276">IF(ROW(L276)&lt;=COUNTA(G:G)*2,IF(MOD(ROW(L276),2)=1,INDEX(G:G,(ROW(L276)+1)/2),INDEX(I:I,ROW(L276)/2)),"")</f>
        <v>112.5</v>
      </c>
      <c r="N276" s="21">
        <f t="shared" si="56"/>
        <v>-648.3</v>
      </c>
      <c r="O276" s="21">
        <f t="shared" si="57"/>
        <v>119.7</v>
      </c>
      <c r="P276" s="21">
        <f t="shared" si="49"/>
        <v>-651.3</v>
      </c>
      <c r="Q276" s="21">
        <f t="shared" si="58"/>
        <v>119.7</v>
      </c>
      <c r="R276" s="21"/>
      <c r="S276" s="21">
        <f t="array" ref="S276">IF(ROW(S276)&lt;=COUNTA(N:N)*2,IF(MOD(ROW(S276),2)=1,INDEX(N:N,(ROW(S276)+1)/2),INDEX(P:P,ROW(S276)/2)),"")</f>
        <v>-280.95</v>
      </c>
      <c r="T276" s="21">
        <f t="array" ref="T276">IF(ROW(T276)&lt;=COUNTA(O:O)*2,IF(MOD(ROW(T276),2)=1,INDEX(O:O,(ROW(T276)+1)/2),INDEX(Q:Q,ROW(T276)/2)),"")</f>
        <v>116.3</v>
      </c>
      <c r="V276" s="22">
        <f t="shared" si="59"/>
        <v>-648.3</v>
      </c>
      <c r="W276" s="22">
        <f t="shared" si="50"/>
        <v>122.67095</v>
      </c>
      <c r="X276" s="22">
        <f t="shared" si="51"/>
        <v>-651.3</v>
      </c>
      <c r="Y276" s="22">
        <f t="shared" si="52"/>
        <v>122.67095</v>
      </c>
      <c r="Z276" s="22"/>
      <c r="AA276" s="22">
        <f t="array" ref="AA276">IF(ROW(AA276)&lt;=COUNTA(V:V)*2,IF(MOD(ROW(AA276),2)=1,INDEX(V:V,(ROW(AA276)+1)/2),INDEX(X:X,ROW(AA276)/2)),"")</f>
        <v>-280.95</v>
      </c>
      <c r="AB276" s="22">
        <f t="array" ref="AB276">IF(ROW(AB276)&lt;=COUNTA(W:W)*2,IF(MOD(ROW(AB276),2)=1,INDEX(W:W,(ROW(AB276)+1)/2),INDEX(Y:Y,ROW(AB276)/2)),"")</f>
        <v>125.385525</v>
      </c>
    </row>
    <row r="277" spans="1:28" s="2" customFormat="1" x14ac:dyDescent="0.25">
      <c r="A277" s="19"/>
      <c r="B277" s="20"/>
      <c r="C277" s="21"/>
      <c r="D277" s="22"/>
      <c r="F277" s="34">
        <f t="shared" si="53"/>
        <v>-651.3</v>
      </c>
      <c r="G277" s="34">
        <f t="shared" si="54"/>
        <v>112</v>
      </c>
      <c r="H277" s="34">
        <f t="shared" si="48"/>
        <v>-654.3</v>
      </c>
      <c r="I277" s="34">
        <f t="shared" si="55"/>
        <v>112</v>
      </c>
      <c r="J277" s="20"/>
      <c r="K277" s="34">
        <f t="array" ref="K277">IF(ROW(K277)&lt;=COUNTA(F:F)*2,IF(MOD(ROW(K277),2)=1,INDEX(F:F,(ROW(K277)+1)/2),INDEX(H:H,ROW(K277)/2)),"")</f>
        <v>-280.95</v>
      </c>
      <c r="L277" s="34">
        <f t="array" ref="L277">IF(ROW(L277)&lt;=COUNTA(G:G)*2,IF(MOD(ROW(L277),2)=1,INDEX(G:G,(ROW(L277)+1)/2),INDEX(I:I,ROW(L277)/2)),"")</f>
        <v>112.5</v>
      </c>
      <c r="N277" s="21">
        <f t="shared" si="56"/>
        <v>-651.3</v>
      </c>
      <c r="O277" s="21">
        <f t="shared" si="57"/>
        <v>113.5</v>
      </c>
      <c r="P277" s="21">
        <f t="shared" si="49"/>
        <v>-654.3</v>
      </c>
      <c r="Q277" s="21">
        <f t="shared" si="58"/>
        <v>113.5</v>
      </c>
      <c r="R277" s="21"/>
      <c r="S277" s="21">
        <f t="array" ref="S277">IF(ROW(S277)&lt;=COUNTA(N:N)*2,IF(MOD(ROW(S277),2)=1,INDEX(N:N,(ROW(S277)+1)/2),INDEX(P:P,ROW(S277)/2)),"")</f>
        <v>-280.95</v>
      </c>
      <c r="T277" s="21">
        <f t="array" ref="T277">IF(ROW(T277)&lt;=COUNTA(O:O)*2,IF(MOD(ROW(T277),2)=1,INDEX(O:O,(ROW(T277)+1)/2),INDEX(Q:Q,ROW(T277)/2)),"")</f>
        <v>119.1</v>
      </c>
      <c r="V277" s="22">
        <f t="shared" si="59"/>
        <v>-651.3</v>
      </c>
      <c r="W277" s="22">
        <f t="shared" si="50"/>
        <v>122.677425</v>
      </c>
      <c r="X277" s="22">
        <f t="shared" si="51"/>
        <v>-654.3</v>
      </c>
      <c r="Y277" s="22">
        <f t="shared" si="52"/>
        <v>122.677425</v>
      </c>
      <c r="Z277" s="22"/>
      <c r="AA277" s="22">
        <f t="array" ref="AA277">IF(ROW(AA277)&lt;=COUNTA(V:V)*2,IF(MOD(ROW(AA277),2)=1,INDEX(V:V,(ROW(AA277)+1)/2),INDEX(X:X,ROW(AA277)/2)),"")</f>
        <v>-280.95</v>
      </c>
      <c r="AB277" s="22">
        <f t="array" ref="AB277">IF(ROW(AB277)&lt;=COUNTA(W:W)*2,IF(MOD(ROW(AB277),2)=1,INDEX(W:W,(ROW(AB277)+1)/2),INDEX(Y:Y,ROW(AB277)/2)),"")</f>
        <v>125.385525</v>
      </c>
    </row>
    <row r="278" spans="1:28" s="2" customFormat="1" x14ac:dyDescent="0.25">
      <c r="A278" s="19"/>
      <c r="B278" s="20"/>
      <c r="C278" s="21"/>
      <c r="D278" s="22"/>
      <c r="F278" s="34">
        <f t="shared" si="53"/>
        <v>-654.3</v>
      </c>
      <c r="G278" s="34">
        <f t="shared" si="54"/>
        <v>111.6</v>
      </c>
      <c r="H278" s="34">
        <f t="shared" si="48"/>
        <v>-657</v>
      </c>
      <c r="I278" s="34">
        <f t="shared" si="55"/>
        <v>111.6</v>
      </c>
      <c r="J278" s="20"/>
      <c r="K278" s="34">
        <f t="array" ref="K278">IF(ROW(K278)&lt;=COUNTA(F:F)*2,IF(MOD(ROW(K278),2)=1,INDEX(F:F,(ROW(K278)+1)/2),INDEX(H:H,ROW(K278)/2)),"")</f>
        <v>-283.55</v>
      </c>
      <c r="L278" s="34">
        <f t="array" ref="L278">IF(ROW(L278)&lt;=COUNTA(G:G)*2,IF(MOD(ROW(L278),2)=1,INDEX(G:G,(ROW(L278)+1)/2),INDEX(I:I,ROW(L278)/2)),"")</f>
        <v>112.5</v>
      </c>
      <c r="N278" s="21">
        <f t="shared" si="56"/>
        <v>-654.3</v>
      </c>
      <c r="O278" s="21">
        <f t="shared" si="57"/>
        <v>112.5</v>
      </c>
      <c r="P278" s="21">
        <f t="shared" si="49"/>
        <v>-657</v>
      </c>
      <c r="Q278" s="21">
        <f t="shared" si="58"/>
        <v>112.5</v>
      </c>
      <c r="R278" s="21"/>
      <c r="S278" s="21">
        <f t="array" ref="S278">IF(ROW(S278)&lt;=COUNTA(N:N)*2,IF(MOD(ROW(S278),2)=1,INDEX(N:N,(ROW(S278)+1)/2),INDEX(P:P,ROW(S278)/2)),"")</f>
        <v>-283.55</v>
      </c>
      <c r="T278" s="21">
        <f t="array" ref="T278">IF(ROW(T278)&lt;=COUNTA(O:O)*2,IF(MOD(ROW(T278),2)=1,INDEX(O:O,(ROW(T278)+1)/2),INDEX(Q:Q,ROW(T278)/2)),"")</f>
        <v>119.1</v>
      </c>
      <c r="V278" s="22">
        <f t="shared" si="59"/>
        <v>-654.3</v>
      </c>
      <c r="W278" s="22">
        <f t="shared" si="50"/>
        <v>122.67985</v>
      </c>
      <c r="X278" s="22">
        <f t="shared" si="51"/>
        <v>-657</v>
      </c>
      <c r="Y278" s="22">
        <f t="shared" si="52"/>
        <v>122.67985</v>
      </c>
      <c r="Z278" s="22"/>
      <c r="AA278" s="22">
        <f t="array" ref="AA278">IF(ROW(AA278)&lt;=COUNTA(V:V)*2,IF(MOD(ROW(AA278),2)=1,INDEX(V:V,(ROW(AA278)+1)/2),INDEX(X:X,ROW(AA278)/2)),"")</f>
        <v>-283.55</v>
      </c>
      <c r="AB278" s="22">
        <f t="array" ref="AB278">IF(ROW(AB278)&lt;=COUNTA(W:W)*2,IF(MOD(ROW(AB278),2)=1,INDEX(W:W,(ROW(AB278)+1)/2),INDEX(Y:Y,ROW(AB278)/2)),"")</f>
        <v>125.385525</v>
      </c>
    </row>
    <row r="279" spans="1:28" s="2" customFormat="1" x14ac:dyDescent="0.25">
      <c r="A279" s="19"/>
      <c r="B279" s="20"/>
      <c r="C279" s="21"/>
      <c r="D279" s="22"/>
      <c r="F279" s="34">
        <f t="shared" si="53"/>
        <v>-657</v>
      </c>
      <c r="G279" s="34">
        <f t="shared" si="54"/>
        <v>112.4</v>
      </c>
      <c r="H279" s="34">
        <f t="shared" si="48"/>
        <v>-657.7</v>
      </c>
      <c r="I279" s="34">
        <f t="shared" si="55"/>
        <v>112.4</v>
      </c>
      <c r="J279" s="20"/>
      <c r="K279" s="34">
        <f t="array" ref="K279">IF(ROW(K279)&lt;=COUNTA(F:F)*2,IF(MOD(ROW(K279),2)=1,INDEX(F:F,(ROW(K279)+1)/2),INDEX(H:H,ROW(K279)/2)),"")</f>
        <v>-283.55</v>
      </c>
      <c r="L279" s="34">
        <f t="array" ref="L279">IF(ROW(L279)&lt;=COUNTA(G:G)*2,IF(MOD(ROW(L279),2)=1,INDEX(G:G,(ROW(L279)+1)/2),INDEX(I:I,ROW(L279)/2)),"")</f>
        <v>112.5</v>
      </c>
      <c r="N279" s="21">
        <f t="shared" si="56"/>
        <v>-657</v>
      </c>
      <c r="O279" s="21">
        <f t="shared" si="57"/>
        <v>120.3</v>
      </c>
      <c r="P279" s="21">
        <f t="shared" si="49"/>
        <v>-657.7</v>
      </c>
      <c r="Q279" s="21">
        <f t="shared" si="58"/>
        <v>120.3</v>
      </c>
      <c r="R279" s="21"/>
      <c r="S279" s="21">
        <f t="array" ref="S279">IF(ROW(S279)&lt;=COUNTA(N:N)*2,IF(MOD(ROW(S279),2)=1,INDEX(N:N,(ROW(S279)+1)/2),INDEX(P:P,ROW(S279)/2)),"")</f>
        <v>-283.55</v>
      </c>
      <c r="T279" s="21">
        <f t="array" ref="T279">IF(ROW(T279)&lt;=COUNTA(O:O)*2,IF(MOD(ROW(T279),2)=1,INDEX(O:O,(ROW(T279)+1)/2),INDEX(Q:Q,ROW(T279)/2)),"")</f>
        <v>114.7</v>
      </c>
      <c r="V279" s="22">
        <f t="shared" si="59"/>
        <v>-657</v>
      </c>
      <c r="W279" s="22">
        <f t="shared" si="50"/>
        <v>122.6237</v>
      </c>
      <c r="X279" s="22">
        <f t="shared" si="51"/>
        <v>-657.7</v>
      </c>
      <c r="Y279" s="22">
        <f t="shared" si="52"/>
        <v>122.6237</v>
      </c>
      <c r="Z279" s="22"/>
      <c r="AA279" s="22">
        <f t="array" ref="AA279">IF(ROW(AA279)&lt;=COUNTA(V:V)*2,IF(MOD(ROW(AA279),2)=1,INDEX(V:V,(ROW(AA279)+1)/2),INDEX(X:X,ROW(AA279)/2)),"")</f>
        <v>-283.55</v>
      </c>
      <c r="AB279" s="22">
        <f t="array" ref="AB279">IF(ROW(AB279)&lt;=COUNTA(W:W)*2,IF(MOD(ROW(AB279),2)=1,INDEX(W:W,(ROW(AB279)+1)/2),INDEX(Y:Y,ROW(AB279)/2)),"")</f>
        <v>125.762975</v>
      </c>
    </row>
    <row r="280" spans="1:28" s="2" customFormat="1" x14ac:dyDescent="0.25">
      <c r="A280" s="19"/>
      <c r="B280" s="20"/>
      <c r="C280" s="21"/>
      <c r="D280" s="22"/>
      <c r="F280" s="34">
        <f t="shared" si="53"/>
        <v>-657.7</v>
      </c>
      <c r="G280" s="34">
        <f t="shared" si="54"/>
        <v>112.1</v>
      </c>
      <c r="H280" s="34">
        <f t="shared" si="48"/>
        <v>-660.3</v>
      </c>
      <c r="I280" s="34">
        <f t="shared" si="55"/>
        <v>112.1</v>
      </c>
      <c r="J280" s="20"/>
      <c r="K280" s="34">
        <f t="array" ref="K280">IF(ROW(K280)&lt;=COUNTA(F:F)*2,IF(MOD(ROW(K280),2)=1,INDEX(F:F,(ROW(K280)+1)/2),INDEX(H:H,ROW(K280)/2)),"")</f>
        <v>-286.55</v>
      </c>
      <c r="L280" s="34">
        <f t="array" ref="L280">IF(ROW(L280)&lt;=COUNTA(G:G)*2,IF(MOD(ROW(L280),2)=1,INDEX(G:G,(ROW(L280)+1)/2),INDEX(I:I,ROW(L280)/2)),"")</f>
        <v>112.5</v>
      </c>
      <c r="N280" s="21">
        <f t="shared" si="56"/>
        <v>-657.7</v>
      </c>
      <c r="O280" s="21">
        <f t="shared" si="57"/>
        <v>118.3</v>
      </c>
      <c r="P280" s="21">
        <f t="shared" si="49"/>
        <v>-660.3</v>
      </c>
      <c r="Q280" s="21">
        <f t="shared" si="58"/>
        <v>118.3</v>
      </c>
      <c r="R280" s="21"/>
      <c r="S280" s="21">
        <f t="array" ref="S280">IF(ROW(S280)&lt;=COUNTA(N:N)*2,IF(MOD(ROW(S280),2)=1,INDEX(N:N,(ROW(S280)+1)/2),INDEX(P:P,ROW(S280)/2)),"")</f>
        <v>-286.55</v>
      </c>
      <c r="T280" s="21">
        <f t="array" ref="T280">IF(ROW(T280)&lt;=COUNTA(O:O)*2,IF(MOD(ROW(T280),2)=1,INDEX(O:O,(ROW(T280)+1)/2),INDEX(Q:Q,ROW(T280)/2)),"")</f>
        <v>114.7</v>
      </c>
      <c r="V280" s="22">
        <f t="shared" si="59"/>
        <v>-657.7</v>
      </c>
      <c r="W280" s="22">
        <f t="shared" si="50"/>
        <v>122.720575</v>
      </c>
      <c r="X280" s="22">
        <f t="shared" si="51"/>
        <v>-660.3</v>
      </c>
      <c r="Y280" s="22">
        <f t="shared" si="52"/>
        <v>122.720575</v>
      </c>
      <c r="Z280" s="22"/>
      <c r="AA280" s="22">
        <f t="array" ref="AA280">IF(ROW(AA280)&lt;=COUNTA(V:V)*2,IF(MOD(ROW(AA280),2)=1,INDEX(V:V,(ROW(AA280)+1)/2),INDEX(X:X,ROW(AA280)/2)),"")</f>
        <v>-286.55</v>
      </c>
      <c r="AB280" s="22">
        <f t="array" ref="AB280">IF(ROW(AB280)&lt;=COUNTA(W:W)*2,IF(MOD(ROW(AB280),2)=1,INDEX(W:W,(ROW(AB280)+1)/2),INDEX(Y:Y,ROW(AB280)/2)),"")</f>
        <v>125.762975</v>
      </c>
    </row>
    <row r="281" spans="1:28" s="2" customFormat="1" x14ac:dyDescent="0.25">
      <c r="A281" s="19"/>
      <c r="B281" s="20"/>
      <c r="C281" s="21"/>
      <c r="D281" s="22"/>
      <c r="F281" s="34">
        <f t="shared" si="53"/>
        <v>-660.3</v>
      </c>
      <c r="G281" s="34">
        <f t="shared" si="54"/>
        <v>112.5</v>
      </c>
      <c r="H281" s="34">
        <f t="shared" si="48"/>
        <v>-662.5</v>
      </c>
      <c r="I281" s="34">
        <f t="shared" si="55"/>
        <v>112.5</v>
      </c>
      <c r="J281" s="20"/>
      <c r="K281" s="34">
        <f t="array" ref="K281">IF(ROW(K281)&lt;=COUNTA(F:F)*2,IF(MOD(ROW(K281),2)=1,INDEX(F:F,(ROW(K281)+1)/2),INDEX(H:H,ROW(K281)/2)),"")</f>
        <v>-286.55</v>
      </c>
      <c r="L281" s="34">
        <f t="array" ref="L281">IF(ROW(L281)&lt;=COUNTA(G:G)*2,IF(MOD(ROW(L281),2)=1,INDEX(G:G,(ROW(L281)+1)/2),INDEX(I:I,ROW(L281)/2)),"")</f>
        <v>112.4</v>
      </c>
      <c r="N281" s="21">
        <f t="shared" si="56"/>
        <v>-660.3</v>
      </c>
      <c r="O281" s="21">
        <f t="shared" si="57"/>
        <v>117</v>
      </c>
      <c r="P281" s="21">
        <f t="shared" si="49"/>
        <v>-662.5</v>
      </c>
      <c r="Q281" s="21">
        <f t="shared" si="58"/>
        <v>117</v>
      </c>
      <c r="R281" s="21"/>
      <c r="S281" s="21">
        <f t="array" ref="S281">IF(ROW(S281)&lt;=COUNTA(N:N)*2,IF(MOD(ROW(S281),2)=1,INDEX(N:N,(ROW(S281)+1)/2),INDEX(P:P,ROW(S281)/2)),"")</f>
        <v>-286.55</v>
      </c>
      <c r="T281" s="21">
        <f t="array" ref="T281">IF(ROW(T281)&lt;=COUNTA(O:O)*2,IF(MOD(ROW(T281),2)=1,INDEX(O:O,(ROW(T281)+1)/2),INDEX(Q:Q,ROW(T281)/2)),"")</f>
        <v>118.8</v>
      </c>
      <c r="V281" s="22">
        <f t="shared" si="59"/>
        <v>-660.3</v>
      </c>
      <c r="W281" s="22">
        <f t="shared" si="50"/>
        <v>122.7631</v>
      </c>
      <c r="X281" s="22">
        <f t="shared" si="51"/>
        <v>-662.5</v>
      </c>
      <c r="Y281" s="22">
        <f t="shared" si="52"/>
        <v>122.7631</v>
      </c>
      <c r="Z281" s="22"/>
      <c r="AA281" s="22">
        <f t="array" ref="AA281">IF(ROW(AA281)&lt;=COUNTA(V:V)*2,IF(MOD(ROW(AA281),2)=1,INDEX(V:V,(ROW(AA281)+1)/2),INDEX(X:X,ROW(AA281)/2)),"")</f>
        <v>-286.55</v>
      </c>
      <c r="AB281" s="22">
        <f t="array" ref="AB281">IF(ROW(AB281)&lt;=COUNTA(W:W)*2,IF(MOD(ROW(AB281),2)=1,INDEX(W:W,(ROW(AB281)+1)/2),INDEX(Y:Y,ROW(AB281)/2)),"")</f>
        <v>125.2024</v>
      </c>
    </row>
    <row r="282" spans="1:28" s="2" customFormat="1" x14ac:dyDescent="0.25">
      <c r="A282" s="19"/>
      <c r="B282" s="20"/>
      <c r="C282" s="21"/>
      <c r="D282" s="22"/>
      <c r="F282" s="34">
        <f t="shared" si="53"/>
        <v>-662.5</v>
      </c>
      <c r="G282" s="34">
        <f t="shared" si="54"/>
        <v>112.4</v>
      </c>
      <c r="H282" s="34">
        <f t="shared" si="48"/>
        <v>-665.5</v>
      </c>
      <c r="I282" s="34">
        <f t="shared" si="55"/>
        <v>112.4</v>
      </c>
      <c r="J282" s="20"/>
      <c r="K282" s="34">
        <f t="array" ref="K282">IF(ROW(K282)&lt;=COUNTA(F:F)*2,IF(MOD(ROW(K282),2)=1,INDEX(F:F,(ROW(K282)+1)/2),INDEX(H:H,ROW(K282)/2)),"")</f>
        <v>-289.55</v>
      </c>
      <c r="L282" s="34">
        <f t="array" ref="L282">IF(ROW(L282)&lt;=COUNTA(G:G)*2,IF(MOD(ROW(L282),2)=1,INDEX(G:G,(ROW(L282)+1)/2),INDEX(I:I,ROW(L282)/2)),"")</f>
        <v>112.4</v>
      </c>
      <c r="N282" s="21">
        <f t="shared" si="56"/>
        <v>-662.5</v>
      </c>
      <c r="O282" s="21">
        <f t="shared" si="57"/>
        <v>119</v>
      </c>
      <c r="P282" s="21">
        <f t="shared" si="49"/>
        <v>-665.5</v>
      </c>
      <c r="Q282" s="21">
        <f t="shared" si="58"/>
        <v>119</v>
      </c>
      <c r="R282" s="21"/>
      <c r="S282" s="21">
        <f t="array" ref="S282">IF(ROW(S282)&lt;=COUNTA(N:N)*2,IF(MOD(ROW(S282),2)=1,INDEX(N:N,(ROW(S282)+1)/2),INDEX(P:P,ROW(S282)/2)),"")</f>
        <v>-289.55</v>
      </c>
      <c r="T282" s="21">
        <f t="array" ref="T282">IF(ROW(T282)&lt;=COUNTA(O:O)*2,IF(MOD(ROW(T282),2)=1,INDEX(O:O,(ROW(T282)+1)/2),INDEX(Q:Q,ROW(T282)/2)),"")</f>
        <v>118.8</v>
      </c>
      <c r="V282" s="22">
        <f t="shared" si="59"/>
        <v>-662.5</v>
      </c>
      <c r="W282" s="22">
        <f t="shared" si="50"/>
        <v>122.66785</v>
      </c>
      <c r="X282" s="22">
        <f t="shared" si="51"/>
        <v>-665.5</v>
      </c>
      <c r="Y282" s="22">
        <f t="shared" si="52"/>
        <v>122.66785</v>
      </c>
      <c r="Z282" s="22"/>
      <c r="AA282" s="22">
        <f t="array" ref="AA282">IF(ROW(AA282)&lt;=COUNTA(V:V)*2,IF(MOD(ROW(AA282),2)=1,INDEX(V:V,(ROW(AA282)+1)/2),INDEX(X:X,ROW(AA282)/2)),"")</f>
        <v>-289.55</v>
      </c>
      <c r="AB282" s="22">
        <f t="array" ref="AB282">IF(ROW(AB282)&lt;=COUNTA(W:W)*2,IF(MOD(ROW(AB282),2)=1,INDEX(W:W,(ROW(AB282)+1)/2),INDEX(Y:Y,ROW(AB282)/2)),"")</f>
        <v>125.2024</v>
      </c>
    </row>
    <row r="283" spans="1:28" s="2" customFormat="1" x14ac:dyDescent="0.25">
      <c r="A283" s="19"/>
      <c r="B283" s="20"/>
      <c r="C283" s="21"/>
      <c r="D283" s="22"/>
      <c r="F283" s="34">
        <f t="shared" si="53"/>
        <v>-665.5</v>
      </c>
      <c r="G283" s="34">
        <f t="shared" si="54"/>
        <v>112.4</v>
      </c>
      <c r="H283" s="34">
        <f t="shared" si="48"/>
        <v>-668.5</v>
      </c>
      <c r="I283" s="34">
        <f t="shared" si="55"/>
        <v>112.4</v>
      </c>
      <c r="J283" s="20"/>
      <c r="K283" s="34">
        <f t="array" ref="K283">IF(ROW(K283)&lt;=COUNTA(F:F)*2,IF(MOD(ROW(K283),2)=1,INDEX(F:F,(ROW(K283)+1)/2),INDEX(H:H,ROW(K283)/2)),"")</f>
        <v>-289.55</v>
      </c>
      <c r="L283" s="34">
        <f t="array" ref="L283">IF(ROW(L283)&lt;=COUNTA(G:G)*2,IF(MOD(ROW(L283),2)=1,INDEX(G:G,(ROW(L283)+1)/2),INDEX(I:I,ROW(L283)/2)),"")</f>
        <v>112.2</v>
      </c>
      <c r="N283" s="21">
        <f t="shared" si="56"/>
        <v>-665.5</v>
      </c>
      <c r="O283" s="21">
        <f t="shared" si="57"/>
        <v>112.9</v>
      </c>
      <c r="P283" s="21">
        <f t="shared" si="49"/>
        <v>-668.5</v>
      </c>
      <c r="Q283" s="21">
        <f t="shared" si="58"/>
        <v>112.9</v>
      </c>
      <c r="R283" s="21"/>
      <c r="S283" s="21">
        <f t="array" ref="S283">IF(ROW(S283)&lt;=COUNTA(N:N)*2,IF(MOD(ROW(S283),2)=1,INDEX(N:N,(ROW(S283)+1)/2),INDEX(P:P,ROW(S283)/2)),"")</f>
        <v>-289.55</v>
      </c>
      <c r="T283" s="21">
        <f t="array" ref="T283">IF(ROW(T283)&lt;=COUNTA(O:O)*2,IF(MOD(ROW(T283),2)=1,INDEX(O:O,(ROW(T283)+1)/2),INDEX(Q:Q,ROW(T283)/2)),"")</f>
        <v>117.2</v>
      </c>
      <c r="V283" s="22">
        <f t="shared" si="59"/>
        <v>-665.5</v>
      </c>
      <c r="W283" s="22">
        <f t="shared" si="50"/>
        <v>122.6292</v>
      </c>
      <c r="X283" s="22">
        <f t="shared" si="51"/>
        <v>-668.5</v>
      </c>
      <c r="Y283" s="22">
        <f t="shared" si="52"/>
        <v>122.6292</v>
      </c>
      <c r="Z283" s="22"/>
      <c r="AA283" s="22">
        <f t="array" ref="AA283">IF(ROW(AA283)&lt;=COUNTA(V:V)*2,IF(MOD(ROW(AA283),2)=1,INDEX(V:V,(ROW(AA283)+1)/2),INDEX(X:X,ROW(AA283)/2)),"")</f>
        <v>-289.55</v>
      </c>
      <c r="AB283" s="22">
        <f t="array" ref="AB283">IF(ROW(AB283)&lt;=COUNTA(W:W)*2,IF(MOD(ROW(AB283),2)=1,INDEX(W:W,(ROW(AB283)+1)/2),INDEX(Y:Y,ROW(AB283)/2)),"")</f>
        <v>125.200975</v>
      </c>
    </row>
    <row r="284" spans="1:28" s="2" customFormat="1" x14ac:dyDescent="0.25">
      <c r="A284" s="19"/>
      <c r="B284" s="20"/>
      <c r="C284" s="21"/>
      <c r="D284" s="22"/>
      <c r="F284" s="34">
        <f t="shared" si="53"/>
        <v>-668.5</v>
      </c>
      <c r="G284" s="34">
        <f t="shared" si="54"/>
        <v>112.5</v>
      </c>
      <c r="H284" s="34">
        <f t="shared" si="48"/>
        <v>-670.8</v>
      </c>
      <c r="I284" s="34">
        <f t="shared" si="55"/>
        <v>112.5</v>
      </c>
      <c r="J284" s="20"/>
      <c r="K284" s="34">
        <f t="array" ref="K284">IF(ROW(K284)&lt;=COUNTA(F:F)*2,IF(MOD(ROW(K284),2)=1,INDEX(F:F,(ROW(K284)+1)/2),INDEX(H:H,ROW(K284)/2)),"")</f>
        <v>-291.45</v>
      </c>
      <c r="L284" s="34">
        <f t="array" ref="L284">IF(ROW(L284)&lt;=COUNTA(G:G)*2,IF(MOD(ROW(L284),2)=1,INDEX(G:G,(ROW(L284)+1)/2),INDEX(I:I,ROW(L284)/2)),"")</f>
        <v>112.2</v>
      </c>
      <c r="N284" s="21">
        <f t="shared" si="56"/>
        <v>-668.5</v>
      </c>
      <c r="O284" s="21">
        <f t="shared" si="57"/>
        <v>113.3</v>
      </c>
      <c r="P284" s="21">
        <f t="shared" si="49"/>
        <v>-670.8</v>
      </c>
      <c r="Q284" s="21">
        <f t="shared" si="58"/>
        <v>113.3</v>
      </c>
      <c r="R284" s="21"/>
      <c r="S284" s="21">
        <f t="array" ref="S284">IF(ROW(S284)&lt;=COUNTA(N:N)*2,IF(MOD(ROW(S284),2)=1,INDEX(N:N,(ROW(S284)+1)/2),INDEX(P:P,ROW(S284)/2)),"")</f>
        <v>-291.45</v>
      </c>
      <c r="T284" s="21">
        <f t="array" ref="T284">IF(ROW(T284)&lt;=COUNTA(O:O)*2,IF(MOD(ROW(T284),2)=1,INDEX(O:O,(ROW(T284)+1)/2),INDEX(Q:Q,ROW(T284)/2)),"")</f>
        <v>117.2</v>
      </c>
      <c r="V284" s="22">
        <f t="shared" si="59"/>
        <v>-668.5</v>
      </c>
      <c r="W284" s="22">
        <f t="shared" si="50"/>
        <v>122.626175</v>
      </c>
      <c r="X284" s="22">
        <f t="shared" si="51"/>
        <v>-670.8</v>
      </c>
      <c r="Y284" s="22">
        <f t="shared" si="52"/>
        <v>122.626175</v>
      </c>
      <c r="Z284" s="22"/>
      <c r="AA284" s="22">
        <f t="array" ref="AA284">IF(ROW(AA284)&lt;=COUNTA(V:V)*2,IF(MOD(ROW(AA284),2)=1,INDEX(V:V,(ROW(AA284)+1)/2),INDEX(X:X,ROW(AA284)/2)),"")</f>
        <v>-291.45</v>
      </c>
      <c r="AB284" s="22">
        <f t="array" ref="AB284">IF(ROW(AB284)&lt;=COUNTA(W:W)*2,IF(MOD(ROW(AB284),2)=1,INDEX(W:W,(ROW(AB284)+1)/2),INDEX(Y:Y,ROW(AB284)/2)),"")</f>
        <v>125.200975</v>
      </c>
    </row>
    <row r="285" spans="1:28" s="2" customFormat="1" x14ac:dyDescent="0.25">
      <c r="A285" s="19"/>
      <c r="B285" s="20"/>
      <c r="C285" s="21"/>
      <c r="D285" s="22"/>
      <c r="F285" s="34">
        <f t="shared" si="53"/>
        <v>-670.8</v>
      </c>
      <c r="G285" s="34">
        <f t="shared" si="54"/>
        <v>112.5</v>
      </c>
      <c r="H285" s="34">
        <f t="shared" si="48"/>
        <v>-672.3</v>
      </c>
      <c r="I285" s="34">
        <f t="shared" si="55"/>
        <v>112.5</v>
      </c>
      <c r="J285" s="20"/>
      <c r="K285" s="34">
        <f t="array" ref="K285">IF(ROW(K285)&lt;=COUNTA(F:F)*2,IF(MOD(ROW(K285),2)=1,INDEX(F:F,(ROW(K285)+1)/2),INDEX(H:H,ROW(K285)/2)),"")</f>
        <v>-291.45</v>
      </c>
      <c r="L285" s="34">
        <f t="array" ref="L285">IF(ROW(L285)&lt;=COUNTA(G:G)*2,IF(MOD(ROW(L285),2)=1,INDEX(G:G,(ROW(L285)+1)/2),INDEX(I:I,ROW(L285)/2)),"")</f>
        <v>112.4</v>
      </c>
      <c r="N285" s="21">
        <f t="shared" si="56"/>
        <v>-670.8</v>
      </c>
      <c r="O285" s="21">
        <f t="shared" si="57"/>
        <v>113.7</v>
      </c>
      <c r="P285" s="21">
        <f t="shared" si="49"/>
        <v>-672.3</v>
      </c>
      <c r="Q285" s="21">
        <f t="shared" si="58"/>
        <v>113.7</v>
      </c>
      <c r="R285" s="21"/>
      <c r="S285" s="21">
        <f t="array" ref="S285">IF(ROW(S285)&lt;=COUNTA(N:N)*2,IF(MOD(ROW(S285),2)=1,INDEX(N:N,(ROW(S285)+1)/2),INDEX(P:P,ROW(S285)/2)),"")</f>
        <v>-291.45</v>
      </c>
      <c r="T285" s="21">
        <f t="array" ref="T285">IF(ROW(T285)&lt;=COUNTA(O:O)*2,IF(MOD(ROW(T285),2)=1,INDEX(O:O,(ROW(T285)+1)/2),INDEX(Q:Q,ROW(T285)/2)),"")</f>
        <v>116.1</v>
      </c>
      <c r="V285" s="22">
        <f t="shared" si="59"/>
        <v>-670.8</v>
      </c>
      <c r="W285" s="22">
        <f t="shared" si="50"/>
        <v>122.6245</v>
      </c>
      <c r="X285" s="22">
        <f t="shared" si="51"/>
        <v>-672.3</v>
      </c>
      <c r="Y285" s="22">
        <f t="shared" si="52"/>
        <v>122.6245</v>
      </c>
      <c r="Z285" s="22"/>
      <c r="AA285" s="22">
        <f t="array" ref="AA285">IF(ROW(AA285)&lt;=COUNTA(V:V)*2,IF(MOD(ROW(AA285),2)=1,INDEX(V:V,(ROW(AA285)+1)/2),INDEX(X:X,ROW(AA285)/2)),"")</f>
        <v>-291.45</v>
      </c>
      <c r="AB285" s="22">
        <f t="array" ref="AB285">IF(ROW(AB285)&lt;=COUNTA(W:W)*2,IF(MOD(ROW(AB285),2)=1,INDEX(W:W,(ROW(AB285)+1)/2),INDEX(Y:Y,ROW(AB285)/2)),"")</f>
        <v>125.2024</v>
      </c>
    </row>
    <row r="286" spans="1:28" s="2" customFormat="1" x14ac:dyDescent="0.25">
      <c r="A286" s="19"/>
      <c r="B286" s="20"/>
      <c r="C286" s="21"/>
      <c r="D286" s="22"/>
      <c r="F286" s="34">
        <f t="shared" si="53"/>
        <v>-672.3</v>
      </c>
      <c r="G286" s="34">
        <f t="shared" si="54"/>
        <v>112.5</v>
      </c>
      <c r="H286" s="34">
        <f t="shared" si="48"/>
        <v>-673.6</v>
      </c>
      <c r="I286" s="34">
        <f t="shared" si="55"/>
        <v>112.5</v>
      </c>
      <c r="J286" s="20"/>
      <c r="K286" s="34">
        <f t="array" ref="K286">IF(ROW(K286)&lt;=COUNTA(F:F)*2,IF(MOD(ROW(K286),2)=1,INDEX(F:F,(ROW(K286)+1)/2),INDEX(H:H,ROW(K286)/2)),"")</f>
        <v>-294.45</v>
      </c>
      <c r="L286" s="34">
        <f t="array" ref="L286">IF(ROW(L286)&lt;=COUNTA(G:G)*2,IF(MOD(ROW(L286),2)=1,INDEX(G:G,(ROW(L286)+1)/2),INDEX(I:I,ROW(L286)/2)),"")</f>
        <v>112.4</v>
      </c>
      <c r="N286" s="21">
        <f t="shared" si="56"/>
        <v>-672.3</v>
      </c>
      <c r="O286" s="21">
        <f t="shared" si="57"/>
        <v>112.5</v>
      </c>
      <c r="P286" s="21">
        <f t="shared" si="49"/>
        <v>-673.6</v>
      </c>
      <c r="Q286" s="21">
        <f t="shared" si="58"/>
        <v>112.5</v>
      </c>
      <c r="R286" s="21"/>
      <c r="S286" s="21">
        <f t="array" ref="S286">IF(ROW(S286)&lt;=COUNTA(N:N)*2,IF(MOD(ROW(S286),2)=1,INDEX(N:N,(ROW(S286)+1)/2),INDEX(P:P,ROW(S286)/2)),"")</f>
        <v>-294.45</v>
      </c>
      <c r="T286" s="21">
        <f t="array" ref="T286">IF(ROW(T286)&lt;=COUNTA(O:O)*2,IF(MOD(ROW(T286),2)=1,INDEX(O:O,(ROW(T286)+1)/2),INDEX(Q:Q,ROW(T286)/2)),"")</f>
        <v>116.1</v>
      </c>
      <c r="V286" s="22">
        <f t="shared" si="59"/>
        <v>-672.3</v>
      </c>
      <c r="W286" s="22">
        <f t="shared" si="50"/>
        <v>122.664225</v>
      </c>
      <c r="X286" s="22">
        <f t="shared" si="51"/>
        <v>-673.6</v>
      </c>
      <c r="Y286" s="22">
        <f t="shared" si="52"/>
        <v>122.664225</v>
      </c>
      <c r="Z286" s="22"/>
      <c r="AA286" s="22">
        <f t="array" ref="AA286">IF(ROW(AA286)&lt;=COUNTA(V:V)*2,IF(MOD(ROW(AA286),2)=1,INDEX(V:V,(ROW(AA286)+1)/2),INDEX(X:X,ROW(AA286)/2)),"")</f>
        <v>-294.45</v>
      </c>
      <c r="AB286" s="22">
        <f t="array" ref="AB286">IF(ROW(AB286)&lt;=COUNTA(W:W)*2,IF(MOD(ROW(AB286),2)=1,INDEX(W:W,(ROW(AB286)+1)/2),INDEX(Y:Y,ROW(AB286)/2)),"")</f>
        <v>125.2024</v>
      </c>
    </row>
    <row r="287" spans="1:28" s="2" customFormat="1" x14ac:dyDescent="0.25">
      <c r="A287" s="19"/>
      <c r="B287" s="20"/>
      <c r="C287" s="21"/>
      <c r="D287" s="22"/>
      <c r="F287" s="34">
        <f t="shared" si="53"/>
        <v>-673.6</v>
      </c>
      <c r="G287" s="34">
        <f t="shared" si="54"/>
        <v>112.3</v>
      </c>
      <c r="H287" s="34">
        <f t="shared" si="48"/>
        <v>-675.3</v>
      </c>
      <c r="I287" s="34">
        <f t="shared" si="55"/>
        <v>112.3</v>
      </c>
      <c r="J287" s="20"/>
      <c r="K287" s="34">
        <f t="array" ref="K287">IF(ROW(K287)&lt;=COUNTA(F:F)*2,IF(MOD(ROW(K287),2)=1,INDEX(F:F,(ROW(K287)+1)/2),INDEX(H:H,ROW(K287)/2)),"")</f>
        <v>-294.45</v>
      </c>
      <c r="L287" s="34">
        <f t="array" ref="L287">IF(ROW(L287)&lt;=COUNTA(G:G)*2,IF(MOD(ROW(L287),2)=1,INDEX(G:G,(ROW(L287)+1)/2),INDEX(I:I,ROW(L287)/2)),"")</f>
        <v>112.2</v>
      </c>
      <c r="N287" s="21">
        <f t="shared" si="56"/>
        <v>-673.6</v>
      </c>
      <c r="O287" s="21">
        <f t="shared" si="57"/>
        <v>112.5</v>
      </c>
      <c r="P287" s="21">
        <f t="shared" si="49"/>
        <v>-675.3</v>
      </c>
      <c r="Q287" s="21">
        <f t="shared" si="58"/>
        <v>112.5</v>
      </c>
      <c r="R287" s="21"/>
      <c r="S287" s="21">
        <f t="array" ref="S287">IF(ROW(S287)&lt;=COUNTA(N:N)*2,IF(MOD(ROW(S287),2)=1,INDEX(N:N,(ROW(S287)+1)/2),INDEX(P:P,ROW(S287)/2)),"")</f>
        <v>-294.45</v>
      </c>
      <c r="T287" s="21">
        <f t="array" ref="T287">IF(ROW(T287)&lt;=COUNTA(O:O)*2,IF(MOD(ROW(T287),2)=1,INDEX(O:O,(ROW(T287)+1)/2),INDEX(Q:Q,ROW(T287)/2)),"")</f>
        <v>118.7</v>
      </c>
      <c r="V287" s="22">
        <f t="shared" si="59"/>
        <v>-673.6</v>
      </c>
      <c r="W287" s="22">
        <f t="shared" si="50"/>
        <v>122.675525</v>
      </c>
      <c r="X287" s="22">
        <f t="shared" si="51"/>
        <v>-675.3</v>
      </c>
      <c r="Y287" s="22">
        <f t="shared" si="52"/>
        <v>122.675525</v>
      </c>
      <c r="Z287" s="22"/>
      <c r="AA287" s="22">
        <f t="array" ref="AA287">IF(ROW(AA287)&lt;=COUNTA(V:V)*2,IF(MOD(ROW(AA287),2)=1,INDEX(V:V,(ROW(AA287)+1)/2),INDEX(X:X,ROW(AA287)/2)),"")</f>
        <v>-294.45</v>
      </c>
      <c r="AB287" s="22">
        <f t="array" ref="AB287">IF(ROW(AB287)&lt;=COUNTA(W:W)*2,IF(MOD(ROW(AB287),2)=1,INDEX(W:W,(ROW(AB287)+1)/2),INDEX(Y:Y,ROW(AB287)/2)),"")</f>
        <v>125.20495</v>
      </c>
    </row>
    <row r="288" spans="1:28" s="2" customFormat="1" x14ac:dyDescent="0.25">
      <c r="A288" s="19"/>
      <c r="B288" s="20"/>
      <c r="C288" s="21"/>
      <c r="D288" s="22"/>
      <c r="F288" s="34">
        <f t="shared" si="53"/>
        <v>-675.3</v>
      </c>
      <c r="G288" s="34">
        <f t="shared" si="54"/>
        <v>112.4</v>
      </c>
      <c r="H288" s="34">
        <f t="shared" si="48"/>
        <v>-676.8</v>
      </c>
      <c r="I288" s="34">
        <f t="shared" si="55"/>
        <v>112.4</v>
      </c>
      <c r="J288" s="20"/>
      <c r="K288" s="34">
        <f t="array" ref="K288">IF(ROW(K288)&lt;=COUNTA(F:F)*2,IF(MOD(ROW(K288),2)=1,INDEX(F:F,(ROW(K288)+1)/2),INDEX(H:H,ROW(K288)/2)),"")</f>
        <v>-296.45</v>
      </c>
      <c r="L288" s="34">
        <f t="array" ref="L288">IF(ROW(L288)&lt;=COUNTA(G:G)*2,IF(MOD(ROW(L288),2)=1,INDEX(G:G,(ROW(L288)+1)/2),INDEX(I:I,ROW(L288)/2)),"")</f>
        <v>112.2</v>
      </c>
      <c r="N288" s="21">
        <f t="shared" si="56"/>
        <v>-675.3</v>
      </c>
      <c r="O288" s="21">
        <f t="shared" si="57"/>
        <v>112.5</v>
      </c>
      <c r="P288" s="21">
        <f t="shared" si="49"/>
        <v>-676.8</v>
      </c>
      <c r="Q288" s="21">
        <f t="shared" si="58"/>
        <v>112.5</v>
      </c>
      <c r="R288" s="21"/>
      <c r="S288" s="21">
        <f t="array" ref="S288">IF(ROW(S288)&lt;=COUNTA(N:N)*2,IF(MOD(ROW(S288),2)=1,INDEX(N:N,(ROW(S288)+1)/2),INDEX(P:P,ROW(S288)/2)),"")</f>
        <v>-296.45</v>
      </c>
      <c r="T288" s="21">
        <f t="array" ref="T288">IF(ROW(T288)&lt;=COUNTA(O:O)*2,IF(MOD(ROW(T288),2)=1,INDEX(O:O,(ROW(T288)+1)/2),INDEX(Q:Q,ROW(T288)/2)),"")</f>
        <v>118.7</v>
      </c>
      <c r="V288" s="22">
        <f t="shared" si="59"/>
        <v>-675.3</v>
      </c>
      <c r="W288" s="22">
        <f t="shared" si="50"/>
        <v>122.653075</v>
      </c>
      <c r="X288" s="22">
        <f t="shared" si="51"/>
        <v>-676.8</v>
      </c>
      <c r="Y288" s="22">
        <f t="shared" si="52"/>
        <v>122.653075</v>
      </c>
      <c r="Z288" s="22"/>
      <c r="AA288" s="22">
        <f t="array" ref="AA288">IF(ROW(AA288)&lt;=COUNTA(V:V)*2,IF(MOD(ROW(AA288),2)=1,INDEX(V:V,(ROW(AA288)+1)/2),INDEX(X:X,ROW(AA288)/2)),"")</f>
        <v>-296.45</v>
      </c>
      <c r="AB288" s="22">
        <f t="array" ref="AB288">IF(ROW(AB288)&lt;=COUNTA(W:W)*2,IF(MOD(ROW(AB288),2)=1,INDEX(W:W,(ROW(AB288)+1)/2),INDEX(Y:Y,ROW(AB288)/2)),"")</f>
        <v>125.20495</v>
      </c>
    </row>
    <row r="289" spans="1:28" s="2" customFormat="1" x14ac:dyDescent="0.25">
      <c r="A289" s="19"/>
      <c r="B289" s="20"/>
      <c r="C289" s="21"/>
      <c r="D289" s="22"/>
      <c r="F289" s="34">
        <f t="shared" si="53"/>
        <v>-676.8</v>
      </c>
      <c r="G289" s="34">
        <f t="shared" si="54"/>
        <v>112.4</v>
      </c>
      <c r="H289" s="34">
        <f t="shared" si="48"/>
        <v>-678.3</v>
      </c>
      <c r="I289" s="34">
        <f t="shared" si="55"/>
        <v>112.4</v>
      </c>
      <c r="J289" s="20"/>
      <c r="K289" s="34">
        <f t="array" ref="K289">IF(ROW(K289)&lt;=COUNTA(F:F)*2,IF(MOD(ROW(K289),2)=1,INDEX(F:F,(ROW(K289)+1)/2),INDEX(H:H,ROW(K289)/2)),"")</f>
        <v>-296.45</v>
      </c>
      <c r="L289" s="34">
        <f t="array" ref="L289">IF(ROW(L289)&lt;=COUNTA(G:G)*2,IF(MOD(ROW(L289),2)=1,INDEX(G:G,(ROW(L289)+1)/2),INDEX(I:I,ROW(L289)/2)),"")</f>
        <v>112.5</v>
      </c>
      <c r="N289" s="21">
        <f t="shared" si="56"/>
        <v>-676.8</v>
      </c>
      <c r="O289" s="21">
        <f t="shared" si="57"/>
        <v>112.5</v>
      </c>
      <c r="P289" s="21">
        <f t="shared" si="49"/>
        <v>-678.3</v>
      </c>
      <c r="Q289" s="21">
        <f t="shared" si="58"/>
        <v>112.5</v>
      </c>
      <c r="R289" s="21"/>
      <c r="S289" s="21">
        <f t="array" ref="S289">IF(ROW(S289)&lt;=COUNTA(N:N)*2,IF(MOD(ROW(S289),2)=1,INDEX(N:N,(ROW(S289)+1)/2),INDEX(P:P,ROW(S289)/2)),"")</f>
        <v>-296.45</v>
      </c>
      <c r="T289" s="21">
        <f t="array" ref="T289">IF(ROW(T289)&lt;=COUNTA(O:O)*2,IF(MOD(ROW(T289),2)=1,INDEX(O:O,(ROW(T289)+1)/2),INDEX(Q:Q,ROW(T289)/2)),"")</f>
        <v>119.6</v>
      </c>
      <c r="V289" s="22">
        <f t="shared" si="59"/>
        <v>-676.8</v>
      </c>
      <c r="W289" s="22">
        <f t="shared" si="50"/>
        <v>122.666325</v>
      </c>
      <c r="X289" s="22">
        <f t="shared" si="51"/>
        <v>-678.3</v>
      </c>
      <c r="Y289" s="22">
        <f t="shared" si="52"/>
        <v>122.666325</v>
      </c>
      <c r="Z289" s="22"/>
      <c r="AA289" s="22">
        <f t="array" ref="AA289">IF(ROW(AA289)&lt;=COUNTA(V:V)*2,IF(MOD(ROW(AA289),2)=1,INDEX(V:V,(ROW(AA289)+1)/2),INDEX(X:X,ROW(AA289)/2)),"")</f>
        <v>-296.45</v>
      </c>
      <c r="AB289" s="22">
        <f t="array" ref="AB289">IF(ROW(AB289)&lt;=COUNTA(W:W)*2,IF(MOD(ROW(AB289),2)=1,INDEX(W:W,(ROW(AB289)+1)/2),INDEX(Y:Y,ROW(AB289)/2)),"")</f>
        <v>125.222325</v>
      </c>
    </row>
    <row r="290" spans="1:28" s="2" customFormat="1" x14ac:dyDescent="0.25">
      <c r="A290" s="19"/>
      <c r="B290" s="20"/>
      <c r="C290" s="21"/>
      <c r="D290" s="22"/>
      <c r="F290" s="34">
        <f t="shared" si="53"/>
        <v>-678.3</v>
      </c>
      <c r="G290" s="34">
        <f t="shared" si="54"/>
        <v>112.4</v>
      </c>
      <c r="H290" s="34">
        <f t="shared" si="48"/>
        <v>-679.8</v>
      </c>
      <c r="I290" s="34">
        <f t="shared" si="55"/>
        <v>112.4</v>
      </c>
      <c r="J290" s="20"/>
      <c r="K290" s="34">
        <f t="array" ref="K290">IF(ROW(K290)&lt;=COUNTA(F:F)*2,IF(MOD(ROW(K290),2)=1,INDEX(F:F,(ROW(K290)+1)/2),INDEX(H:H,ROW(K290)/2)),"")</f>
        <v>-298.95</v>
      </c>
      <c r="L290" s="34">
        <f t="array" ref="L290">IF(ROW(L290)&lt;=COUNTA(G:G)*2,IF(MOD(ROW(L290),2)=1,INDEX(G:G,(ROW(L290)+1)/2),INDEX(I:I,ROW(L290)/2)),"")</f>
        <v>112.5</v>
      </c>
      <c r="N290" s="21">
        <f t="shared" si="56"/>
        <v>-678.3</v>
      </c>
      <c r="O290" s="21">
        <f t="shared" si="57"/>
        <v>112.5</v>
      </c>
      <c r="P290" s="21">
        <f t="shared" si="49"/>
        <v>-679.8</v>
      </c>
      <c r="Q290" s="21">
        <f t="shared" si="58"/>
        <v>112.5</v>
      </c>
      <c r="R290" s="21"/>
      <c r="S290" s="21">
        <f t="array" ref="S290">IF(ROW(S290)&lt;=COUNTA(N:N)*2,IF(MOD(ROW(S290),2)=1,INDEX(N:N,(ROW(S290)+1)/2),INDEX(P:P,ROW(S290)/2)),"")</f>
        <v>-298.95</v>
      </c>
      <c r="T290" s="21">
        <f t="array" ref="T290">IF(ROW(T290)&lt;=COUNTA(O:O)*2,IF(MOD(ROW(T290),2)=1,INDEX(O:O,(ROW(T290)+1)/2),INDEX(Q:Q,ROW(T290)/2)),"")</f>
        <v>119.6</v>
      </c>
      <c r="V290" s="22">
        <f t="shared" si="59"/>
        <v>-678.3</v>
      </c>
      <c r="W290" s="22">
        <f t="shared" si="50"/>
        <v>122.656325</v>
      </c>
      <c r="X290" s="22">
        <f t="shared" si="51"/>
        <v>-679.8</v>
      </c>
      <c r="Y290" s="22">
        <f t="shared" si="52"/>
        <v>122.656325</v>
      </c>
      <c r="Z290" s="22"/>
      <c r="AA290" s="22">
        <f t="array" ref="AA290">IF(ROW(AA290)&lt;=COUNTA(V:V)*2,IF(MOD(ROW(AA290),2)=1,INDEX(V:V,(ROW(AA290)+1)/2),INDEX(X:X,ROW(AA290)/2)),"")</f>
        <v>-298.95</v>
      </c>
      <c r="AB290" s="22">
        <f t="array" ref="AB290">IF(ROW(AB290)&lt;=COUNTA(W:W)*2,IF(MOD(ROW(AB290),2)=1,INDEX(W:W,(ROW(AB290)+1)/2),INDEX(Y:Y,ROW(AB290)/2)),"")</f>
        <v>125.222325</v>
      </c>
    </row>
    <row r="291" spans="1:28" s="2" customFormat="1" x14ac:dyDescent="0.25">
      <c r="A291" s="19"/>
      <c r="B291" s="20"/>
      <c r="C291" s="21"/>
      <c r="D291" s="22"/>
      <c r="F291" s="34">
        <f t="shared" si="53"/>
        <v>-679.8</v>
      </c>
      <c r="G291" s="34">
        <f t="shared" si="54"/>
        <v>112.4</v>
      </c>
      <c r="H291" s="34">
        <f t="shared" si="48"/>
        <v>-681.25</v>
      </c>
      <c r="I291" s="34">
        <f t="shared" si="55"/>
        <v>112.4</v>
      </c>
      <c r="J291" s="20"/>
      <c r="K291" s="34">
        <f t="array" ref="K291">IF(ROW(K291)&lt;=COUNTA(F:F)*2,IF(MOD(ROW(K291),2)=1,INDEX(F:F,(ROW(K291)+1)/2),INDEX(H:H,ROW(K291)/2)),"")</f>
        <v>-298.95</v>
      </c>
      <c r="L291" s="34">
        <f t="array" ref="L291">IF(ROW(L291)&lt;=COUNTA(G:G)*2,IF(MOD(ROW(L291),2)=1,INDEX(G:G,(ROW(L291)+1)/2),INDEX(I:I,ROW(L291)/2)),"")</f>
        <v>112.2</v>
      </c>
      <c r="N291" s="21">
        <f t="shared" si="56"/>
        <v>-679.8</v>
      </c>
      <c r="O291" s="21">
        <f t="shared" si="57"/>
        <v>117.8</v>
      </c>
      <c r="P291" s="21">
        <f t="shared" si="49"/>
        <v>-681.25</v>
      </c>
      <c r="Q291" s="21">
        <f t="shared" si="58"/>
        <v>117.8</v>
      </c>
      <c r="R291" s="21"/>
      <c r="S291" s="21">
        <f t="array" ref="S291">IF(ROW(S291)&lt;=COUNTA(N:N)*2,IF(MOD(ROW(S291),2)=1,INDEX(N:N,(ROW(S291)+1)/2),INDEX(P:P,ROW(S291)/2)),"")</f>
        <v>-298.95</v>
      </c>
      <c r="T291" s="21">
        <f t="array" ref="T291">IF(ROW(T291)&lt;=COUNTA(O:O)*2,IF(MOD(ROW(T291),2)=1,INDEX(O:O,(ROW(T291)+1)/2),INDEX(Q:Q,ROW(T291)/2)),"")</f>
        <v>114.2</v>
      </c>
      <c r="V291" s="22">
        <f t="shared" si="59"/>
        <v>-679.8</v>
      </c>
      <c r="W291" s="22">
        <f t="shared" si="50"/>
        <v>122.669225</v>
      </c>
      <c r="X291" s="22">
        <f t="shared" si="51"/>
        <v>-681.25</v>
      </c>
      <c r="Y291" s="22">
        <f t="shared" si="52"/>
        <v>122.669225</v>
      </c>
      <c r="Z291" s="22"/>
      <c r="AA291" s="22">
        <f t="array" ref="AA291">IF(ROW(AA291)&lt;=COUNTA(V:V)*2,IF(MOD(ROW(AA291),2)=1,INDEX(V:V,(ROW(AA291)+1)/2),INDEX(X:X,ROW(AA291)/2)),"")</f>
        <v>-298.95</v>
      </c>
      <c r="AB291" s="22">
        <f t="array" ref="AB291">IF(ROW(AB291)&lt;=COUNTA(W:W)*2,IF(MOD(ROW(AB291),2)=1,INDEX(W:W,(ROW(AB291)+1)/2),INDEX(Y:Y,ROW(AB291)/2)),"")</f>
        <v>125.133375</v>
      </c>
    </row>
    <row r="292" spans="1:28" s="2" customFormat="1" x14ac:dyDescent="0.25">
      <c r="A292" s="19"/>
      <c r="B292" s="20"/>
      <c r="C292" s="21"/>
      <c r="D292" s="22"/>
      <c r="F292" s="34">
        <f t="shared" si="53"/>
        <v>-681.25</v>
      </c>
      <c r="G292" s="34">
        <f t="shared" si="54"/>
        <v>112.4</v>
      </c>
      <c r="H292" s="34">
        <f t="shared" si="48"/>
        <v>-682.75</v>
      </c>
      <c r="I292" s="34">
        <f t="shared" si="55"/>
        <v>112.4</v>
      </c>
      <c r="J292" s="20"/>
      <c r="K292" s="34">
        <f t="array" ref="K292">IF(ROW(K292)&lt;=COUNTA(F:F)*2,IF(MOD(ROW(K292),2)=1,INDEX(F:F,(ROW(K292)+1)/2),INDEX(H:H,ROW(K292)/2)),"")</f>
        <v>-301.95</v>
      </c>
      <c r="L292" s="34">
        <f t="array" ref="L292">IF(ROW(L292)&lt;=COUNTA(G:G)*2,IF(MOD(ROW(L292),2)=1,INDEX(G:G,(ROW(L292)+1)/2),INDEX(I:I,ROW(L292)/2)),"")</f>
        <v>112.2</v>
      </c>
      <c r="N292" s="21">
        <f t="shared" si="56"/>
        <v>-681.25</v>
      </c>
      <c r="O292" s="21">
        <f t="shared" si="57"/>
        <v>113.3</v>
      </c>
      <c r="P292" s="21">
        <f t="shared" si="49"/>
        <v>-682.75</v>
      </c>
      <c r="Q292" s="21">
        <f t="shared" si="58"/>
        <v>113.3</v>
      </c>
      <c r="R292" s="21"/>
      <c r="S292" s="21">
        <f t="array" ref="S292">IF(ROW(S292)&lt;=COUNTA(N:N)*2,IF(MOD(ROW(S292),2)=1,INDEX(N:N,(ROW(S292)+1)/2),INDEX(P:P,ROW(S292)/2)),"")</f>
        <v>-301.95</v>
      </c>
      <c r="T292" s="21">
        <f t="array" ref="T292">IF(ROW(T292)&lt;=COUNTA(O:O)*2,IF(MOD(ROW(T292),2)=1,INDEX(O:O,(ROW(T292)+1)/2),INDEX(Q:Q,ROW(T292)/2)),"")</f>
        <v>114.2</v>
      </c>
      <c r="V292" s="22">
        <f t="shared" si="59"/>
        <v>-681.25</v>
      </c>
      <c r="W292" s="22">
        <f t="shared" si="50"/>
        <v>122.6214</v>
      </c>
      <c r="X292" s="22">
        <f t="shared" si="51"/>
        <v>-682.75</v>
      </c>
      <c r="Y292" s="22">
        <f t="shared" si="52"/>
        <v>122.6214</v>
      </c>
      <c r="Z292" s="22"/>
      <c r="AA292" s="22">
        <f t="array" ref="AA292">IF(ROW(AA292)&lt;=COUNTA(V:V)*2,IF(MOD(ROW(AA292),2)=1,INDEX(V:V,(ROW(AA292)+1)/2),INDEX(X:X,ROW(AA292)/2)),"")</f>
        <v>-301.95</v>
      </c>
      <c r="AB292" s="22">
        <f t="array" ref="AB292">IF(ROW(AB292)&lt;=COUNTA(W:W)*2,IF(MOD(ROW(AB292),2)=1,INDEX(W:W,(ROW(AB292)+1)/2),INDEX(Y:Y,ROW(AB292)/2)),"")</f>
        <v>125.133375</v>
      </c>
    </row>
    <row r="293" spans="1:28" s="2" customFormat="1" x14ac:dyDescent="0.25">
      <c r="A293" s="19"/>
      <c r="B293" s="20"/>
      <c r="C293" s="21"/>
      <c r="D293" s="22"/>
      <c r="F293" s="34">
        <f t="shared" si="53"/>
        <v>-682.75</v>
      </c>
      <c r="G293" s="34">
        <f t="shared" si="54"/>
        <v>112.4</v>
      </c>
      <c r="H293" s="34">
        <f t="shared" si="48"/>
        <v>-684.25</v>
      </c>
      <c r="I293" s="34">
        <f t="shared" si="55"/>
        <v>112.4</v>
      </c>
      <c r="J293" s="20"/>
      <c r="K293" s="34">
        <f t="array" ref="K293">IF(ROW(K293)&lt;=COUNTA(F:F)*2,IF(MOD(ROW(K293),2)=1,INDEX(F:F,(ROW(K293)+1)/2),INDEX(H:H,ROW(K293)/2)),"")</f>
        <v>-301.95</v>
      </c>
      <c r="L293" s="34">
        <f t="array" ref="L293">IF(ROW(L293)&lt;=COUNTA(G:G)*2,IF(MOD(ROW(L293),2)=1,INDEX(G:G,(ROW(L293)+1)/2),INDEX(I:I,ROW(L293)/2)),"")</f>
        <v>112.4</v>
      </c>
      <c r="N293" s="21">
        <f t="shared" si="56"/>
        <v>-682.75</v>
      </c>
      <c r="O293" s="21">
        <f t="shared" si="57"/>
        <v>115</v>
      </c>
      <c r="P293" s="21">
        <f t="shared" si="49"/>
        <v>-684.25</v>
      </c>
      <c r="Q293" s="21">
        <f t="shared" si="58"/>
        <v>115</v>
      </c>
      <c r="R293" s="21"/>
      <c r="S293" s="21">
        <f t="array" ref="S293">IF(ROW(S293)&lt;=COUNTA(N:N)*2,IF(MOD(ROW(S293),2)=1,INDEX(N:N,(ROW(S293)+1)/2),INDEX(P:P,ROW(S293)/2)),"")</f>
        <v>-301.95</v>
      </c>
      <c r="T293" s="21">
        <f t="array" ref="T293">IF(ROW(T293)&lt;=COUNTA(O:O)*2,IF(MOD(ROW(T293),2)=1,INDEX(O:O,(ROW(T293)+1)/2),INDEX(Q:Q,ROW(T293)/2)),"")</f>
        <v>116.4</v>
      </c>
      <c r="V293" s="22">
        <f t="shared" si="59"/>
        <v>-682.75</v>
      </c>
      <c r="W293" s="22">
        <f t="shared" si="50"/>
        <v>122.68205</v>
      </c>
      <c r="X293" s="22">
        <f t="shared" si="51"/>
        <v>-684.25</v>
      </c>
      <c r="Y293" s="22">
        <f t="shared" si="52"/>
        <v>122.68205</v>
      </c>
      <c r="Z293" s="22"/>
      <c r="AA293" s="22">
        <f t="array" ref="AA293">IF(ROW(AA293)&lt;=COUNTA(V:V)*2,IF(MOD(ROW(AA293),2)=1,INDEX(V:V,(ROW(AA293)+1)/2),INDEX(X:X,ROW(AA293)/2)),"")</f>
        <v>-301.95</v>
      </c>
      <c r="AB293" s="22">
        <f t="array" ref="AB293">IF(ROW(AB293)&lt;=COUNTA(W:W)*2,IF(MOD(ROW(AB293),2)=1,INDEX(W:W,(ROW(AB293)+1)/2),INDEX(Y:Y,ROW(AB293)/2)),"")</f>
        <v>125.273075</v>
      </c>
    </row>
    <row r="294" spans="1:28" s="2" customFormat="1" x14ac:dyDescent="0.25">
      <c r="A294" s="19"/>
      <c r="B294" s="20"/>
      <c r="C294" s="21"/>
      <c r="D294" s="22"/>
      <c r="F294" s="34">
        <f t="shared" si="53"/>
        <v>-684.25</v>
      </c>
      <c r="G294" s="34">
        <f t="shared" si="54"/>
        <v>112.4</v>
      </c>
      <c r="H294" s="34">
        <f t="shared" si="48"/>
        <v>-685.75</v>
      </c>
      <c r="I294" s="34">
        <f t="shared" si="55"/>
        <v>112.4</v>
      </c>
      <c r="J294" s="20"/>
      <c r="K294" s="34">
        <f t="array" ref="K294">IF(ROW(K294)&lt;=COUNTA(F:F)*2,IF(MOD(ROW(K294),2)=1,INDEX(F:F,(ROW(K294)+1)/2),INDEX(H:H,ROW(K294)/2)),"")</f>
        <v>-304.95</v>
      </c>
      <c r="L294" s="34">
        <f t="array" ref="L294">IF(ROW(L294)&lt;=COUNTA(G:G)*2,IF(MOD(ROW(L294),2)=1,INDEX(G:G,(ROW(L294)+1)/2),INDEX(I:I,ROW(L294)/2)),"")</f>
        <v>112.4</v>
      </c>
      <c r="N294" s="21">
        <f t="shared" si="56"/>
        <v>-684.25</v>
      </c>
      <c r="O294" s="21">
        <f t="shared" si="57"/>
        <v>112.5</v>
      </c>
      <c r="P294" s="21">
        <f t="shared" si="49"/>
        <v>-685.75</v>
      </c>
      <c r="Q294" s="21">
        <f t="shared" si="58"/>
        <v>112.5</v>
      </c>
      <c r="R294" s="21"/>
      <c r="S294" s="21">
        <f t="array" ref="S294">IF(ROW(S294)&lt;=COUNTA(N:N)*2,IF(MOD(ROW(S294),2)=1,INDEX(N:N,(ROW(S294)+1)/2),INDEX(P:P,ROW(S294)/2)),"")</f>
        <v>-304.95</v>
      </c>
      <c r="T294" s="21">
        <f t="array" ref="T294">IF(ROW(T294)&lt;=COUNTA(O:O)*2,IF(MOD(ROW(T294),2)=1,INDEX(O:O,(ROW(T294)+1)/2),INDEX(Q:Q,ROW(T294)/2)),"")</f>
        <v>116.4</v>
      </c>
      <c r="V294" s="22">
        <f t="shared" si="59"/>
        <v>-684.25</v>
      </c>
      <c r="W294" s="22">
        <f t="shared" si="50"/>
        <v>122.7277</v>
      </c>
      <c r="X294" s="22">
        <f t="shared" si="51"/>
        <v>-685.75</v>
      </c>
      <c r="Y294" s="22">
        <f t="shared" si="52"/>
        <v>122.7277</v>
      </c>
      <c r="Z294" s="22"/>
      <c r="AA294" s="22">
        <f t="array" ref="AA294">IF(ROW(AA294)&lt;=COUNTA(V:V)*2,IF(MOD(ROW(AA294),2)=1,INDEX(V:V,(ROW(AA294)+1)/2),INDEX(X:X,ROW(AA294)/2)),"")</f>
        <v>-304.95</v>
      </c>
      <c r="AB294" s="22">
        <f t="array" ref="AB294">IF(ROW(AB294)&lt;=COUNTA(W:W)*2,IF(MOD(ROW(AB294),2)=1,INDEX(W:W,(ROW(AB294)+1)/2),INDEX(Y:Y,ROW(AB294)/2)),"")</f>
        <v>125.273075</v>
      </c>
    </row>
    <row r="295" spans="1:28" s="2" customFormat="1" x14ac:dyDescent="0.25">
      <c r="A295" s="19"/>
      <c r="B295" s="20"/>
      <c r="C295" s="21"/>
      <c r="D295" s="22"/>
      <c r="F295" s="34">
        <f t="shared" si="53"/>
        <v>-685.75</v>
      </c>
      <c r="G295" s="34">
        <f t="shared" si="54"/>
        <v>112.4</v>
      </c>
      <c r="H295" s="34">
        <f t="shared" si="48"/>
        <v>-687.25</v>
      </c>
      <c r="I295" s="34">
        <f t="shared" si="55"/>
        <v>112.4</v>
      </c>
      <c r="J295" s="20"/>
      <c r="K295" s="34">
        <f t="array" ref="K295">IF(ROW(K295)&lt;=COUNTA(F:F)*2,IF(MOD(ROW(K295),2)=1,INDEX(F:F,(ROW(K295)+1)/2),INDEX(H:H,ROW(K295)/2)),"")</f>
        <v>-304.95</v>
      </c>
      <c r="L295" s="34">
        <f t="array" ref="L295">IF(ROW(L295)&lt;=COUNTA(G:G)*2,IF(MOD(ROW(L295),2)=1,INDEX(G:G,(ROW(L295)+1)/2),INDEX(I:I,ROW(L295)/2)),"")</f>
        <v>112.2</v>
      </c>
      <c r="N295" s="21">
        <f t="shared" si="56"/>
        <v>-685.75</v>
      </c>
      <c r="O295" s="21">
        <f t="shared" si="57"/>
        <v>113.4</v>
      </c>
      <c r="P295" s="21">
        <f t="shared" si="49"/>
        <v>-687.25</v>
      </c>
      <c r="Q295" s="21">
        <f t="shared" si="58"/>
        <v>113.4</v>
      </c>
      <c r="R295" s="21"/>
      <c r="S295" s="21">
        <f t="array" ref="S295">IF(ROW(S295)&lt;=COUNTA(N:N)*2,IF(MOD(ROW(S295),2)=1,INDEX(N:N,(ROW(S295)+1)/2),INDEX(P:P,ROW(S295)/2)),"")</f>
        <v>-304.95</v>
      </c>
      <c r="T295" s="21">
        <f t="array" ref="T295">IF(ROW(T295)&lt;=COUNTA(O:O)*2,IF(MOD(ROW(T295),2)=1,INDEX(O:O,(ROW(T295)+1)/2),INDEX(Q:Q,ROW(T295)/2)),"")</f>
        <v>115.4</v>
      </c>
      <c r="V295" s="22">
        <f t="shared" si="59"/>
        <v>-685.75</v>
      </c>
      <c r="W295" s="22">
        <f t="shared" si="50"/>
        <v>122.751275</v>
      </c>
      <c r="X295" s="22">
        <f t="shared" si="51"/>
        <v>-687.25</v>
      </c>
      <c r="Y295" s="22">
        <f t="shared" si="52"/>
        <v>122.751275</v>
      </c>
      <c r="Z295" s="22"/>
      <c r="AA295" s="22">
        <f t="array" ref="AA295">IF(ROW(AA295)&lt;=COUNTA(V:V)*2,IF(MOD(ROW(AA295),2)=1,INDEX(V:V,(ROW(AA295)+1)/2),INDEX(X:X,ROW(AA295)/2)),"")</f>
        <v>-304.95</v>
      </c>
      <c r="AB295" s="22">
        <f t="array" ref="AB295">IF(ROW(AB295)&lt;=COUNTA(W:W)*2,IF(MOD(ROW(AB295),2)=1,INDEX(W:W,(ROW(AB295)+1)/2),INDEX(Y:Y,ROW(AB295)/2)),"")</f>
        <v>125.30195</v>
      </c>
    </row>
    <row r="296" spans="1:28" s="2" customFormat="1" x14ac:dyDescent="0.25">
      <c r="A296" s="19"/>
      <c r="B296" s="20"/>
      <c r="C296" s="21"/>
      <c r="D296" s="22"/>
      <c r="F296" s="34">
        <f t="shared" si="53"/>
        <v>-687.25</v>
      </c>
      <c r="G296" s="34">
        <f t="shared" si="54"/>
        <v>112.4</v>
      </c>
      <c r="H296" s="34">
        <f t="shared" si="48"/>
        <v>-688.75</v>
      </c>
      <c r="I296" s="34">
        <f t="shared" si="55"/>
        <v>112.4</v>
      </c>
      <c r="J296" s="20"/>
      <c r="K296" s="34">
        <f t="array" ref="K296">IF(ROW(K296)&lt;=COUNTA(F:F)*2,IF(MOD(ROW(K296),2)=1,INDEX(F:F,(ROW(K296)+1)/2),INDEX(H:H,ROW(K296)/2)),"")</f>
        <v>-307.95</v>
      </c>
      <c r="L296" s="34">
        <f t="array" ref="L296">IF(ROW(L296)&lt;=COUNTA(G:G)*2,IF(MOD(ROW(L296),2)=1,INDEX(G:G,(ROW(L296)+1)/2),INDEX(I:I,ROW(L296)/2)),"")</f>
        <v>112.2</v>
      </c>
      <c r="N296" s="21">
        <f t="shared" si="56"/>
        <v>-687.25</v>
      </c>
      <c r="O296" s="21">
        <f t="shared" si="57"/>
        <v>114.8</v>
      </c>
      <c r="P296" s="21">
        <f t="shared" si="49"/>
        <v>-688.75</v>
      </c>
      <c r="Q296" s="21">
        <f t="shared" si="58"/>
        <v>114.8</v>
      </c>
      <c r="R296" s="21"/>
      <c r="S296" s="21">
        <f t="array" ref="S296">IF(ROW(S296)&lt;=COUNTA(N:N)*2,IF(MOD(ROW(S296),2)=1,INDEX(N:N,(ROW(S296)+1)/2),INDEX(P:P,ROW(S296)/2)),"")</f>
        <v>-307.95</v>
      </c>
      <c r="T296" s="21">
        <f t="array" ref="T296">IF(ROW(T296)&lt;=COUNTA(O:O)*2,IF(MOD(ROW(T296),2)=1,INDEX(O:O,(ROW(T296)+1)/2),INDEX(Q:Q,ROW(T296)/2)),"")</f>
        <v>115.4</v>
      </c>
      <c r="V296" s="22">
        <f t="shared" si="59"/>
        <v>-687.25</v>
      </c>
      <c r="W296" s="22">
        <f t="shared" si="50"/>
        <v>122.7021</v>
      </c>
      <c r="X296" s="22">
        <f t="shared" si="51"/>
        <v>-688.75</v>
      </c>
      <c r="Y296" s="22">
        <f t="shared" si="52"/>
        <v>122.7021</v>
      </c>
      <c r="Z296" s="22"/>
      <c r="AA296" s="22">
        <f t="array" ref="AA296">IF(ROW(AA296)&lt;=COUNTA(V:V)*2,IF(MOD(ROW(AA296),2)=1,INDEX(V:V,(ROW(AA296)+1)/2),INDEX(X:X,ROW(AA296)/2)),"")</f>
        <v>-307.95</v>
      </c>
      <c r="AB296" s="22">
        <f t="array" ref="AB296">IF(ROW(AB296)&lt;=COUNTA(W:W)*2,IF(MOD(ROW(AB296),2)=1,INDEX(W:W,(ROW(AB296)+1)/2),INDEX(Y:Y,ROW(AB296)/2)),"")</f>
        <v>125.30195</v>
      </c>
    </row>
    <row r="297" spans="1:28" s="2" customFormat="1" x14ac:dyDescent="0.25">
      <c r="A297" s="19"/>
      <c r="B297" s="20"/>
      <c r="C297" s="21"/>
      <c r="D297" s="22"/>
      <c r="F297" s="34">
        <f t="shared" si="53"/>
        <v>-688.75</v>
      </c>
      <c r="G297" s="34">
        <f t="shared" si="54"/>
        <v>112.4</v>
      </c>
      <c r="H297" s="34">
        <f t="shared" si="48"/>
        <v>-690.25</v>
      </c>
      <c r="I297" s="34">
        <f t="shared" si="55"/>
        <v>112.4</v>
      </c>
      <c r="J297" s="20"/>
      <c r="K297" s="34">
        <f t="array" ref="K297">IF(ROW(K297)&lt;=COUNTA(F:F)*2,IF(MOD(ROW(K297),2)=1,INDEX(F:F,(ROW(K297)+1)/2),INDEX(H:H,ROW(K297)/2)),"")</f>
        <v>-307.95</v>
      </c>
      <c r="L297" s="34">
        <f t="array" ref="L297">IF(ROW(L297)&lt;=COUNTA(G:G)*2,IF(MOD(ROW(L297),2)=1,INDEX(G:G,(ROW(L297)+1)/2),INDEX(I:I,ROW(L297)/2)),"")</f>
        <v>112.2</v>
      </c>
      <c r="N297" s="21">
        <f t="shared" si="56"/>
        <v>-688.75</v>
      </c>
      <c r="O297" s="21">
        <f t="shared" si="57"/>
        <v>113.3</v>
      </c>
      <c r="P297" s="21">
        <f t="shared" si="49"/>
        <v>-690.25</v>
      </c>
      <c r="Q297" s="21">
        <f t="shared" si="58"/>
        <v>113.3</v>
      </c>
      <c r="R297" s="21"/>
      <c r="S297" s="21">
        <f t="array" ref="S297">IF(ROW(S297)&lt;=COUNTA(N:N)*2,IF(MOD(ROW(S297),2)=1,INDEX(N:N,(ROW(S297)+1)/2),INDEX(P:P,ROW(S297)/2)),"")</f>
        <v>-307.95</v>
      </c>
      <c r="T297" s="21">
        <f t="array" ref="T297">IF(ROW(T297)&lt;=COUNTA(O:O)*2,IF(MOD(ROW(T297),2)=1,INDEX(O:O,(ROW(T297)+1)/2),INDEX(Q:Q,ROW(T297)/2)),"")</f>
        <v>115.4</v>
      </c>
      <c r="V297" s="22">
        <f t="shared" si="59"/>
        <v>-688.75</v>
      </c>
      <c r="W297" s="22">
        <f t="shared" si="50"/>
        <v>122.668725</v>
      </c>
      <c r="X297" s="22">
        <f t="shared" si="51"/>
        <v>-690.25</v>
      </c>
      <c r="Y297" s="22">
        <f t="shared" si="52"/>
        <v>122.668725</v>
      </c>
      <c r="Z297" s="22"/>
      <c r="AA297" s="22">
        <f t="array" ref="AA297">IF(ROW(AA297)&lt;=COUNTA(V:V)*2,IF(MOD(ROW(AA297),2)=1,INDEX(V:V,(ROW(AA297)+1)/2),INDEX(X:X,ROW(AA297)/2)),"")</f>
        <v>-307.95</v>
      </c>
      <c r="AB297" s="22">
        <f t="array" ref="AB297">IF(ROW(AB297)&lt;=COUNTA(W:W)*2,IF(MOD(ROW(AB297),2)=1,INDEX(W:W,(ROW(AB297)+1)/2),INDEX(Y:Y,ROW(AB297)/2)),"")</f>
        <v>124.789025</v>
      </c>
    </row>
    <row r="298" spans="1:28" s="2" customFormat="1" x14ac:dyDescent="0.25">
      <c r="A298" s="19"/>
      <c r="B298" s="20"/>
      <c r="C298" s="21"/>
      <c r="D298" s="22"/>
      <c r="F298" s="34">
        <f t="shared" si="53"/>
        <v>-690.25</v>
      </c>
      <c r="G298" s="34">
        <f t="shared" si="54"/>
        <v>112.4</v>
      </c>
      <c r="H298" s="34">
        <f t="shared" si="48"/>
        <v>-691.75</v>
      </c>
      <c r="I298" s="34">
        <f t="shared" si="55"/>
        <v>112.4</v>
      </c>
      <c r="J298" s="20"/>
      <c r="K298" s="34">
        <f t="array" ref="K298">IF(ROW(K298)&lt;=COUNTA(F:F)*2,IF(MOD(ROW(K298),2)=1,INDEX(F:F,(ROW(K298)+1)/2),INDEX(H:H,ROW(K298)/2)),"")</f>
        <v>-310.95</v>
      </c>
      <c r="L298" s="34">
        <f t="array" ref="L298">IF(ROW(L298)&lt;=COUNTA(G:G)*2,IF(MOD(ROW(L298),2)=1,INDEX(G:G,(ROW(L298)+1)/2),INDEX(I:I,ROW(L298)/2)),"")</f>
        <v>112.2</v>
      </c>
      <c r="N298" s="21">
        <f t="shared" si="56"/>
        <v>-690.25</v>
      </c>
      <c r="O298" s="21">
        <f t="shared" si="57"/>
        <v>119</v>
      </c>
      <c r="P298" s="21">
        <f t="shared" si="49"/>
        <v>-691.75</v>
      </c>
      <c r="Q298" s="21">
        <f t="shared" si="58"/>
        <v>119</v>
      </c>
      <c r="R298" s="21"/>
      <c r="S298" s="21">
        <f t="array" ref="S298">IF(ROW(S298)&lt;=COUNTA(N:N)*2,IF(MOD(ROW(S298),2)=1,INDEX(N:N,(ROW(S298)+1)/2),INDEX(P:P,ROW(S298)/2)),"")</f>
        <v>-310.95</v>
      </c>
      <c r="T298" s="21">
        <f t="array" ref="T298">IF(ROW(T298)&lt;=COUNTA(O:O)*2,IF(MOD(ROW(T298),2)=1,INDEX(O:O,(ROW(T298)+1)/2),INDEX(Q:Q,ROW(T298)/2)),"")</f>
        <v>115.4</v>
      </c>
      <c r="V298" s="22">
        <f t="shared" si="59"/>
        <v>-690.25</v>
      </c>
      <c r="W298" s="22">
        <f t="shared" si="50"/>
        <v>122.6713</v>
      </c>
      <c r="X298" s="22">
        <f t="shared" si="51"/>
        <v>-691.75</v>
      </c>
      <c r="Y298" s="22">
        <f t="shared" si="52"/>
        <v>122.6713</v>
      </c>
      <c r="Z298" s="22"/>
      <c r="AA298" s="22">
        <f t="array" ref="AA298">IF(ROW(AA298)&lt;=COUNTA(V:V)*2,IF(MOD(ROW(AA298),2)=1,INDEX(V:V,(ROW(AA298)+1)/2),INDEX(X:X,ROW(AA298)/2)),"")</f>
        <v>-310.95</v>
      </c>
      <c r="AB298" s="22">
        <f t="array" ref="AB298">IF(ROW(AB298)&lt;=COUNTA(W:W)*2,IF(MOD(ROW(AB298),2)=1,INDEX(W:W,(ROW(AB298)+1)/2),INDEX(Y:Y,ROW(AB298)/2)),"")</f>
        <v>124.789025</v>
      </c>
    </row>
    <row r="299" spans="1:28" s="2" customFormat="1" x14ac:dyDescent="0.25">
      <c r="A299" s="19"/>
      <c r="B299" s="20"/>
      <c r="C299" s="21"/>
      <c r="D299" s="22"/>
      <c r="F299" s="34">
        <f t="shared" si="53"/>
        <v>-691.75</v>
      </c>
      <c r="G299" s="34">
        <f t="shared" si="54"/>
        <v>112.4</v>
      </c>
      <c r="H299" s="34">
        <f t="shared" si="48"/>
        <v>-693.25</v>
      </c>
      <c r="I299" s="34">
        <f t="shared" si="55"/>
        <v>112.4</v>
      </c>
      <c r="J299" s="20"/>
      <c r="K299" s="34">
        <f t="array" ref="K299">IF(ROW(K299)&lt;=COUNTA(F:F)*2,IF(MOD(ROW(K299),2)=1,INDEX(F:F,(ROW(K299)+1)/2),INDEX(H:H,ROW(K299)/2)),"")</f>
        <v>-310.95</v>
      </c>
      <c r="L299" s="34">
        <f t="array" ref="L299">IF(ROW(L299)&lt;=COUNTA(G:G)*2,IF(MOD(ROW(L299),2)=1,INDEX(G:G,(ROW(L299)+1)/2),INDEX(I:I,ROW(L299)/2)),"")</f>
        <v>112.5</v>
      </c>
      <c r="N299" s="21">
        <f t="shared" si="56"/>
        <v>-691.75</v>
      </c>
      <c r="O299" s="21">
        <f t="shared" si="57"/>
        <v>115.6</v>
      </c>
      <c r="P299" s="21">
        <f t="shared" si="49"/>
        <v>-693.25</v>
      </c>
      <c r="Q299" s="21">
        <f t="shared" si="58"/>
        <v>115.6</v>
      </c>
      <c r="R299" s="21"/>
      <c r="S299" s="21">
        <f t="array" ref="S299">IF(ROW(S299)&lt;=COUNTA(N:N)*2,IF(MOD(ROW(S299),2)=1,INDEX(N:N,(ROW(S299)+1)/2),INDEX(P:P,ROW(S299)/2)),"")</f>
        <v>-310.95</v>
      </c>
      <c r="T299" s="21">
        <f t="array" ref="T299">IF(ROW(T299)&lt;=COUNTA(O:O)*2,IF(MOD(ROW(T299),2)=1,INDEX(O:O,(ROW(T299)+1)/2),INDEX(Q:Q,ROW(T299)/2)),"")</f>
        <v>115.8</v>
      </c>
      <c r="V299" s="22">
        <f t="shared" si="59"/>
        <v>-691.75</v>
      </c>
      <c r="W299" s="22">
        <f t="shared" si="50"/>
        <v>122.668</v>
      </c>
      <c r="X299" s="22">
        <f t="shared" si="51"/>
        <v>-693.25</v>
      </c>
      <c r="Y299" s="22">
        <f t="shared" si="52"/>
        <v>122.668</v>
      </c>
      <c r="Z299" s="22"/>
      <c r="AA299" s="22">
        <f t="array" ref="AA299">IF(ROW(AA299)&lt;=COUNTA(V:V)*2,IF(MOD(ROW(AA299),2)=1,INDEX(V:V,(ROW(AA299)+1)/2),INDEX(X:X,ROW(AA299)/2)),"")</f>
        <v>-310.95</v>
      </c>
      <c r="AB299" s="22">
        <f t="array" ref="AB299">IF(ROW(AB299)&lt;=COUNTA(W:W)*2,IF(MOD(ROW(AB299),2)=1,INDEX(W:W,(ROW(AB299)+1)/2),INDEX(Y:Y,ROW(AB299)/2)),"")</f>
        <v>125.273075</v>
      </c>
    </row>
    <row r="300" spans="1:28" s="2" customFormat="1" x14ac:dyDescent="0.25">
      <c r="A300" s="19"/>
      <c r="B300" s="20"/>
      <c r="C300" s="21"/>
      <c r="D300" s="22"/>
      <c r="F300" s="34">
        <f t="shared" si="53"/>
        <v>-693.25</v>
      </c>
      <c r="G300" s="34">
        <f t="shared" si="54"/>
        <v>112.4</v>
      </c>
      <c r="H300" s="34">
        <f t="shared" si="48"/>
        <v>-694.75</v>
      </c>
      <c r="I300" s="34">
        <f t="shared" si="55"/>
        <v>112.4</v>
      </c>
      <c r="J300" s="20"/>
      <c r="K300" s="34">
        <f t="array" ref="K300">IF(ROW(K300)&lt;=COUNTA(F:F)*2,IF(MOD(ROW(K300),2)=1,INDEX(F:F,(ROW(K300)+1)/2),INDEX(H:H,ROW(K300)/2)),"")</f>
        <v>-313.05</v>
      </c>
      <c r="L300" s="34">
        <f t="array" ref="L300">IF(ROW(L300)&lt;=COUNTA(G:G)*2,IF(MOD(ROW(L300),2)=1,INDEX(G:G,(ROW(L300)+1)/2),INDEX(I:I,ROW(L300)/2)),"")</f>
        <v>112.5</v>
      </c>
      <c r="N300" s="21">
        <f t="shared" si="56"/>
        <v>-693.25</v>
      </c>
      <c r="O300" s="21">
        <f t="shared" si="57"/>
        <v>118.2</v>
      </c>
      <c r="P300" s="21">
        <f t="shared" si="49"/>
        <v>-694.75</v>
      </c>
      <c r="Q300" s="21">
        <f t="shared" si="58"/>
        <v>118.2</v>
      </c>
      <c r="R300" s="21"/>
      <c r="S300" s="21">
        <f t="array" ref="S300">IF(ROW(S300)&lt;=COUNTA(N:N)*2,IF(MOD(ROW(S300),2)=1,INDEX(N:N,(ROW(S300)+1)/2),INDEX(P:P,ROW(S300)/2)),"")</f>
        <v>-313.05</v>
      </c>
      <c r="T300" s="21">
        <f t="array" ref="T300">IF(ROW(T300)&lt;=COUNTA(O:O)*2,IF(MOD(ROW(T300),2)=1,INDEX(O:O,(ROW(T300)+1)/2),INDEX(Q:Q,ROW(T300)/2)),"")</f>
        <v>115.8</v>
      </c>
      <c r="V300" s="22">
        <f t="shared" si="59"/>
        <v>-693.25</v>
      </c>
      <c r="W300" s="22">
        <f t="shared" si="50"/>
        <v>122.66605</v>
      </c>
      <c r="X300" s="22">
        <f t="shared" si="51"/>
        <v>-694.75</v>
      </c>
      <c r="Y300" s="22">
        <f t="shared" si="52"/>
        <v>122.66605</v>
      </c>
      <c r="Z300" s="22"/>
      <c r="AA300" s="22">
        <f t="array" ref="AA300">IF(ROW(AA300)&lt;=COUNTA(V:V)*2,IF(MOD(ROW(AA300),2)=1,INDEX(V:V,(ROW(AA300)+1)/2),INDEX(X:X,ROW(AA300)/2)),"")</f>
        <v>-313.05</v>
      </c>
      <c r="AB300" s="22">
        <f t="array" ref="AB300">IF(ROW(AB300)&lt;=COUNTA(W:W)*2,IF(MOD(ROW(AB300),2)=1,INDEX(W:W,(ROW(AB300)+1)/2),INDEX(Y:Y,ROW(AB300)/2)),"")</f>
        <v>125.273075</v>
      </c>
    </row>
    <row r="301" spans="1:28" s="2" customFormat="1" x14ac:dyDescent="0.25">
      <c r="A301" s="19"/>
      <c r="B301" s="20"/>
      <c r="C301" s="21"/>
      <c r="D301" s="22"/>
      <c r="F301" s="34">
        <f t="shared" si="53"/>
        <v>-694.75</v>
      </c>
      <c r="G301" s="34">
        <f t="shared" si="54"/>
        <v>112.4</v>
      </c>
      <c r="H301" s="34">
        <f t="shared" si="48"/>
        <v>-696.25</v>
      </c>
      <c r="I301" s="34">
        <f t="shared" si="55"/>
        <v>112.4</v>
      </c>
      <c r="J301" s="20"/>
      <c r="K301" s="34">
        <f t="array" ref="K301">IF(ROW(K301)&lt;=COUNTA(F:F)*2,IF(MOD(ROW(K301),2)=1,INDEX(F:F,(ROW(K301)+1)/2),INDEX(H:H,ROW(K301)/2)),"")</f>
        <v>-313.05</v>
      </c>
      <c r="L301" s="34">
        <f t="array" ref="L301">IF(ROW(L301)&lt;=COUNTA(G:G)*2,IF(MOD(ROW(L301),2)=1,INDEX(G:G,(ROW(L301)+1)/2),INDEX(I:I,ROW(L301)/2)),"")</f>
        <v>112.5</v>
      </c>
      <c r="N301" s="21">
        <f t="shared" si="56"/>
        <v>-694.75</v>
      </c>
      <c r="O301" s="21">
        <f t="shared" si="57"/>
        <v>112.5</v>
      </c>
      <c r="P301" s="21">
        <f t="shared" si="49"/>
        <v>-696.25</v>
      </c>
      <c r="Q301" s="21">
        <f t="shared" si="58"/>
        <v>112.5</v>
      </c>
      <c r="R301" s="21"/>
      <c r="S301" s="21">
        <f t="array" ref="S301">IF(ROW(S301)&lt;=COUNTA(N:N)*2,IF(MOD(ROW(S301),2)=1,INDEX(N:N,(ROW(S301)+1)/2),INDEX(P:P,ROW(S301)/2)),"")</f>
        <v>-313.05</v>
      </c>
      <c r="T301" s="21">
        <f t="array" ref="T301">IF(ROW(T301)&lt;=COUNTA(O:O)*2,IF(MOD(ROW(T301),2)=1,INDEX(O:O,(ROW(T301)+1)/2),INDEX(Q:Q,ROW(T301)/2)),"")</f>
        <v>117.2</v>
      </c>
      <c r="V301" s="22">
        <f t="shared" si="59"/>
        <v>-694.75</v>
      </c>
      <c r="W301" s="22">
        <f t="shared" si="50"/>
        <v>122.5</v>
      </c>
      <c r="X301" s="22">
        <f t="shared" si="51"/>
        <v>-696.25</v>
      </c>
      <c r="Y301" s="22">
        <f t="shared" si="52"/>
        <v>122.5</v>
      </c>
      <c r="Z301" s="22"/>
      <c r="AA301" s="22">
        <f t="array" ref="AA301">IF(ROW(AA301)&lt;=COUNTA(V:V)*2,IF(MOD(ROW(AA301),2)=1,INDEX(V:V,(ROW(AA301)+1)/2),INDEX(X:X,ROW(AA301)/2)),"")</f>
        <v>-313.05</v>
      </c>
      <c r="AB301" s="22">
        <f t="array" ref="AB301">IF(ROW(AB301)&lt;=COUNTA(W:W)*2,IF(MOD(ROW(AB301),2)=1,INDEX(W:W,(ROW(AB301)+1)/2),INDEX(Y:Y,ROW(AB301)/2)),"")</f>
        <v>125.09255</v>
      </c>
    </row>
    <row r="302" spans="1:28" s="2" customFormat="1" x14ac:dyDescent="0.25">
      <c r="A302" s="19"/>
      <c r="B302" s="20"/>
      <c r="C302" s="21"/>
      <c r="D302" s="22"/>
      <c r="F302" s="34">
        <f t="shared" si="53"/>
        <v>-696.25</v>
      </c>
      <c r="G302" s="34">
        <f t="shared" si="54"/>
        <v>102.5</v>
      </c>
      <c r="H302" s="34">
        <f t="shared" si="48"/>
        <v>0</v>
      </c>
      <c r="I302" s="34">
        <f t="shared" si="55"/>
        <v>102.5</v>
      </c>
      <c r="J302" s="20"/>
      <c r="K302" s="34">
        <f t="array" ref="K302">IF(ROW(K302)&lt;=COUNTA(F:F)*2,IF(MOD(ROW(K302),2)=1,INDEX(F:F,(ROW(K302)+1)/2),INDEX(H:H,ROW(K302)/2)),"")</f>
        <v>-315.45</v>
      </c>
      <c r="L302" s="34">
        <f t="array" ref="L302">IF(ROW(L302)&lt;=COUNTA(G:G)*2,IF(MOD(ROW(L302),2)=1,INDEX(G:G,(ROW(L302)+1)/2),INDEX(I:I,ROW(L302)/2)),"")</f>
        <v>112.5</v>
      </c>
      <c r="N302" s="21">
        <f t="shared" si="56"/>
        <v>-696.25</v>
      </c>
      <c r="O302" s="21">
        <f t="shared" si="57"/>
        <v>112.5</v>
      </c>
      <c r="P302" s="21">
        <f t="shared" si="49"/>
        <v>0</v>
      </c>
      <c r="Q302" s="21">
        <f t="shared" si="58"/>
        <v>112.5</v>
      </c>
      <c r="R302" s="21"/>
      <c r="S302" s="21">
        <f t="array" ref="S302">IF(ROW(S302)&lt;=COUNTA(N:N)*2,IF(MOD(ROW(S302),2)=1,INDEX(N:N,(ROW(S302)+1)/2),INDEX(P:P,ROW(S302)/2)),"")</f>
        <v>-315.45</v>
      </c>
      <c r="T302" s="21">
        <f t="array" ref="T302">IF(ROW(T302)&lt;=COUNTA(O:O)*2,IF(MOD(ROW(T302),2)=1,INDEX(O:O,(ROW(T302)+1)/2),INDEX(Q:Q,ROW(T302)/2)),"")</f>
        <v>117.2</v>
      </c>
      <c r="V302" s="22">
        <f t="shared" si="59"/>
        <v>-696.25</v>
      </c>
      <c r="W302" s="22">
        <f t="shared" si="50"/>
        <v>122.5</v>
      </c>
      <c r="X302" s="22">
        <f t="shared" si="51"/>
        <v>0</v>
      </c>
      <c r="Y302" s="22">
        <f t="shared" si="52"/>
        <v>122.5</v>
      </c>
      <c r="Z302" s="22"/>
      <c r="AA302" s="22">
        <f t="array" ref="AA302">IF(ROW(AA302)&lt;=COUNTA(V:V)*2,IF(MOD(ROW(AA302),2)=1,INDEX(V:V,(ROW(AA302)+1)/2),INDEX(X:X,ROW(AA302)/2)),"")</f>
        <v>-315.45</v>
      </c>
      <c r="AB302" s="22">
        <f t="array" ref="AB302">IF(ROW(AB302)&lt;=COUNTA(W:W)*2,IF(MOD(ROW(AB302),2)=1,INDEX(W:W,(ROW(AB302)+1)/2),INDEX(Y:Y,ROW(AB302)/2)),"")</f>
        <v>125.09255</v>
      </c>
    </row>
    <row r="303" spans="1:28" s="2" customFormat="1" x14ac:dyDescent="0.25">
      <c r="A303" s="19"/>
      <c r="B303" s="20"/>
      <c r="C303" s="21"/>
      <c r="D303" s="22"/>
      <c r="F303" s="34">
        <f t="shared" si="53"/>
        <v>0</v>
      </c>
      <c r="G303" s="34">
        <f t="shared" si="54"/>
        <v>102.5</v>
      </c>
      <c r="H303" s="34">
        <f t="shared" si="48"/>
        <v>0</v>
      </c>
      <c r="I303" s="34">
        <f t="shared" si="55"/>
        <v>102.5</v>
      </c>
      <c r="J303" s="20"/>
      <c r="K303" s="34">
        <f t="array" ref="K303">IF(ROW(K303)&lt;=COUNTA(F:F)*2,IF(MOD(ROW(K303),2)=1,INDEX(F:F,(ROW(K303)+1)/2),INDEX(H:H,ROW(K303)/2)),"")</f>
        <v>-315.45</v>
      </c>
      <c r="L303" s="34">
        <f t="array" ref="L303">IF(ROW(L303)&lt;=COUNTA(G:G)*2,IF(MOD(ROW(L303),2)=1,INDEX(G:G,(ROW(L303)+1)/2),INDEX(I:I,ROW(L303)/2)),"")</f>
        <v>111.5</v>
      </c>
      <c r="N303" s="21">
        <f t="shared" si="56"/>
        <v>0</v>
      </c>
      <c r="O303" s="21">
        <f t="shared" si="57"/>
        <v>112.5</v>
      </c>
      <c r="P303" s="21">
        <f t="shared" si="49"/>
        <v>0</v>
      </c>
      <c r="Q303" s="21">
        <f t="shared" si="58"/>
        <v>112.5</v>
      </c>
      <c r="R303" s="21"/>
      <c r="S303" s="21">
        <f t="array" ref="S303">IF(ROW(S303)&lt;=COUNTA(N:N)*2,IF(MOD(ROW(S303),2)=1,INDEX(N:N,(ROW(S303)+1)/2),INDEX(P:P,ROW(S303)/2)),"")</f>
        <v>-315.45</v>
      </c>
      <c r="T303" s="21">
        <f t="array" ref="T303">IF(ROW(T303)&lt;=COUNTA(O:O)*2,IF(MOD(ROW(T303),2)=1,INDEX(O:O,(ROW(T303)+1)/2),INDEX(Q:Q,ROW(T303)/2)),"")</f>
        <v>115</v>
      </c>
      <c r="V303" s="22">
        <f t="shared" si="59"/>
        <v>0</v>
      </c>
      <c r="W303" s="22">
        <f t="shared" si="50"/>
        <v>122.5</v>
      </c>
      <c r="X303" s="22">
        <f t="shared" si="51"/>
        <v>0</v>
      </c>
      <c r="Y303" s="22">
        <f t="shared" si="52"/>
        <v>122.5</v>
      </c>
      <c r="Z303" s="22"/>
      <c r="AA303" s="22">
        <f t="array" ref="AA303">IF(ROW(AA303)&lt;=COUNTA(V:V)*2,IF(MOD(ROW(AA303),2)=1,INDEX(V:V,(ROW(AA303)+1)/2),INDEX(X:X,ROW(AA303)/2)),"")</f>
        <v>-315.45</v>
      </c>
      <c r="AB303" s="22">
        <f t="array" ref="AB303">IF(ROW(AB303)&lt;=COUNTA(W:W)*2,IF(MOD(ROW(AB303),2)=1,INDEX(W:W,(ROW(AB303)+1)/2),INDEX(Y:Y,ROW(AB303)/2)),"")</f>
        <v>124.82745</v>
      </c>
    </row>
    <row r="304" spans="1:28" s="2" customFormat="1" x14ac:dyDescent="0.25">
      <c r="A304" s="19"/>
      <c r="B304" s="20"/>
      <c r="C304" s="21"/>
      <c r="D304" s="22"/>
      <c r="F304" s="34">
        <f t="shared" si="53"/>
        <v>0</v>
      </c>
      <c r="G304" s="34">
        <f t="shared" si="54"/>
        <v>102.5</v>
      </c>
      <c r="H304" s="34">
        <f t="shared" si="48"/>
        <v>0</v>
      </c>
      <c r="I304" s="34">
        <f t="shared" si="55"/>
        <v>102.5</v>
      </c>
      <c r="J304" s="20"/>
      <c r="K304" s="34">
        <f t="array" ref="K304">IF(ROW(K304)&lt;=COUNTA(F:F)*2,IF(MOD(ROW(K304),2)=1,INDEX(F:F,(ROW(K304)+1)/2),INDEX(H:H,ROW(K304)/2)),"")</f>
        <v>-318.45</v>
      </c>
      <c r="L304" s="34">
        <f t="array" ref="L304">IF(ROW(L304)&lt;=COUNTA(G:G)*2,IF(MOD(ROW(L304),2)=1,INDEX(G:G,(ROW(L304)+1)/2),INDEX(I:I,ROW(L304)/2)),"")</f>
        <v>111.5</v>
      </c>
      <c r="N304" s="21">
        <f t="shared" si="56"/>
        <v>0</v>
      </c>
      <c r="O304" s="21">
        <f t="shared" si="57"/>
        <v>112.5</v>
      </c>
      <c r="P304" s="21">
        <f t="shared" si="49"/>
        <v>0</v>
      </c>
      <c r="Q304" s="21">
        <f t="shared" si="58"/>
        <v>112.5</v>
      </c>
      <c r="R304" s="21"/>
      <c r="S304" s="21">
        <f t="array" ref="S304">IF(ROW(S304)&lt;=COUNTA(N:N)*2,IF(MOD(ROW(S304),2)=1,INDEX(N:N,(ROW(S304)+1)/2),INDEX(P:P,ROW(S304)/2)),"")</f>
        <v>-318.45</v>
      </c>
      <c r="T304" s="21">
        <f t="array" ref="T304">IF(ROW(T304)&lt;=COUNTA(O:O)*2,IF(MOD(ROW(T304),2)=1,INDEX(O:O,(ROW(T304)+1)/2),INDEX(Q:Q,ROW(T304)/2)),"")</f>
        <v>115</v>
      </c>
      <c r="V304" s="22">
        <f t="shared" si="59"/>
        <v>0</v>
      </c>
      <c r="W304" s="22">
        <f t="shared" si="50"/>
        <v>122.5</v>
      </c>
      <c r="X304" s="22">
        <f t="shared" si="51"/>
        <v>0</v>
      </c>
      <c r="Y304" s="22">
        <f t="shared" si="52"/>
        <v>122.5</v>
      </c>
      <c r="Z304" s="22"/>
      <c r="AA304" s="22">
        <f t="array" ref="AA304">IF(ROW(AA304)&lt;=COUNTA(V:V)*2,IF(MOD(ROW(AA304),2)=1,INDEX(V:V,(ROW(AA304)+1)/2),INDEX(X:X,ROW(AA304)/2)),"")</f>
        <v>-318.45</v>
      </c>
      <c r="AB304" s="22">
        <f t="array" ref="AB304">IF(ROW(AB304)&lt;=COUNTA(W:W)*2,IF(MOD(ROW(AB304),2)=1,INDEX(W:W,(ROW(AB304)+1)/2),INDEX(Y:Y,ROW(AB304)/2)),"")</f>
        <v>124.82745</v>
      </c>
    </row>
    <row r="305" spans="1:28" s="2" customFormat="1" x14ac:dyDescent="0.25">
      <c r="A305" s="19"/>
      <c r="B305" s="20"/>
      <c r="C305" s="21"/>
      <c r="D305" s="22"/>
      <c r="F305" s="34">
        <f t="shared" si="53"/>
        <v>0</v>
      </c>
      <c r="G305" s="34">
        <f t="shared" si="54"/>
        <v>102.5</v>
      </c>
      <c r="H305" s="34">
        <f t="shared" si="48"/>
        <v>0</v>
      </c>
      <c r="I305" s="34">
        <f t="shared" si="55"/>
        <v>102.5</v>
      </c>
      <c r="J305" s="20"/>
      <c r="K305" s="34">
        <f t="array" ref="K305">IF(ROW(K305)&lt;=COUNTA(F:F)*2,IF(MOD(ROW(K305),2)=1,INDEX(F:F,(ROW(K305)+1)/2),INDEX(H:H,ROW(K305)/2)),"")</f>
        <v>-318.45</v>
      </c>
      <c r="L305" s="34">
        <f t="array" ref="L305">IF(ROW(L305)&lt;=COUNTA(G:G)*2,IF(MOD(ROW(L305),2)=1,INDEX(G:G,(ROW(L305)+1)/2),INDEX(I:I,ROW(L305)/2)),"")</f>
        <v>112</v>
      </c>
      <c r="N305" s="21">
        <f t="shared" si="56"/>
        <v>0</v>
      </c>
      <c r="O305" s="21">
        <f t="shared" si="57"/>
        <v>112.5</v>
      </c>
      <c r="P305" s="21">
        <f t="shared" si="49"/>
        <v>0</v>
      </c>
      <c r="Q305" s="21">
        <f t="shared" si="58"/>
        <v>112.5</v>
      </c>
      <c r="R305" s="21"/>
      <c r="S305" s="21">
        <f t="array" ref="S305">IF(ROW(S305)&lt;=COUNTA(N:N)*2,IF(MOD(ROW(S305),2)=1,INDEX(N:N,(ROW(S305)+1)/2),INDEX(P:P,ROW(S305)/2)),"")</f>
        <v>-318.45</v>
      </c>
      <c r="T305" s="21">
        <f t="array" ref="T305">IF(ROW(T305)&lt;=COUNTA(O:O)*2,IF(MOD(ROW(T305),2)=1,INDEX(O:O,(ROW(T305)+1)/2),INDEX(Q:Q,ROW(T305)/2)),"")</f>
        <v>118.1</v>
      </c>
      <c r="V305" s="22">
        <f t="shared" si="59"/>
        <v>0</v>
      </c>
      <c r="W305" s="22">
        <f t="shared" si="50"/>
        <v>122.5</v>
      </c>
      <c r="X305" s="22">
        <f t="shared" si="51"/>
        <v>0</v>
      </c>
      <c r="Y305" s="22">
        <f t="shared" si="52"/>
        <v>122.5</v>
      </c>
      <c r="Z305" s="22"/>
      <c r="AA305" s="22">
        <f t="array" ref="AA305">IF(ROW(AA305)&lt;=COUNTA(V:V)*2,IF(MOD(ROW(AA305),2)=1,INDEX(V:V,(ROW(AA305)+1)/2),INDEX(X:X,ROW(AA305)/2)),"")</f>
        <v>-318.45</v>
      </c>
      <c r="AB305" s="22">
        <f t="array" ref="AB305">IF(ROW(AB305)&lt;=COUNTA(W:W)*2,IF(MOD(ROW(AB305),2)=1,INDEX(W:W,(ROW(AB305)+1)/2),INDEX(Y:Y,ROW(AB305)/2)),"")</f>
        <v>124.8898</v>
      </c>
    </row>
    <row r="306" spans="1:28" s="2" customFormat="1" x14ac:dyDescent="0.25">
      <c r="A306" s="19"/>
      <c r="B306" s="20"/>
      <c r="C306" s="21"/>
      <c r="D306" s="22"/>
      <c r="F306" s="34">
        <f t="shared" si="53"/>
        <v>0</v>
      </c>
      <c r="G306" s="34">
        <f t="shared" si="54"/>
        <v>102.5</v>
      </c>
      <c r="H306" s="34">
        <f t="shared" si="48"/>
        <v>0</v>
      </c>
      <c r="I306" s="34">
        <f t="shared" si="55"/>
        <v>102.5</v>
      </c>
      <c r="J306" s="20"/>
      <c r="K306" s="34">
        <f t="array" ref="K306">IF(ROW(K306)&lt;=COUNTA(F:F)*2,IF(MOD(ROW(K306),2)=1,INDEX(F:F,(ROW(K306)+1)/2),INDEX(H:H,ROW(K306)/2)),"")</f>
        <v>-321.45</v>
      </c>
      <c r="L306" s="34">
        <f t="array" ref="L306">IF(ROW(L306)&lt;=COUNTA(G:G)*2,IF(MOD(ROW(L306),2)=1,INDEX(G:G,(ROW(L306)+1)/2),INDEX(I:I,ROW(L306)/2)),"")</f>
        <v>112</v>
      </c>
      <c r="N306" s="21">
        <f t="shared" si="56"/>
        <v>0</v>
      </c>
      <c r="O306" s="21">
        <f t="shared" si="57"/>
        <v>112.5</v>
      </c>
      <c r="P306" s="21">
        <f t="shared" si="49"/>
        <v>0</v>
      </c>
      <c r="Q306" s="21">
        <f t="shared" si="58"/>
        <v>112.5</v>
      </c>
      <c r="R306" s="21"/>
      <c r="S306" s="21">
        <f t="array" ref="S306">IF(ROW(S306)&lt;=COUNTA(N:N)*2,IF(MOD(ROW(S306),2)=1,INDEX(N:N,(ROW(S306)+1)/2),INDEX(P:P,ROW(S306)/2)),"")</f>
        <v>-321.45</v>
      </c>
      <c r="T306" s="21">
        <f t="array" ref="T306">IF(ROW(T306)&lt;=COUNTA(O:O)*2,IF(MOD(ROW(T306),2)=1,INDEX(O:O,(ROW(T306)+1)/2),INDEX(Q:Q,ROW(T306)/2)),"")</f>
        <v>118.1</v>
      </c>
      <c r="V306" s="22">
        <f t="shared" si="59"/>
        <v>0</v>
      </c>
      <c r="W306" s="22">
        <f t="shared" si="50"/>
        <v>122.5</v>
      </c>
      <c r="X306" s="22">
        <f t="shared" si="51"/>
        <v>0</v>
      </c>
      <c r="Y306" s="22">
        <f t="shared" si="52"/>
        <v>122.5</v>
      </c>
      <c r="Z306" s="22"/>
      <c r="AA306" s="22">
        <f t="array" ref="AA306">IF(ROW(AA306)&lt;=COUNTA(V:V)*2,IF(MOD(ROW(AA306),2)=1,INDEX(V:V,(ROW(AA306)+1)/2),INDEX(X:X,ROW(AA306)/2)),"")</f>
        <v>-321.45</v>
      </c>
      <c r="AB306" s="22">
        <f t="array" ref="AB306">IF(ROW(AB306)&lt;=COUNTA(W:W)*2,IF(MOD(ROW(AB306),2)=1,INDEX(W:W,(ROW(AB306)+1)/2),INDEX(Y:Y,ROW(AB306)/2)),"")</f>
        <v>124.8898</v>
      </c>
    </row>
    <row r="307" spans="1:28" s="2" customFormat="1" x14ac:dyDescent="0.25">
      <c r="A307" s="19"/>
      <c r="B307" s="20"/>
      <c r="C307" s="21"/>
      <c r="D307" s="22"/>
      <c r="F307" s="34">
        <f t="shared" si="53"/>
        <v>0</v>
      </c>
      <c r="G307" s="34">
        <f t="shared" si="54"/>
        <v>102.5</v>
      </c>
      <c r="H307" s="34">
        <f t="shared" si="48"/>
        <v>0</v>
      </c>
      <c r="I307" s="34">
        <f t="shared" si="55"/>
        <v>102.5</v>
      </c>
      <c r="J307" s="20"/>
      <c r="K307" s="34">
        <f t="array" ref="K307">IF(ROW(K307)&lt;=COUNTA(F:F)*2,IF(MOD(ROW(K307),2)=1,INDEX(F:F,(ROW(K307)+1)/2),INDEX(H:H,ROW(K307)/2)),"")</f>
        <v>-321.45</v>
      </c>
      <c r="L307" s="34">
        <f t="array" ref="L307">IF(ROW(L307)&lt;=COUNTA(G:G)*2,IF(MOD(ROW(L307),2)=1,INDEX(G:G,(ROW(L307)+1)/2),INDEX(I:I,ROW(L307)/2)),"")</f>
        <v>112</v>
      </c>
      <c r="N307" s="21">
        <f t="shared" si="56"/>
        <v>0</v>
      </c>
      <c r="O307" s="21">
        <f t="shared" si="57"/>
        <v>112.5</v>
      </c>
      <c r="P307" s="21">
        <f t="shared" si="49"/>
        <v>0</v>
      </c>
      <c r="Q307" s="21">
        <f t="shared" si="58"/>
        <v>112.5</v>
      </c>
      <c r="R307" s="21"/>
      <c r="S307" s="21">
        <f t="array" ref="S307">IF(ROW(S307)&lt;=COUNTA(N:N)*2,IF(MOD(ROW(S307),2)=1,INDEX(N:N,(ROW(S307)+1)/2),INDEX(P:P,ROW(S307)/2)),"")</f>
        <v>-321.45</v>
      </c>
      <c r="T307" s="21">
        <f t="array" ref="T307">IF(ROW(T307)&lt;=COUNTA(O:O)*2,IF(MOD(ROW(T307),2)=1,INDEX(O:O,(ROW(T307)+1)/2),INDEX(Q:Q,ROW(T307)/2)),"")</f>
        <v>117.4</v>
      </c>
      <c r="V307" s="22">
        <f t="shared" si="59"/>
        <v>0</v>
      </c>
      <c r="W307" s="22">
        <f t="shared" si="50"/>
        <v>122.5</v>
      </c>
      <c r="X307" s="22">
        <f t="shared" si="51"/>
        <v>0</v>
      </c>
      <c r="Y307" s="22">
        <f t="shared" si="52"/>
        <v>122.5</v>
      </c>
      <c r="Z307" s="22"/>
      <c r="AA307" s="22">
        <f t="array" ref="AA307">IF(ROW(AA307)&lt;=COUNTA(V:V)*2,IF(MOD(ROW(AA307),2)=1,INDEX(V:V,(ROW(AA307)+1)/2),INDEX(X:X,ROW(AA307)/2)),"")</f>
        <v>-321.45</v>
      </c>
      <c r="AB307" s="22">
        <f t="array" ref="AB307">IF(ROW(AB307)&lt;=COUNTA(W:W)*2,IF(MOD(ROW(AB307),2)=1,INDEX(W:W,(ROW(AB307)+1)/2),INDEX(Y:Y,ROW(AB307)/2)),"")</f>
        <v>125.09255</v>
      </c>
    </row>
    <row r="308" spans="1:28" s="2" customFormat="1" x14ac:dyDescent="0.25">
      <c r="A308" s="19"/>
      <c r="B308" s="20"/>
      <c r="C308" s="21"/>
      <c r="D308" s="22"/>
      <c r="F308" s="34">
        <f t="shared" si="53"/>
        <v>0</v>
      </c>
      <c r="G308" s="34">
        <f t="shared" si="54"/>
        <v>102.5</v>
      </c>
      <c r="H308" s="34">
        <f t="shared" si="48"/>
        <v>0</v>
      </c>
      <c r="I308" s="34">
        <f t="shared" si="55"/>
        <v>102.5</v>
      </c>
      <c r="J308" s="20"/>
      <c r="K308" s="34">
        <f t="array" ref="K308">IF(ROW(K308)&lt;=COUNTA(F:F)*2,IF(MOD(ROW(K308),2)=1,INDEX(F:F,(ROW(K308)+1)/2),INDEX(H:H,ROW(K308)/2)),"")</f>
        <v>-324.45</v>
      </c>
      <c r="L308" s="34">
        <f t="array" ref="L308">IF(ROW(L308)&lt;=COUNTA(G:G)*2,IF(MOD(ROW(L308),2)=1,INDEX(G:G,(ROW(L308)+1)/2),INDEX(I:I,ROW(L308)/2)),"")</f>
        <v>112</v>
      </c>
      <c r="N308" s="21">
        <f t="shared" si="56"/>
        <v>0</v>
      </c>
      <c r="O308" s="21">
        <f t="shared" si="57"/>
        <v>112.5</v>
      </c>
      <c r="P308" s="21">
        <f t="shared" si="49"/>
        <v>0</v>
      </c>
      <c r="Q308" s="21">
        <f t="shared" si="58"/>
        <v>112.5</v>
      </c>
      <c r="R308" s="21"/>
      <c r="S308" s="21">
        <f t="array" ref="S308">IF(ROW(S308)&lt;=COUNTA(N:N)*2,IF(MOD(ROW(S308),2)=1,INDEX(N:N,(ROW(S308)+1)/2),INDEX(P:P,ROW(S308)/2)),"")</f>
        <v>-324.45</v>
      </c>
      <c r="T308" s="21">
        <f t="array" ref="T308">IF(ROW(T308)&lt;=COUNTA(O:O)*2,IF(MOD(ROW(T308),2)=1,INDEX(O:O,(ROW(T308)+1)/2),INDEX(Q:Q,ROW(T308)/2)),"")</f>
        <v>117.4</v>
      </c>
      <c r="V308" s="22">
        <f t="shared" si="59"/>
        <v>0</v>
      </c>
      <c r="W308" s="22">
        <f t="shared" si="50"/>
        <v>122.5</v>
      </c>
      <c r="X308" s="22">
        <f t="shared" si="51"/>
        <v>0</v>
      </c>
      <c r="Y308" s="22">
        <f t="shared" si="52"/>
        <v>122.5</v>
      </c>
      <c r="Z308" s="22"/>
      <c r="AA308" s="22">
        <f t="array" ref="AA308">IF(ROW(AA308)&lt;=COUNTA(V:V)*2,IF(MOD(ROW(AA308),2)=1,INDEX(V:V,(ROW(AA308)+1)/2),INDEX(X:X,ROW(AA308)/2)),"")</f>
        <v>-324.45</v>
      </c>
      <c r="AB308" s="22">
        <f t="array" ref="AB308">IF(ROW(AB308)&lt;=COUNTA(W:W)*2,IF(MOD(ROW(AB308),2)=1,INDEX(W:W,(ROW(AB308)+1)/2),INDEX(Y:Y,ROW(AB308)/2)),"")</f>
        <v>125.09255</v>
      </c>
    </row>
    <row r="309" spans="1:28" s="2" customFormat="1" x14ac:dyDescent="0.25">
      <c r="A309" s="19"/>
      <c r="B309" s="20"/>
      <c r="C309" s="21"/>
      <c r="D309" s="22"/>
      <c r="F309" s="34">
        <f t="shared" si="53"/>
        <v>0</v>
      </c>
      <c r="G309" s="34">
        <f t="shared" si="54"/>
        <v>102.5</v>
      </c>
      <c r="H309" s="34">
        <f t="shared" si="48"/>
        <v>0</v>
      </c>
      <c r="I309" s="34">
        <f t="shared" si="55"/>
        <v>102.5</v>
      </c>
      <c r="J309" s="20"/>
      <c r="K309" s="34">
        <f t="array" ref="K309">IF(ROW(K309)&lt;=COUNTA(F:F)*2,IF(MOD(ROW(K309),2)=1,INDEX(F:F,(ROW(K309)+1)/2),INDEX(H:H,ROW(K309)/2)),"")</f>
        <v>-324.45</v>
      </c>
      <c r="L309" s="34">
        <f t="array" ref="L309">IF(ROW(L309)&lt;=COUNTA(G:G)*2,IF(MOD(ROW(L309),2)=1,INDEX(G:G,(ROW(L309)+1)/2),INDEX(I:I,ROW(L309)/2)),"")</f>
        <v>112.5</v>
      </c>
      <c r="N309" s="21">
        <f t="shared" si="56"/>
        <v>0</v>
      </c>
      <c r="O309" s="21">
        <f t="shared" si="57"/>
        <v>112.5</v>
      </c>
      <c r="P309" s="21">
        <f t="shared" si="49"/>
        <v>0</v>
      </c>
      <c r="Q309" s="21">
        <f t="shared" si="58"/>
        <v>112.5</v>
      </c>
      <c r="R309" s="21"/>
      <c r="S309" s="21">
        <f t="array" ref="S309">IF(ROW(S309)&lt;=COUNTA(N:N)*2,IF(MOD(ROW(S309),2)=1,INDEX(N:N,(ROW(S309)+1)/2),INDEX(P:P,ROW(S309)/2)),"")</f>
        <v>-324.45</v>
      </c>
      <c r="T309" s="21">
        <f t="array" ref="T309">IF(ROW(T309)&lt;=COUNTA(O:O)*2,IF(MOD(ROW(T309),2)=1,INDEX(O:O,(ROW(T309)+1)/2),INDEX(Q:Q,ROW(T309)/2)),"")</f>
        <v>118.5</v>
      </c>
      <c r="V309" s="22">
        <f t="shared" si="59"/>
        <v>0</v>
      </c>
      <c r="W309" s="22">
        <f t="shared" si="50"/>
        <v>122.5</v>
      </c>
      <c r="X309" s="22">
        <f t="shared" si="51"/>
        <v>0</v>
      </c>
      <c r="Y309" s="22">
        <f t="shared" si="52"/>
        <v>122.5</v>
      </c>
      <c r="Z309" s="22"/>
      <c r="AA309" s="22">
        <f t="array" ref="AA309">IF(ROW(AA309)&lt;=COUNTA(V:V)*2,IF(MOD(ROW(AA309),2)=1,INDEX(V:V,(ROW(AA309)+1)/2),INDEX(X:X,ROW(AA309)/2)),"")</f>
        <v>-324.45</v>
      </c>
      <c r="AB309" s="22">
        <f t="array" ref="AB309">IF(ROW(AB309)&lt;=COUNTA(W:W)*2,IF(MOD(ROW(AB309),2)=1,INDEX(W:W,(ROW(AB309)+1)/2),INDEX(Y:Y,ROW(AB309)/2)),"")</f>
        <v>125.759</v>
      </c>
    </row>
    <row r="310" spans="1:28" s="2" customFormat="1" x14ac:dyDescent="0.25">
      <c r="A310" s="19"/>
      <c r="B310" s="20"/>
      <c r="C310" s="21"/>
      <c r="D310" s="22"/>
      <c r="F310" s="34">
        <f t="shared" si="53"/>
        <v>0</v>
      </c>
      <c r="G310" s="34">
        <f t="shared" si="54"/>
        <v>102.5</v>
      </c>
      <c r="H310" s="34">
        <f t="shared" si="48"/>
        <v>0</v>
      </c>
      <c r="I310" s="34">
        <f t="shared" si="55"/>
        <v>102.5</v>
      </c>
      <c r="J310" s="20"/>
      <c r="K310" s="34">
        <f t="array" ref="K310">IF(ROW(K310)&lt;=COUNTA(F:F)*2,IF(MOD(ROW(K310),2)=1,INDEX(F:F,(ROW(K310)+1)/2),INDEX(H:H,ROW(K310)/2)),"")</f>
        <v>-327.15</v>
      </c>
      <c r="L310" s="34">
        <f t="array" ref="L310">IF(ROW(L310)&lt;=COUNTA(G:G)*2,IF(MOD(ROW(L310),2)=1,INDEX(G:G,(ROW(L310)+1)/2),INDEX(I:I,ROW(L310)/2)),"")</f>
        <v>112.5</v>
      </c>
      <c r="N310" s="21">
        <f t="shared" si="56"/>
        <v>0</v>
      </c>
      <c r="O310" s="21">
        <f t="shared" si="57"/>
        <v>112.5</v>
      </c>
      <c r="P310" s="21">
        <f t="shared" si="49"/>
        <v>0</v>
      </c>
      <c r="Q310" s="21">
        <f t="shared" si="58"/>
        <v>112.5</v>
      </c>
      <c r="R310" s="21"/>
      <c r="S310" s="21">
        <f t="array" ref="S310">IF(ROW(S310)&lt;=COUNTA(N:N)*2,IF(MOD(ROW(S310),2)=1,INDEX(N:N,(ROW(S310)+1)/2),INDEX(P:P,ROW(S310)/2)),"")</f>
        <v>-327.15</v>
      </c>
      <c r="T310" s="21">
        <f t="array" ref="T310">IF(ROW(T310)&lt;=COUNTA(O:O)*2,IF(MOD(ROW(T310),2)=1,INDEX(O:O,(ROW(T310)+1)/2),INDEX(Q:Q,ROW(T310)/2)),"")</f>
        <v>118.5</v>
      </c>
      <c r="V310" s="22">
        <f t="shared" si="59"/>
        <v>0</v>
      </c>
      <c r="W310" s="22">
        <f t="shared" si="50"/>
        <v>122.5</v>
      </c>
      <c r="X310" s="22">
        <f t="shared" si="51"/>
        <v>0</v>
      </c>
      <c r="Y310" s="22">
        <f t="shared" si="52"/>
        <v>122.5</v>
      </c>
      <c r="Z310" s="22"/>
      <c r="AA310" s="22">
        <f t="array" ref="AA310">IF(ROW(AA310)&lt;=COUNTA(V:V)*2,IF(MOD(ROW(AA310),2)=1,INDEX(V:V,(ROW(AA310)+1)/2),INDEX(X:X,ROW(AA310)/2)),"")</f>
        <v>-327.15</v>
      </c>
      <c r="AB310" s="22">
        <f t="array" ref="AB310">IF(ROW(AB310)&lt;=COUNTA(W:W)*2,IF(MOD(ROW(AB310),2)=1,INDEX(W:W,(ROW(AB310)+1)/2),INDEX(Y:Y,ROW(AB310)/2)),"")</f>
        <v>125.759</v>
      </c>
    </row>
    <row r="311" spans="1:28" s="2" customFormat="1" x14ac:dyDescent="0.25">
      <c r="A311" s="19"/>
      <c r="B311" s="20"/>
      <c r="C311" s="21"/>
      <c r="D311" s="22"/>
      <c r="F311" s="34">
        <f t="shared" si="53"/>
        <v>0</v>
      </c>
      <c r="G311" s="34">
        <f t="shared" si="54"/>
        <v>102.5</v>
      </c>
      <c r="H311" s="34">
        <f t="shared" si="48"/>
        <v>0</v>
      </c>
      <c r="I311" s="34">
        <f t="shared" si="55"/>
        <v>102.5</v>
      </c>
      <c r="J311" s="20"/>
      <c r="K311" s="34">
        <f t="array" ref="K311">IF(ROW(K311)&lt;=COUNTA(F:F)*2,IF(MOD(ROW(K311),2)=1,INDEX(F:F,(ROW(K311)+1)/2),INDEX(H:H,ROW(K311)/2)),"")</f>
        <v>-327.15</v>
      </c>
      <c r="L311" s="34">
        <f t="array" ref="L311">IF(ROW(L311)&lt;=COUNTA(G:G)*2,IF(MOD(ROW(L311),2)=1,INDEX(G:G,(ROW(L311)+1)/2),INDEX(I:I,ROW(L311)/2)),"")</f>
        <v>112.2</v>
      </c>
      <c r="N311" s="21">
        <f t="shared" si="56"/>
        <v>0</v>
      </c>
      <c r="O311" s="21">
        <f t="shared" si="57"/>
        <v>112.5</v>
      </c>
      <c r="P311" s="21">
        <f t="shared" si="49"/>
        <v>0</v>
      </c>
      <c r="Q311" s="21">
        <f t="shared" si="58"/>
        <v>112.5</v>
      </c>
      <c r="R311" s="21"/>
      <c r="S311" s="21">
        <f t="array" ref="S311">IF(ROW(S311)&lt;=COUNTA(N:N)*2,IF(MOD(ROW(S311),2)=1,INDEX(N:N,(ROW(S311)+1)/2),INDEX(P:P,ROW(S311)/2)),"")</f>
        <v>-327.15</v>
      </c>
      <c r="T311" s="21">
        <f t="array" ref="T311">IF(ROW(T311)&lt;=COUNTA(O:O)*2,IF(MOD(ROW(T311),2)=1,INDEX(O:O,(ROW(T311)+1)/2),INDEX(Q:Q,ROW(T311)/2)),"")</f>
        <v>119.5</v>
      </c>
      <c r="V311" s="22">
        <f t="shared" si="59"/>
        <v>0</v>
      </c>
      <c r="W311" s="22">
        <f t="shared" si="50"/>
        <v>122.5</v>
      </c>
      <c r="X311" s="22">
        <f t="shared" si="51"/>
        <v>0</v>
      </c>
      <c r="Y311" s="22">
        <f t="shared" si="52"/>
        <v>122.5</v>
      </c>
      <c r="Z311" s="22"/>
      <c r="AA311" s="22">
        <f t="array" ref="AA311">IF(ROW(AA311)&lt;=COUNTA(V:V)*2,IF(MOD(ROW(AA311),2)=1,INDEX(V:V,(ROW(AA311)+1)/2),INDEX(X:X,ROW(AA311)/2)),"")</f>
        <v>-327.15</v>
      </c>
      <c r="AB311" s="22">
        <f t="array" ref="AB311">IF(ROW(AB311)&lt;=COUNTA(W:W)*2,IF(MOD(ROW(AB311),2)=1,INDEX(W:W,(ROW(AB311)+1)/2),INDEX(Y:Y,ROW(AB311)/2)),"")</f>
        <v>125.319575</v>
      </c>
    </row>
    <row r="312" spans="1:28" s="2" customFormat="1" x14ac:dyDescent="0.25">
      <c r="A312" s="19"/>
      <c r="B312" s="20"/>
      <c r="C312" s="21"/>
      <c r="D312" s="22"/>
      <c r="F312" s="34">
        <f t="shared" si="53"/>
        <v>0</v>
      </c>
      <c r="G312" s="34">
        <f t="shared" si="54"/>
        <v>102.5</v>
      </c>
      <c r="H312" s="34">
        <f t="shared" si="48"/>
        <v>0</v>
      </c>
      <c r="I312" s="34">
        <f t="shared" si="55"/>
        <v>102.5</v>
      </c>
      <c r="J312" s="20"/>
      <c r="K312" s="34">
        <f t="array" ref="K312">IF(ROW(K312)&lt;=COUNTA(F:F)*2,IF(MOD(ROW(K312),2)=1,INDEX(F:F,(ROW(K312)+1)/2),INDEX(H:H,ROW(K312)/2)),"")</f>
        <v>-330.15</v>
      </c>
      <c r="L312" s="34">
        <f t="array" ref="L312">IF(ROW(L312)&lt;=COUNTA(G:G)*2,IF(MOD(ROW(L312),2)=1,INDEX(G:G,(ROW(L312)+1)/2),INDEX(I:I,ROW(L312)/2)),"")</f>
        <v>112.2</v>
      </c>
      <c r="N312" s="21">
        <f t="shared" si="56"/>
        <v>0</v>
      </c>
      <c r="O312" s="21">
        <f t="shared" si="57"/>
        <v>112.5</v>
      </c>
      <c r="P312" s="21">
        <f t="shared" si="49"/>
        <v>0</v>
      </c>
      <c r="Q312" s="21">
        <f t="shared" si="58"/>
        <v>112.5</v>
      </c>
      <c r="R312" s="21"/>
      <c r="S312" s="21">
        <f t="array" ref="S312">IF(ROW(S312)&lt;=COUNTA(N:N)*2,IF(MOD(ROW(S312),2)=1,INDEX(N:N,(ROW(S312)+1)/2),INDEX(P:P,ROW(S312)/2)),"")</f>
        <v>-330.15</v>
      </c>
      <c r="T312" s="21">
        <f t="array" ref="T312">IF(ROW(T312)&lt;=COUNTA(O:O)*2,IF(MOD(ROW(T312),2)=1,INDEX(O:O,(ROW(T312)+1)/2),INDEX(Q:Q,ROW(T312)/2)),"")</f>
        <v>119.5</v>
      </c>
      <c r="V312" s="22">
        <f t="shared" si="59"/>
        <v>0</v>
      </c>
      <c r="W312" s="22">
        <f t="shared" si="50"/>
        <v>122.5</v>
      </c>
      <c r="X312" s="22">
        <f t="shared" si="51"/>
        <v>0</v>
      </c>
      <c r="Y312" s="22">
        <f t="shared" si="52"/>
        <v>122.5</v>
      </c>
      <c r="Z312" s="22"/>
      <c r="AA312" s="22">
        <f t="array" ref="AA312">IF(ROW(AA312)&lt;=COUNTA(V:V)*2,IF(MOD(ROW(AA312),2)=1,INDEX(V:V,(ROW(AA312)+1)/2),INDEX(X:X,ROW(AA312)/2)),"")</f>
        <v>-330.15</v>
      </c>
      <c r="AB312" s="22">
        <f t="array" ref="AB312">IF(ROW(AB312)&lt;=COUNTA(W:W)*2,IF(MOD(ROW(AB312),2)=1,INDEX(W:W,(ROW(AB312)+1)/2),INDEX(Y:Y,ROW(AB312)/2)),"")</f>
        <v>125.319575</v>
      </c>
    </row>
    <row r="313" spans="1:28" s="2" customFormat="1" x14ac:dyDescent="0.25">
      <c r="A313" s="19"/>
      <c r="B313" s="20"/>
      <c r="C313" s="21"/>
      <c r="D313" s="22"/>
      <c r="F313" s="34">
        <f t="shared" si="53"/>
        <v>0</v>
      </c>
      <c r="G313" s="34">
        <f t="shared" si="54"/>
        <v>102.5</v>
      </c>
      <c r="H313" s="34">
        <f t="shared" si="48"/>
        <v>0</v>
      </c>
      <c r="I313" s="34">
        <f t="shared" si="55"/>
        <v>102.5</v>
      </c>
      <c r="J313" s="20"/>
      <c r="K313" s="34">
        <f t="array" ref="K313">IF(ROW(K313)&lt;=COUNTA(F:F)*2,IF(MOD(ROW(K313),2)=1,INDEX(F:F,(ROW(K313)+1)/2),INDEX(H:H,ROW(K313)/2)),"")</f>
        <v>-330.15</v>
      </c>
      <c r="L313" s="34">
        <f t="array" ref="L313">IF(ROW(L313)&lt;=COUNTA(G:G)*2,IF(MOD(ROW(L313),2)=1,INDEX(G:G,(ROW(L313)+1)/2),INDEX(I:I,ROW(L313)/2)),"")</f>
        <v>112.5</v>
      </c>
      <c r="N313" s="21">
        <f t="shared" si="56"/>
        <v>0</v>
      </c>
      <c r="O313" s="21">
        <f t="shared" si="57"/>
        <v>112.5</v>
      </c>
      <c r="P313" s="21">
        <f t="shared" si="49"/>
        <v>0</v>
      </c>
      <c r="Q313" s="21">
        <f t="shared" si="58"/>
        <v>112.5</v>
      </c>
      <c r="R313" s="21"/>
      <c r="S313" s="21">
        <f t="array" ref="S313">IF(ROW(S313)&lt;=COUNTA(N:N)*2,IF(MOD(ROW(S313),2)=1,INDEX(N:N,(ROW(S313)+1)/2),INDEX(P:P,ROW(S313)/2)),"")</f>
        <v>-330.15</v>
      </c>
      <c r="T313" s="21">
        <f t="array" ref="T313">IF(ROW(T313)&lt;=COUNTA(O:O)*2,IF(MOD(ROW(T313),2)=1,INDEX(O:O,(ROW(T313)+1)/2),INDEX(Q:Q,ROW(T313)/2)),"")</f>
        <v>119.1</v>
      </c>
      <c r="V313" s="22">
        <f t="shared" si="59"/>
        <v>0</v>
      </c>
      <c r="W313" s="22">
        <f t="shared" si="50"/>
        <v>122.5</v>
      </c>
      <c r="X313" s="22">
        <f t="shared" si="51"/>
        <v>0</v>
      </c>
      <c r="Y313" s="22">
        <f t="shared" si="52"/>
        <v>122.5</v>
      </c>
      <c r="Z313" s="22"/>
      <c r="AA313" s="22">
        <f t="array" ref="AA313">IF(ROW(AA313)&lt;=COUNTA(V:V)*2,IF(MOD(ROW(AA313),2)=1,INDEX(V:V,(ROW(AA313)+1)/2),INDEX(X:X,ROW(AA313)/2)),"")</f>
        <v>-330.15</v>
      </c>
      <c r="AB313" s="22">
        <f t="array" ref="AB313">IF(ROW(AB313)&lt;=COUNTA(W:W)*2,IF(MOD(ROW(AB313),2)=1,INDEX(W:W,(ROW(AB313)+1)/2),INDEX(Y:Y,ROW(AB313)/2)),"")</f>
        <v>125.3227</v>
      </c>
    </row>
    <row r="314" spans="1:28" s="2" customFormat="1" x14ac:dyDescent="0.25">
      <c r="A314" s="19"/>
      <c r="B314" s="20"/>
      <c r="C314" s="21"/>
      <c r="D314" s="22"/>
      <c r="F314" s="34">
        <f t="shared" si="53"/>
        <v>0</v>
      </c>
      <c r="G314" s="34">
        <f t="shared" si="54"/>
        <v>102.5</v>
      </c>
      <c r="H314" s="34">
        <f t="shared" si="48"/>
        <v>0</v>
      </c>
      <c r="I314" s="34">
        <f t="shared" si="55"/>
        <v>102.5</v>
      </c>
      <c r="J314" s="20"/>
      <c r="K314" s="34">
        <f t="array" ref="K314">IF(ROW(K314)&lt;=COUNTA(F:F)*2,IF(MOD(ROW(K314),2)=1,INDEX(F:F,(ROW(K314)+1)/2),INDEX(H:H,ROW(K314)/2)),"")</f>
        <v>-333.15</v>
      </c>
      <c r="L314" s="34">
        <f t="array" ref="L314">IF(ROW(L314)&lt;=COUNTA(G:G)*2,IF(MOD(ROW(L314),2)=1,INDEX(G:G,(ROW(L314)+1)/2),INDEX(I:I,ROW(L314)/2)),"")</f>
        <v>112.5</v>
      </c>
      <c r="N314" s="21">
        <f t="shared" si="56"/>
        <v>0</v>
      </c>
      <c r="O314" s="21">
        <f t="shared" si="57"/>
        <v>112.5</v>
      </c>
      <c r="P314" s="21">
        <f t="shared" si="49"/>
        <v>0</v>
      </c>
      <c r="Q314" s="21">
        <f t="shared" si="58"/>
        <v>112.5</v>
      </c>
      <c r="R314" s="21"/>
      <c r="S314" s="21">
        <f t="array" ref="S314">IF(ROW(S314)&lt;=COUNTA(N:N)*2,IF(MOD(ROW(S314),2)=1,INDEX(N:N,(ROW(S314)+1)/2),INDEX(P:P,ROW(S314)/2)),"")</f>
        <v>-333.15</v>
      </c>
      <c r="T314" s="21">
        <f t="array" ref="T314">IF(ROW(T314)&lt;=COUNTA(O:O)*2,IF(MOD(ROW(T314),2)=1,INDEX(O:O,(ROW(T314)+1)/2),INDEX(Q:Q,ROW(T314)/2)),"")</f>
        <v>119.1</v>
      </c>
      <c r="V314" s="22">
        <f t="shared" si="59"/>
        <v>0</v>
      </c>
      <c r="W314" s="22">
        <f t="shared" si="50"/>
        <v>122.5</v>
      </c>
      <c r="X314" s="22">
        <f t="shared" si="51"/>
        <v>0</v>
      </c>
      <c r="Y314" s="22">
        <f t="shared" si="52"/>
        <v>122.5</v>
      </c>
      <c r="Z314" s="22"/>
      <c r="AA314" s="22">
        <f t="array" ref="AA314">IF(ROW(AA314)&lt;=COUNTA(V:V)*2,IF(MOD(ROW(AA314),2)=1,INDEX(V:V,(ROW(AA314)+1)/2),INDEX(X:X,ROW(AA314)/2)),"")</f>
        <v>-333.15</v>
      </c>
      <c r="AB314" s="22">
        <f t="array" ref="AB314">IF(ROW(AB314)&lt;=COUNTA(W:W)*2,IF(MOD(ROW(AB314),2)=1,INDEX(W:W,(ROW(AB314)+1)/2),INDEX(Y:Y,ROW(AB314)/2)),"")</f>
        <v>125.3227</v>
      </c>
    </row>
    <row r="315" spans="1:28" s="2" customFormat="1" x14ac:dyDescent="0.25">
      <c r="A315" s="19"/>
      <c r="B315" s="20"/>
      <c r="C315" s="21"/>
      <c r="D315" s="22"/>
      <c r="F315" s="34">
        <f t="shared" si="53"/>
        <v>0</v>
      </c>
      <c r="G315" s="34">
        <f t="shared" si="54"/>
        <v>102.5</v>
      </c>
      <c r="H315" s="34">
        <f t="shared" si="48"/>
        <v>0</v>
      </c>
      <c r="I315" s="34">
        <f t="shared" si="55"/>
        <v>102.5</v>
      </c>
      <c r="J315" s="20"/>
      <c r="K315" s="34">
        <f t="array" ref="K315">IF(ROW(K315)&lt;=COUNTA(F:F)*2,IF(MOD(ROW(K315),2)=1,INDEX(F:F,(ROW(K315)+1)/2),INDEX(H:H,ROW(K315)/2)),"")</f>
        <v>-333.15</v>
      </c>
      <c r="L315" s="34">
        <f t="array" ref="L315">IF(ROW(L315)&lt;=COUNTA(G:G)*2,IF(MOD(ROW(L315),2)=1,INDEX(G:G,(ROW(L315)+1)/2),INDEX(I:I,ROW(L315)/2)),"")</f>
        <v>112.4</v>
      </c>
      <c r="N315" s="21">
        <f t="shared" si="56"/>
        <v>0</v>
      </c>
      <c r="O315" s="21">
        <f t="shared" si="57"/>
        <v>112.5</v>
      </c>
      <c r="P315" s="21">
        <f t="shared" si="49"/>
        <v>0</v>
      </c>
      <c r="Q315" s="21">
        <f t="shared" si="58"/>
        <v>112.5</v>
      </c>
      <c r="R315" s="21"/>
      <c r="S315" s="21">
        <f t="array" ref="S315">IF(ROW(S315)&lt;=COUNTA(N:N)*2,IF(MOD(ROW(S315),2)=1,INDEX(N:N,(ROW(S315)+1)/2),INDEX(P:P,ROW(S315)/2)),"")</f>
        <v>-333.15</v>
      </c>
      <c r="T315" s="21">
        <f t="array" ref="T315">IF(ROW(T315)&lt;=COUNTA(O:O)*2,IF(MOD(ROW(T315),2)=1,INDEX(O:O,(ROW(T315)+1)/2),INDEX(Q:Q,ROW(T315)/2)),"")</f>
        <v>117.3</v>
      </c>
      <c r="V315" s="22">
        <f t="shared" si="59"/>
        <v>0</v>
      </c>
      <c r="W315" s="22">
        <f t="shared" si="50"/>
        <v>122.5</v>
      </c>
      <c r="X315" s="22">
        <f t="shared" si="51"/>
        <v>0</v>
      </c>
      <c r="Y315" s="22">
        <f t="shared" si="52"/>
        <v>122.5</v>
      </c>
      <c r="Z315" s="22"/>
      <c r="AA315" s="22">
        <f t="array" ref="AA315">IF(ROW(AA315)&lt;=COUNTA(V:V)*2,IF(MOD(ROW(AA315),2)=1,INDEX(V:V,(ROW(AA315)+1)/2),INDEX(X:X,ROW(AA315)/2)),"")</f>
        <v>-333.15</v>
      </c>
      <c r="AB315" s="22">
        <f t="array" ref="AB315">IF(ROW(AB315)&lt;=COUNTA(W:W)*2,IF(MOD(ROW(AB315),2)=1,INDEX(W:W,(ROW(AB315)+1)/2),INDEX(Y:Y,ROW(AB315)/2)),"")</f>
        <v>125.3227</v>
      </c>
    </row>
    <row r="316" spans="1:28" s="2" customFormat="1" x14ac:dyDescent="0.25">
      <c r="A316" s="19"/>
      <c r="B316" s="20"/>
      <c r="C316" s="21"/>
      <c r="D316" s="22"/>
      <c r="F316" s="34">
        <f t="shared" si="53"/>
        <v>0</v>
      </c>
      <c r="G316" s="34">
        <f t="shared" si="54"/>
        <v>102.5</v>
      </c>
      <c r="H316" s="34">
        <f t="shared" si="48"/>
        <v>0</v>
      </c>
      <c r="I316" s="34">
        <f t="shared" si="55"/>
        <v>102.5</v>
      </c>
      <c r="J316" s="20"/>
      <c r="K316" s="34">
        <f t="array" ref="K316">IF(ROW(K316)&lt;=COUNTA(F:F)*2,IF(MOD(ROW(K316),2)=1,INDEX(F:F,(ROW(K316)+1)/2),INDEX(H:H,ROW(K316)/2)),"")</f>
        <v>-336.15</v>
      </c>
      <c r="L316" s="34">
        <f t="array" ref="L316">IF(ROW(L316)&lt;=COUNTA(G:G)*2,IF(MOD(ROW(L316),2)=1,INDEX(G:G,(ROW(L316)+1)/2),INDEX(I:I,ROW(L316)/2)),"")</f>
        <v>112.4</v>
      </c>
      <c r="N316" s="21">
        <f t="shared" si="56"/>
        <v>0</v>
      </c>
      <c r="O316" s="21">
        <f t="shared" si="57"/>
        <v>112.5</v>
      </c>
      <c r="P316" s="21">
        <f t="shared" si="49"/>
        <v>0</v>
      </c>
      <c r="Q316" s="21">
        <f t="shared" si="58"/>
        <v>112.5</v>
      </c>
      <c r="R316" s="21"/>
      <c r="S316" s="21">
        <f t="array" ref="S316">IF(ROW(S316)&lt;=COUNTA(N:N)*2,IF(MOD(ROW(S316),2)=1,INDEX(N:N,(ROW(S316)+1)/2),INDEX(P:P,ROW(S316)/2)),"")</f>
        <v>-336.15</v>
      </c>
      <c r="T316" s="21">
        <f t="array" ref="T316">IF(ROW(T316)&lt;=COUNTA(O:O)*2,IF(MOD(ROW(T316),2)=1,INDEX(O:O,(ROW(T316)+1)/2),INDEX(Q:Q,ROW(T316)/2)),"")</f>
        <v>117.3</v>
      </c>
      <c r="V316" s="22">
        <f t="shared" si="59"/>
        <v>0</v>
      </c>
      <c r="W316" s="22">
        <f t="shared" si="50"/>
        <v>122.5</v>
      </c>
      <c r="X316" s="22">
        <f t="shared" si="51"/>
        <v>0</v>
      </c>
      <c r="Y316" s="22">
        <f t="shared" si="52"/>
        <v>122.5</v>
      </c>
      <c r="Z316" s="22"/>
      <c r="AA316" s="22">
        <f t="array" ref="AA316">IF(ROW(AA316)&lt;=COUNTA(V:V)*2,IF(MOD(ROW(AA316),2)=1,INDEX(V:V,(ROW(AA316)+1)/2),INDEX(X:X,ROW(AA316)/2)),"")</f>
        <v>-336.15</v>
      </c>
      <c r="AB316" s="22">
        <f t="array" ref="AB316">IF(ROW(AB316)&lt;=COUNTA(W:W)*2,IF(MOD(ROW(AB316),2)=1,INDEX(W:W,(ROW(AB316)+1)/2),INDEX(Y:Y,ROW(AB316)/2)),"")</f>
        <v>125.3227</v>
      </c>
    </row>
    <row r="317" spans="1:28" s="2" customFormat="1" x14ac:dyDescent="0.25">
      <c r="A317" s="19"/>
      <c r="B317" s="20"/>
      <c r="C317" s="21"/>
      <c r="D317" s="22"/>
      <c r="F317" s="34">
        <f t="shared" si="53"/>
        <v>0</v>
      </c>
      <c r="G317" s="34">
        <f t="shared" si="54"/>
        <v>102.5</v>
      </c>
      <c r="H317" s="34">
        <f t="shared" si="48"/>
        <v>0</v>
      </c>
      <c r="I317" s="34">
        <f t="shared" si="55"/>
        <v>102.5</v>
      </c>
      <c r="J317" s="20"/>
      <c r="K317" s="34">
        <f t="array" ref="K317">IF(ROW(K317)&lt;=COUNTA(F:F)*2,IF(MOD(ROW(K317),2)=1,INDEX(F:F,(ROW(K317)+1)/2),INDEX(H:H,ROW(K317)/2)),"")</f>
        <v>-336.15</v>
      </c>
      <c r="L317" s="34">
        <f t="array" ref="L317">IF(ROW(L317)&lt;=COUNTA(G:G)*2,IF(MOD(ROW(L317),2)=1,INDEX(G:G,(ROW(L317)+1)/2),INDEX(I:I,ROW(L317)/2)),"")</f>
        <v>112.5</v>
      </c>
      <c r="N317" s="21">
        <f t="shared" si="56"/>
        <v>0</v>
      </c>
      <c r="O317" s="21">
        <f t="shared" si="57"/>
        <v>112.5</v>
      </c>
      <c r="P317" s="21">
        <f t="shared" si="49"/>
        <v>0</v>
      </c>
      <c r="Q317" s="21">
        <f t="shared" si="58"/>
        <v>112.5</v>
      </c>
      <c r="R317" s="21"/>
      <c r="S317" s="21">
        <f t="array" ref="S317">IF(ROW(S317)&lt;=COUNTA(N:N)*2,IF(MOD(ROW(S317),2)=1,INDEX(N:N,(ROW(S317)+1)/2),INDEX(P:P,ROW(S317)/2)),"")</f>
        <v>-336.15</v>
      </c>
      <c r="T317" s="21">
        <f t="array" ref="T317">IF(ROW(T317)&lt;=COUNTA(O:O)*2,IF(MOD(ROW(T317),2)=1,INDEX(O:O,(ROW(T317)+1)/2),INDEX(Q:Q,ROW(T317)/2)),"")</f>
        <v>117.2</v>
      </c>
      <c r="V317" s="22">
        <f t="shared" si="59"/>
        <v>0</v>
      </c>
      <c r="W317" s="22">
        <f t="shared" si="50"/>
        <v>122.5</v>
      </c>
      <c r="X317" s="22">
        <f t="shared" si="51"/>
        <v>0</v>
      </c>
      <c r="Y317" s="22">
        <f t="shared" si="52"/>
        <v>122.5</v>
      </c>
      <c r="Z317" s="22"/>
      <c r="AA317" s="22">
        <f t="array" ref="AA317">IF(ROW(AA317)&lt;=COUNTA(V:V)*2,IF(MOD(ROW(AA317),2)=1,INDEX(V:V,(ROW(AA317)+1)/2),INDEX(X:X,ROW(AA317)/2)),"")</f>
        <v>-336.15</v>
      </c>
      <c r="AB317" s="22">
        <f t="array" ref="AB317">IF(ROW(AB317)&lt;=COUNTA(W:W)*2,IF(MOD(ROW(AB317),2)=1,INDEX(W:W,(ROW(AB317)+1)/2),INDEX(Y:Y,ROW(AB317)/2)),"")</f>
        <v>125.3227</v>
      </c>
    </row>
    <row r="318" spans="1:28" s="2" customFormat="1" x14ac:dyDescent="0.25">
      <c r="A318" s="19"/>
      <c r="B318" s="20"/>
      <c r="C318" s="21"/>
      <c r="D318" s="22"/>
      <c r="F318" s="34">
        <f t="shared" si="53"/>
        <v>0</v>
      </c>
      <c r="G318" s="34">
        <f t="shared" si="54"/>
        <v>102.5</v>
      </c>
      <c r="H318" s="34">
        <f t="shared" si="48"/>
        <v>0</v>
      </c>
      <c r="I318" s="34">
        <f t="shared" si="55"/>
        <v>102.5</v>
      </c>
      <c r="J318" s="20"/>
      <c r="K318" s="34">
        <f t="array" ref="K318">IF(ROW(K318)&lt;=COUNTA(F:F)*2,IF(MOD(ROW(K318),2)=1,INDEX(F:F,(ROW(K318)+1)/2),INDEX(H:H,ROW(K318)/2)),"")</f>
        <v>-339.15</v>
      </c>
      <c r="L318" s="34">
        <f t="array" ref="L318">IF(ROW(L318)&lt;=COUNTA(G:G)*2,IF(MOD(ROW(L318),2)=1,INDEX(G:G,(ROW(L318)+1)/2),INDEX(I:I,ROW(L318)/2)),"")</f>
        <v>112.5</v>
      </c>
      <c r="N318" s="21">
        <f t="shared" si="56"/>
        <v>0</v>
      </c>
      <c r="O318" s="21">
        <f t="shared" si="57"/>
        <v>112.5</v>
      </c>
      <c r="P318" s="21">
        <f t="shared" si="49"/>
        <v>0</v>
      </c>
      <c r="Q318" s="21">
        <f t="shared" si="58"/>
        <v>112.5</v>
      </c>
      <c r="R318" s="21"/>
      <c r="S318" s="21">
        <f t="array" ref="S318">IF(ROW(S318)&lt;=COUNTA(N:N)*2,IF(MOD(ROW(S318),2)=1,INDEX(N:N,(ROW(S318)+1)/2),INDEX(P:P,ROW(S318)/2)),"")</f>
        <v>-339.15</v>
      </c>
      <c r="T318" s="21">
        <f t="array" ref="T318">IF(ROW(T318)&lt;=COUNTA(O:O)*2,IF(MOD(ROW(T318),2)=1,INDEX(O:O,(ROW(T318)+1)/2),INDEX(Q:Q,ROW(T318)/2)),"")</f>
        <v>117.2</v>
      </c>
      <c r="V318" s="22">
        <f t="shared" si="59"/>
        <v>0</v>
      </c>
      <c r="W318" s="22">
        <f t="shared" si="50"/>
        <v>122.5</v>
      </c>
      <c r="X318" s="22">
        <f t="shared" si="51"/>
        <v>0</v>
      </c>
      <c r="Y318" s="22">
        <f t="shared" si="52"/>
        <v>122.5</v>
      </c>
      <c r="Z318" s="22"/>
      <c r="AA318" s="22">
        <f t="array" ref="AA318">IF(ROW(AA318)&lt;=COUNTA(V:V)*2,IF(MOD(ROW(AA318),2)=1,INDEX(V:V,(ROW(AA318)+1)/2),INDEX(X:X,ROW(AA318)/2)),"")</f>
        <v>-339.15</v>
      </c>
      <c r="AB318" s="22">
        <f t="array" ref="AB318">IF(ROW(AB318)&lt;=COUNTA(W:W)*2,IF(MOD(ROW(AB318),2)=1,INDEX(W:W,(ROW(AB318)+1)/2),INDEX(Y:Y,ROW(AB318)/2)),"")</f>
        <v>125.3227</v>
      </c>
    </row>
    <row r="319" spans="1:28" s="2" customFormat="1" x14ac:dyDescent="0.25">
      <c r="A319" s="19"/>
      <c r="B319" s="20"/>
      <c r="C319" s="21"/>
      <c r="D319" s="22"/>
      <c r="F319" s="34">
        <f t="shared" si="53"/>
        <v>0</v>
      </c>
      <c r="G319" s="34">
        <f t="shared" si="54"/>
        <v>102.5</v>
      </c>
      <c r="H319" s="34">
        <f t="shared" si="48"/>
        <v>0</v>
      </c>
      <c r="I319" s="34">
        <f t="shared" si="55"/>
        <v>102.5</v>
      </c>
      <c r="J319" s="20"/>
      <c r="K319" s="34">
        <f t="array" ref="K319">IF(ROW(K319)&lt;=COUNTA(F:F)*2,IF(MOD(ROW(K319),2)=1,INDEX(F:F,(ROW(K319)+1)/2),INDEX(H:H,ROW(K319)/2)),"")</f>
        <v>-339.15</v>
      </c>
      <c r="L319" s="34">
        <f t="array" ref="L319">IF(ROW(L319)&lt;=COUNTA(G:G)*2,IF(MOD(ROW(L319),2)=1,INDEX(G:G,(ROW(L319)+1)/2),INDEX(I:I,ROW(L319)/2)),"")</f>
        <v>112.5</v>
      </c>
      <c r="N319" s="21">
        <f t="shared" si="56"/>
        <v>0</v>
      </c>
      <c r="O319" s="21">
        <f t="shared" si="57"/>
        <v>112.5</v>
      </c>
      <c r="P319" s="21">
        <f t="shared" si="49"/>
        <v>0</v>
      </c>
      <c r="Q319" s="21">
        <f t="shared" si="58"/>
        <v>112.5</v>
      </c>
      <c r="R319" s="21"/>
      <c r="S319" s="21">
        <f t="array" ref="S319">IF(ROW(S319)&lt;=COUNTA(N:N)*2,IF(MOD(ROW(S319),2)=1,INDEX(N:N,(ROW(S319)+1)/2),INDEX(P:P,ROW(S319)/2)),"")</f>
        <v>-339.15</v>
      </c>
      <c r="T319" s="21">
        <f t="array" ref="T319">IF(ROW(T319)&lt;=COUNTA(O:O)*2,IF(MOD(ROW(T319),2)=1,INDEX(O:O,(ROW(T319)+1)/2),INDEX(Q:Q,ROW(T319)/2)),"")</f>
        <v>120.6</v>
      </c>
      <c r="V319" s="22">
        <f t="shared" si="59"/>
        <v>0</v>
      </c>
      <c r="W319" s="22">
        <f t="shared" si="50"/>
        <v>122.5</v>
      </c>
      <c r="X319" s="22">
        <f t="shared" si="51"/>
        <v>0</v>
      </c>
      <c r="Y319" s="22">
        <f t="shared" si="52"/>
        <v>122.5</v>
      </c>
      <c r="Z319" s="22"/>
      <c r="AA319" s="22">
        <f t="array" ref="AA319">IF(ROW(AA319)&lt;=COUNTA(V:V)*2,IF(MOD(ROW(AA319),2)=1,INDEX(V:V,(ROW(AA319)+1)/2),INDEX(X:X,ROW(AA319)/2)),"")</f>
        <v>-339.15</v>
      </c>
      <c r="AB319" s="22">
        <f t="array" ref="AB319">IF(ROW(AB319)&lt;=COUNTA(W:W)*2,IF(MOD(ROW(AB319),2)=1,INDEX(W:W,(ROW(AB319)+1)/2),INDEX(Y:Y,ROW(AB319)/2)),"")</f>
        <v>125.3227</v>
      </c>
    </row>
    <row r="320" spans="1:28" s="2" customFormat="1" x14ac:dyDescent="0.25">
      <c r="A320" s="19"/>
      <c r="B320" s="20"/>
      <c r="C320" s="21"/>
      <c r="D320" s="22"/>
      <c r="F320" s="34">
        <f t="shared" si="53"/>
        <v>0</v>
      </c>
      <c r="G320" s="34">
        <f t="shared" si="54"/>
        <v>102.5</v>
      </c>
      <c r="H320" s="34">
        <f t="shared" si="48"/>
        <v>0</v>
      </c>
      <c r="I320" s="34">
        <f t="shared" si="55"/>
        <v>102.5</v>
      </c>
      <c r="J320" s="20"/>
      <c r="K320" s="34">
        <f t="array" ref="K320">IF(ROW(K320)&lt;=COUNTA(F:F)*2,IF(MOD(ROW(K320),2)=1,INDEX(F:F,(ROW(K320)+1)/2),INDEX(H:H,ROW(K320)/2)),"")</f>
        <v>-342.15</v>
      </c>
      <c r="L320" s="34">
        <f t="array" ref="L320">IF(ROW(L320)&lt;=COUNTA(G:G)*2,IF(MOD(ROW(L320),2)=1,INDEX(G:G,(ROW(L320)+1)/2),INDEX(I:I,ROW(L320)/2)),"")</f>
        <v>112.5</v>
      </c>
      <c r="N320" s="21">
        <f t="shared" si="56"/>
        <v>0</v>
      </c>
      <c r="O320" s="21">
        <f t="shared" si="57"/>
        <v>112.5</v>
      </c>
      <c r="P320" s="21">
        <f t="shared" si="49"/>
        <v>0</v>
      </c>
      <c r="Q320" s="21">
        <f t="shared" si="58"/>
        <v>112.5</v>
      </c>
      <c r="R320" s="21"/>
      <c r="S320" s="21">
        <f t="array" ref="S320">IF(ROW(S320)&lt;=COUNTA(N:N)*2,IF(MOD(ROW(S320),2)=1,INDEX(N:N,(ROW(S320)+1)/2),INDEX(P:P,ROW(S320)/2)),"")</f>
        <v>-342.15</v>
      </c>
      <c r="T320" s="21">
        <f t="array" ref="T320">IF(ROW(T320)&lt;=COUNTA(O:O)*2,IF(MOD(ROW(T320),2)=1,INDEX(O:O,(ROW(T320)+1)/2),INDEX(Q:Q,ROW(T320)/2)),"")</f>
        <v>120.6</v>
      </c>
      <c r="V320" s="22">
        <f t="shared" si="59"/>
        <v>0</v>
      </c>
      <c r="W320" s="22">
        <f t="shared" si="50"/>
        <v>122.5</v>
      </c>
      <c r="X320" s="22">
        <f t="shared" si="51"/>
        <v>0</v>
      </c>
      <c r="Y320" s="22">
        <f t="shared" si="52"/>
        <v>122.5</v>
      </c>
      <c r="Z320" s="22"/>
      <c r="AA320" s="22">
        <f t="array" ref="AA320">IF(ROW(AA320)&lt;=COUNTA(V:V)*2,IF(MOD(ROW(AA320),2)=1,INDEX(V:V,(ROW(AA320)+1)/2),INDEX(X:X,ROW(AA320)/2)),"")</f>
        <v>-342.15</v>
      </c>
      <c r="AB320" s="22">
        <f t="array" ref="AB320">IF(ROW(AB320)&lt;=COUNTA(W:W)*2,IF(MOD(ROW(AB320),2)=1,INDEX(W:W,(ROW(AB320)+1)/2),INDEX(Y:Y,ROW(AB320)/2)),"")</f>
        <v>125.3227</v>
      </c>
    </row>
    <row r="321" spans="1:28" s="2" customFormat="1" x14ac:dyDescent="0.25">
      <c r="A321" s="19"/>
      <c r="B321" s="20"/>
      <c r="C321" s="21"/>
      <c r="D321" s="22"/>
      <c r="F321" s="34">
        <f t="shared" si="53"/>
        <v>0</v>
      </c>
      <c r="G321" s="34">
        <f t="shared" si="54"/>
        <v>102.5</v>
      </c>
      <c r="H321" s="34">
        <f t="shared" si="48"/>
        <v>0</v>
      </c>
      <c r="I321" s="34">
        <f t="shared" si="55"/>
        <v>102.5</v>
      </c>
      <c r="J321" s="20"/>
      <c r="K321" s="34">
        <f t="array" ref="K321">IF(ROW(K321)&lt;=COUNTA(F:F)*2,IF(MOD(ROW(K321),2)=1,INDEX(F:F,(ROW(K321)+1)/2),INDEX(H:H,ROW(K321)/2)),"")</f>
        <v>-342.15</v>
      </c>
      <c r="L321" s="34">
        <f t="array" ref="L321">IF(ROW(L321)&lt;=COUNTA(G:G)*2,IF(MOD(ROW(L321),2)=1,INDEX(G:G,(ROW(L321)+1)/2),INDEX(I:I,ROW(L321)/2)),"")</f>
        <v>112.4</v>
      </c>
      <c r="N321" s="21">
        <f t="shared" si="56"/>
        <v>0</v>
      </c>
      <c r="O321" s="21">
        <f t="shared" si="57"/>
        <v>112.5</v>
      </c>
      <c r="P321" s="21">
        <f t="shared" si="49"/>
        <v>0</v>
      </c>
      <c r="Q321" s="21">
        <f t="shared" si="58"/>
        <v>112.5</v>
      </c>
      <c r="R321" s="21"/>
      <c r="S321" s="21">
        <f t="array" ref="S321">IF(ROW(S321)&lt;=COUNTA(N:N)*2,IF(MOD(ROW(S321),2)=1,INDEX(N:N,(ROW(S321)+1)/2),INDEX(P:P,ROW(S321)/2)),"")</f>
        <v>-342.15</v>
      </c>
      <c r="T321" s="21">
        <f t="array" ref="T321">IF(ROW(T321)&lt;=COUNTA(O:O)*2,IF(MOD(ROW(T321),2)=1,INDEX(O:O,(ROW(T321)+1)/2),INDEX(Q:Q,ROW(T321)/2)),"")</f>
        <v>117.3</v>
      </c>
      <c r="V321" s="22">
        <f t="shared" si="59"/>
        <v>0</v>
      </c>
      <c r="W321" s="22">
        <f t="shared" si="50"/>
        <v>122.5</v>
      </c>
      <c r="X321" s="22">
        <f t="shared" si="51"/>
        <v>0</v>
      </c>
      <c r="Y321" s="22">
        <f t="shared" si="52"/>
        <v>122.5</v>
      </c>
      <c r="Z321" s="22"/>
      <c r="AA321" s="22">
        <f t="array" ref="AA321">IF(ROW(AA321)&lt;=COUNTA(V:V)*2,IF(MOD(ROW(AA321),2)=1,INDEX(V:V,(ROW(AA321)+1)/2),INDEX(X:X,ROW(AA321)/2)),"")</f>
        <v>-342.15</v>
      </c>
      <c r="AB321" s="22">
        <f t="array" ref="AB321">IF(ROW(AB321)&lt;=COUNTA(W:W)*2,IF(MOD(ROW(AB321),2)=1,INDEX(W:W,(ROW(AB321)+1)/2),INDEX(Y:Y,ROW(AB321)/2)),"")</f>
        <v>125.3227</v>
      </c>
    </row>
    <row r="322" spans="1:28" s="2" customFormat="1" x14ac:dyDescent="0.25">
      <c r="A322" s="19"/>
      <c r="B322" s="20"/>
      <c r="C322" s="21"/>
      <c r="D322" s="22"/>
      <c r="F322" s="34">
        <f t="shared" si="53"/>
        <v>0</v>
      </c>
      <c r="G322" s="34">
        <f t="shared" si="54"/>
        <v>102.5</v>
      </c>
      <c r="H322" s="34">
        <f t="shared" si="48"/>
        <v>0</v>
      </c>
      <c r="I322" s="34">
        <f t="shared" si="55"/>
        <v>102.5</v>
      </c>
      <c r="J322" s="20"/>
      <c r="K322" s="34">
        <f t="array" ref="K322">IF(ROW(K322)&lt;=COUNTA(F:F)*2,IF(MOD(ROW(K322),2)=1,INDEX(F:F,(ROW(K322)+1)/2),INDEX(H:H,ROW(K322)/2)),"")</f>
        <v>-345.15</v>
      </c>
      <c r="L322" s="34">
        <f t="array" ref="L322">IF(ROW(L322)&lt;=COUNTA(G:G)*2,IF(MOD(ROW(L322),2)=1,INDEX(G:G,(ROW(L322)+1)/2),INDEX(I:I,ROW(L322)/2)),"")</f>
        <v>112.4</v>
      </c>
      <c r="N322" s="21">
        <f t="shared" si="56"/>
        <v>0</v>
      </c>
      <c r="O322" s="21">
        <f t="shared" si="57"/>
        <v>112.5</v>
      </c>
      <c r="P322" s="21">
        <f t="shared" si="49"/>
        <v>0</v>
      </c>
      <c r="Q322" s="21">
        <f t="shared" si="58"/>
        <v>112.5</v>
      </c>
      <c r="R322" s="21"/>
      <c r="S322" s="21">
        <f t="array" ref="S322">IF(ROW(S322)&lt;=COUNTA(N:N)*2,IF(MOD(ROW(S322),2)=1,INDEX(N:N,(ROW(S322)+1)/2),INDEX(P:P,ROW(S322)/2)),"")</f>
        <v>-345.15</v>
      </c>
      <c r="T322" s="21">
        <f t="array" ref="T322">IF(ROW(T322)&lt;=COUNTA(O:O)*2,IF(MOD(ROW(T322),2)=1,INDEX(O:O,(ROW(T322)+1)/2),INDEX(Q:Q,ROW(T322)/2)),"")</f>
        <v>117.3</v>
      </c>
      <c r="V322" s="22">
        <f t="shared" si="59"/>
        <v>0</v>
      </c>
      <c r="W322" s="22">
        <f t="shared" si="50"/>
        <v>122.5</v>
      </c>
      <c r="X322" s="22">
        <f t="shared" si="51"/>
        <v>0</v>
      </c>
      <c r="Y322" s="22">
        <f t="shared" si="52"/>
        <v>122.5</v>
      </c>
      <c r="Z322" s="22"/>
      <c r="AA322" s="22">
        <f t="array" ref="AA322">IF(ROW(AA322)&lt;=COUNTA(V:V)*2,IF(MOD(ROW(AA322),2)=1,INDEX(V:V,(ROW(AA322)+1)/2),INDEX(X:X,ROW(AA322)/2)),"")</f>
        <v>-345.15</v>
      </c>
      <c r="AB322" s="22">
        <f t="array" ref="AB322">IF(ROW(AB322)&lt;=COUNTA(W:W)*2,IF(MOD(ROW(AB322),2)=1,INDEX(W:W,(ROW(AB322)+1)/2),INDEX(Y:Y,ROW(AB322)/2)),"")</f>
        <v>125.3227</v>
      </c>
    </row>
    <row r="323" spans="1:28" s="2" customFormat="1" x14ac:dyDescent="0.25">
      <c r="A323" s="19"/>
      <c r="B323" s="20"/>
      <c r="C323" s="21"/>
      <c r="D323" s="22"/>
      <c r="F323" s="34">
        <f t="shared" si="53"/>
        <v>0</v>
      </c>
      <c r="G323" s="34">
        <f t="shared" si="54"/>
        <v>102.5</v>
      </c>
      <c r="H323" s="34">
        <f t="shared" ref="H323:H371" si="60">0-A323</f>
        <v>0</v>
      </c>
      <c r="I323" s="34">
        <f t="shared" si="55"/>
        <v>102.5</v>
      </c>
      <c r="J323" s="20"/>
      <c r="K323" s="34">
        <f t="array" ref="K323">IF(ROW(K323)&lt;=COUNTA(F:F)*2,IF(MOD(ROW(K323),2)=1,INDEX(F:F,(ROW(K323)+1)/2),INDEX(H:H,ROW(K323)/2)),"")</f>
        <v>-345.15</v>
      </c>
      <c r="L323" s="34">
        <f t="array" ref="L323">IF(ROW(L323)&lt;=COUNTA(G:G)*2,IF(MOD(ROW(L323),2)=1,INDEX(G:G,(ROW(L323)+1)/2),INDEX(I:I,ROW(L323)/2)),"")</f>
        <v>112.4</v>
      </c>
      <c r="N323" s="21">
        <f t="shared" si="56"/>
        <v>0</v>
      </c>
      <c r="O323" s="21">
        <f t="shared" si="57"/>
        <v>112.5</v>
      </c>
      <c r="P323" s="21">
        <f t="shared" ref="P323:P371" si="61">0-A323</f>
        <v>0</v>
      </c>
      <c r="Q323" s="21">
        <f t="shared" si="58"/>
        <v>112.5</v>
      </c>
      <c r="R323" s="21"/>
      <c r="S323" s="21">
        <f t="array" ref="S323">IF(ROW(S323)&lt;=COUNTA(N:N)*2,IF(MOD(ROW(S323),2)=1,INDEX(N:N,(ROW(S323)+1)/2),INDEX(P:P,ROW(S323)/2)),"")</f>
        <v>-345.15</v>
      </c>
      <c r="T323" s="21">
        <f t="array" ref="T323">IF(ROW(T323)&lt;=COUNTA(O:O)*2,IF(MOD(ROW(T323),2)=1,INDEX(O:O,(ROW(T323)+1)/2),INDEX(Q:Q,ROW(T323)/2)),"")</f>
        <v>120.9</v>
      </c>
      <c r="V323" s="22">
        <f t="shared" si="59"/>
        <v>0</v>
      </c>
      <c r="W323" s="22">
        <f t="shared" ref="W323:W370" si="62">(49+(D323)*4/4)*2.5</f>
        <v>122.5</v>
      </c>
      <c r="X323" s="22">
        <f t="shared" ref="X323:X370" si="63">0-A323</f>
        <v>0</v>
      </c>
      <c r="Y323" s="22">
        <f t="shared" ref="Y323:Y370" si="64">(49+(D323)*4/4)*2.5</f>
        <v>122.5</v>
      </c>
      <c r="Z323" s="22"/>
      <c r="AA323" s="22">
        <f t="array" ref="AA323">IF(ROW(AA323)&lt;=COUNTA(V:V)*2,IF(MOD(ROW(AA323),2)=1,INDEX(V:V,(ROW(AA323)+1)/2),INDEX(X:X,ROW(AA323)/2)),"")</f>
        <v>-345.15</v>
      </c>
      <c r="AB323" s="22">
        <f t="array" ref="AB323">IF(ROW(AB323)&lt;=COUNTA(W:W)*2,IF(MOD(ROW(AB323),2)=1,INDEX(W:W,(ROW(AB323)+1)/2),INDEX(Y:Y,ROW(AB323)/2)),"")</f>
        <v>125.319575</v>
      </c>
    </row>
    <row r="324" spans="1:28" s="2" customFormat="1" x14ac:dyDescent="0.25">
      <c r="A324" s="19"/>
      <c r="B324" s="20"/>
      <c r="C324" s="21"/>
      <c r="D324" s="22"/>
      <c r="F324" s="34">
        <f t="shared" ref="F324:F371" si="65">0-A323</f>
        <v>0</v>
      </c>
      <c r="G324" s="34">
        <f t="shared" ref="G324:G371" si="66">(41+(B324/100)*4)*2.5</f>
        <v>102.5</v>
      </c>
      <c r="H324" s="34">
        <f t="shared" si="60"/>
        <v>0</v>
      </c>
      <c r="I324" s="34">
        <f t="shared" ref="I324:I371" si="67">(41+(B324/100)*4)*2.5</f>
        <v>102.5</v>
      </c>
      <c r="J324" s="20"/>
      <c r="K324" s="34">
        <f t="array" ref="K324">IF(ROW(K324)&lt;=COUNTA(F:F)*2,IF(MOD(ROW(K324),2)=1,INDEX(F:F,(ROW(K324)+1)/2),INDEX(H:H,ROW(K324)/2)),"")</f>
        <v>-348.15</v>
      </c>
      <c r="L324" s="34">
        <f t="array" ref="L324">IF(ROW(L324)&lt;=COUNTA(G:G)*2,IF(MOD(ROW(L324),2)=1,INDEX(G:G,(ROW(L324)+1)/2),INDEX(I:I,ROW(L324)/2)),"")</f>
        <v>112.4</v>
      </c>
      <c r="N324" s="21">
        <f t="shared" ref="N324:N371" si="68">0-A323</f>
        <v>0</v>
      </c>
      <c r="O324" s="21">
        <f t="shared" ref="O324:O371" si="69">(45+(C324/100)*4)*2.5</f>
        <v>112.5</v>
      </c>
      <c r="P324" s="21">
        <f t="shared" si="61"/>
        <v>0</v>
      </c>
      <c r="Q324" s="21">
        <f t="shared" ref="Q324:Q371" si="70">(45+(C324/100)*4)*2.5</f>
        <v>112.5</v>
      </c>
      <c r="R324" s="21"/>
      <c r="S324" s="21">
        <f t="array" ref="S324">IF(ROW(S324)&lt;=COUNTA(N:N)*2,IF(MOD(ROW(S324),2)=1,INDEX(N:N,(ROW(S324)+1)/2),INDEX(P:P,ROW(S324)/2)),"")</f>
        <v>-348.15</v>
      </c>
      <c r="T324" s="21">
        <f t="array" ref="T324">IF(ROW(T324)&lt;=COUNTA(O:O)*2,IF(MOD(ROW(T324),2)=1,INDEX(O:O,(ROW(T324)+1)/2),INDEX(Q:Q,ROW(T324)/2)),"")</f>
        <v>120.9</v>
      </c>
      <c r="V324" s="22">
        <f t="shared" ref="V324:V370" si="71">0-A323</f>
        <v>0</v>
      </c>
      <c r="W324" s="22">
        <f t="shared" si="62"/>
        <v>122.5</v>
      </c>
      <c r="X324" s="22">
        <f t="shared" si="63"/>
        <v>0</v>
      </c>
      <c r="Y324" s="22">
        <f t="shared" si="64"/>
        <v>122.5</v>
      </c>
      <c r="Z324" s="22"/>
      <c r="AA324" s="22">
        <f t="array" ref="AA324">IF(ROW(AA324)&lt;=COUNTA(V:V)*2,IF(MOD(ROW(AA324),2)=1,INDEX(V:V,(ROW(AA324)+1)/2),INDEX(X:X,ROW(AA324)/2)),"")</f>
        <v>-348.15</v>
      </c>
      <c r="AB324" s="22">
        <f t="array" ref="AB324">IF(ROW(AB324)&lt;=COUNTA(W:W)*2,IF(MOD(ROW(AB324),2)=1,INDEX(W:W,(ROW(AB324)+1)/2),INDEX(Y:Y,ROW(AB324)/2)),"")</f>
        <v>125.319575</v>
      </c>
    </row>
    <row r="325" spans="1:28" s="2" customFormat="1" x14ac:dyDescent="0.25">
      <c r="A325" s="19"/>
      <c r="B325" s="20"/>
      <c r="C325" s="21"/>
      <c r="D325" s="22"/>
      <c r="F325" s="34">
        <f t="shared" si="65"/>
        <v>0</v>
      </c>
      <c r="G325" s="34">
        <f t="shared" si="66"/>
        <v>102.5</v>
      </c>
      <c r="H325" s="34">
        <f t="shared" si="60"/>
        <v>0</v>
      </c>
      <c r="I325" s="34">
        <f t="shared" si="67"/>
        <v>102.5</v>
      </c>
      <c r="J325" s="20"/>
      <c r="K325" s="34">
        <f t="array" ref="K325">IF(ROW(K325)&lt;=COUNTA(F:F)*2,IF(MOD(ROW(K325),2)=1,INDEX(F:F,(ROW(K325)+1)/2),INDEX(H:H,ROW(K325)/2)),"")</f>
        <v>-348.15</v>
      </c>
      <c r="L325" s="34">
        <f t="array" ref="L325">IF(ROW(L325)&lt;=COUNTA(G:G)*2,IF(MOD(ROW(L325),2)=1,INDEX(G:G,(ROW(L325)+1)/2),INDEX(I:I,ROW(L325)/2)),"")</f>
        <v>112.5</v>
      </c>
      <c r="N325" s="21">
        <f t="shared" si="68"/>
        <v>0</v>
      </c>
      <c r="O325" s="21">
        <f t="shared" si="69"/>
        <v>112.5</v>
      </c>
      <c r="P325" s="21">
        <f t="shared" si="61"/>
        <v>0</v>
      </c>
      <c r="Q325" s="21">
        <f t="shared" si="70"/>
        <v>112.5</v>
      </c>
      <c r="R325" s="21"/>
      <c r="S325" s="21">
        <f t="array" ref="S325">IF(ROW(S325)&lt;=COUNTA(N:N)*2,IF(MOD(ROW(S325),2)=1,INDEX(N:N,(ROW(S325)+1)/2),INDEX(P:P,ROW(S325)/2)),"")</f>
        <v>-348.15</v>
      </c>
      <c r="T325" s="21">
        <f t="array" ref="T325">IF(ROW(T325)&lt;=COUNTA(O:O)*2,IF(MOD(ROW(T325),2)=1,INDEX(O:O,(ROW(T325)+1)/2),INDEX(Q:Q,ROW(T325)/2)),"")</f>
        <v>121.1</v>
      </c>
      <c r="V325" s="22">
        <f t="shared" si="71"/>
        <v>0</v>
      </c>
      <c r="W325" s="22">
        <f t="shared" si="62"/>
        <v>122.5</v>
      </c>
      <c r="X325" s="22">
        <f t="shared" si="63"/>
        <v>0</v>
      </c>
      <c r="Y325" s="22">
        <f t="shared" si="64"/>
        <v>122.5</v>
      </c>
      <c r="Z325" s="22"/>
      <c r="AA325" s="22">
        <f t="array" ref="AA325">IF(ROW(AA325)&lt;=COUNTA(V:V)*2,IF(MOD(ROW(AA325),2)=1,INDEX(V:V,(ROW(AA325)+1)/2),INDEX(X:X,ROW(AA325)/2)),"")</f>
        <v>-348.15</v>
      </c>
      <c r="AB325" s="22">
        <f t="array" ref="AB325">IF(ROW(AB325)&lt;=COUNTA(W:W)*2,IF(MOD(ROW(AB325),2)=1,INDEX(W:W,(ROW(AB325)+1)/2),INDEX(Y:Y,ROW(AB325)/2)),"")</f>
        <v>125.31955</v>
      </c>
    </row>
    <row r="326" spans="1:28" s="2" customFormat="1" x14ac:dyDescent="0.25">
      <c r="A326" s="19"/>
      <c r="B326" s="20"/>
      <c r="C326" s="21"/>
      <c r="D326" s="22"/>
      <c r="F326" s="34">
        <f t="shared" si="65"/>
        <v>0</v>
      </c>
      <c r="G326" s="34">
        <f t="shared" si="66"/>
        <v>102.5</v>
      </c>
      <c r="H326" s="34">
        <f t="shared" si="60"/>
        <v>0</v>
      </c>
      <c r="I326" s="34">
        <f t="shared" si="67"/>
        <v>102.5</v>
      </c>
      <c r="J326" s="20"/>
      <c r="K326" s="34">
        <f t="array" ref="K326">IF(ROW(K326)&lt;=COUNTA(F:F)*2,IF(MOD(ROW(K326),2)=1,INDEX(F:F,(ROW(K326)+1)/2),INDEX(H:H,ROW(K326)/2)),"")</f>
        <v>-351.15</v>
      </c>
      <c r="L326" s="34">
        <f t="array" ref="L326">IF(ROW(L326)&lt;=COUNTA(G:G)*2,IF(MOD(ROW(L326),2)=1,INDEX(G:G,(ROW(L326)+1)/2),INDEX(I:I,ROW(L326)/2)),"")</f>
        <v>112.5</v>
      </c>
      <c r="N326" s="21">
        <f t="shared" si="68"/>
        <v>0</v>
      </c>
      <c r="O326" s="21">
        <f t="shared" si="69"/>
        <v>112.5</v>
      </c>
      <c r="P326" s="21">
        <f t="shared" si="61"/>
        <v>0</v>
      </c>
      <c r="Q326" s="21">
        <f t="shared" si="70"/>
        <v>112.5</v>
      </c>
      <c r="R326" s="21"/>
      <c r="S326" s="21">
        <f t="array" ref="S326">IF(ROW(S326)&lt;=COUNTA(N:N)*2,IF(MOD(ROW(S326),2)=1,INDEX(N:N,(ROW(S326)+1)/2),INDEX(P:P,ROW(S326)/2)),"")</f>
        <v>-351.15</v>
      </c>
      <c r="T326" s="21">
        <f t="array" ref="T326">IF(ROW(T326)&lt;=COUNTA(O:O)*2,IF(MOD(ROW(T326),2)=1,INDEX(O:O,(ROW(T326)+1)/2),INDEX(Q:Q,ROW(T326)/2)),"")</f>
        <v>121.1</v>
      </c>
      <c r="V326" s="22">
        <f t="shared" si="71"/>
        <v>0</v>
      </c>
      <c r="W326" s="22">
        <f t="shared" si="62"/>
        <v>122.5</v>
      </c>
      <c r="X326" s="22">
        <f t="shared" si="63"/>
        <v>0</v>
      </c>
      <c r="Y326" s="22">
        <f t="shared" si="64"/>
        <v>122.5</v>
      </c>
      <c r="Z326" s="22"/>
      <c r="AA326" s="22">
        <f t="array" ref="AA326">IF(ROW(AA326)&lt;=COUNTA(V:V)*2,IF(MOD(ROW(AA326),2)=1,INDEX(V:V,(ROW(AA326)+1)/2),INDEX(X:X,ROW(AA326)/2)),"")</f>
        <v>-351.15</v>
      </c>
      <c r="AB326" s="22">
        <f t="array" ref="AB326">IF(ROW(AB326)&lt;=COUNTA(W:W)*2,IF(MOD(ROW(AB326),2)=1,INDEX(W:W,(ROW(AB326)+1)/2),INDEX(Y:Y,ROW(AB326)/2)),"")</f>
        <v>125.31955</v>
      </c>
    </row>
    <row r="327" spans="1:28" s="2" customFormat="1" x14ac:dyDescent="0.25">
      <c r="A327" s="19"/>
      <c r="B327" s="20"/>
      <c r="C327" s="21"/>
      <c r="D327" s="22"/>
      <c r="F327" s="34">
        <f t="shared" si="65"/>
        <v>0</v>
      </c>
      <c r="G327" s="34">
        <f t="shared" si="66"/>
        <v>102.5</v>
      </c>
      <c r="H327" s="34">
        <f t="shared" si="60"/>
        <v>0</v>
      </c>
      <c r="I327" s="34">
        <f t="shared" si="67"/>
        <v>102.5</v>
      </c>
      <c r="J327" s="20"/>
      <c r="K327" s="34">
        <f t="array" ref="K327">IF(ROW(K327)&lt;=COUNTA(F:F)*2,IF(MOD(ROW(K327),2)=1,INDEX(F:F,(ROW(K327)+1)/2),INDEX(H:H,ROW(K327)/2)),"")</f>
        <v>-351.15</v>
      </c>
      <c r="L327" s="34">
        <f t="array" ref="L327">IF(ROW(L327)&lt;=COUNTA(G:G)*2,IF(MOD(ROW(L327),2)=1,INDEX(G:G,(ROW(L327)+1)/2),INDEX(I:I,ROW(L327)/2)),"")</f>
        <v>112.4</v>
      </c>
      <c r="N327" s="21">
        <f t="shared" si="68"/>
        <v>0</v>
      </c>
      <c r="O327" s="21">
        <f t="shared" si="69"/>
        <v>112.5</v>
      </c>
      <c r="P327" s="21">
        <f t="shared" si="61"/>
        <v>0</v>
      </c>
      <c r="Q327" s="21">
        <f t="shared" si="70"/>
        <v>112.5</v>
      </c>
      <c r="R327" s="21"/>
      <c r="S327" s="21">
        <f t="array" ref="S327">IF(ROW(S327)&lt;=COUNTA(N:N)*2,IF(MOD(ROW(S327),2)=1,INDEX(N:N,(ROW(S327)+1)/2),INDEX(P:P,ROW(S327)/2)),"")</f>
        <v>-351.15</v>
      </c>
      <c r="T327" s="21">
        <f t="array" ref="T327">IF(ROW(T327)&lt;=COUNTA(O:O)*2,IF(MOD(ROW(T327),2)=1,INDEX(O:O,(ROW(T327)+1)/2),INDEX(Q:Q,ROW(T327)/2)),"")</f>
        <v>121.6</v>
      </c>
      <c r="V327" s="22">
        <f t="shared" si="71"/>
        <v>0</v>
      </c>
      <c r="W327" s="22">
        <f t="shared" si="62"/>
        <v>122.5</v>
      </c>
      <c r="X327" s="22">
        <f t="shared" si="63"/>
        <v>0</v>
      </c>
      <c r="Y327" s="22">
        <f t="shared" si="64"/>
        <v>122.5</v>
      </c>
      <c r="Z327" s="22"/>
      <c r="AA327" s="22">
        <f t="array" ref="AA327">IF(ROW(AA327)&lt;=COUNTA(V:V)*2,IF(MOD(ROW(AA327),2)=1,INDEX(V:V,(ROW(AA327)+1)/2),INDEX(X:X,ROW(AA327)/2)),"")</f>
        <v>-351.15</v>
      </c>
      <c r="AB327" s="22">
        <f t="array" ref="AB327">IF(ROW(AB327)&lt;=COUNTA(W:W)*2,IF(MOD(ROW(AB327),2)=1,INDEX(W:W,(ROW(AB327)+1)/2),INDEX(Y:Y,ROW(AB327)/2)),"")</f>
        <v>125.31955</v>
      </c>
    </row>
    <row r="328" spans="1:28" s="2" customFormat="1" x14ac:dyDescent="0.25">
      <c r="A328" s="19"/>
      <c r="B328" s="20"/>
      <c r="C328" s="21"/>
      <c r="D328" s="22"/>
      <c r="F328" s="34">
        <f t="shared" si="65"/>
        <v>0</v>
      </c>
      <c r="G328" s="34">
        <f t="shared" si="66"/>
        <v>102.5</v>
      </c>
      <c r="H328" s="34">
        <f t="shared" si="60"/>
        <v>0</v>
      </c>
      <c r="I328" s="34">
        <f t="shared" si="67"/>
        <v>102.5</v>
      </c>
      <c r="J328" s="20"/>
      <c r="K328" s="34">
        <f t="array" ref="K328">IF(ROW(K328)&lt;=COUNTA(F:F)*2,IF(MOD(ROW(K328),2)=1,INDEX(F:F,(ROW(K328)+1)/2),INDEX(H:H,ROW(K328)/2)),"")</f>
        <v>-354.15</v>
      </c>
      <c r="L328" s="34">
        <f t="array" ref="L328">IF(ROW(L328)&lt;=COUNTA(G:G)*2,IF(MOD(ROW(L328),2)=1,INDEX(G:G,(ROW(L328)+1)/2),INDEX(I:I,ROW(L328)/2)),"")</f>
        <v>112.4</v>
      </c>
      <c r="N328" s="21">
        <f t="shared" si="68"/>
        <v>0</v>
      </c>
      <c r="O328" s="21">
        <f t="shared" si="69"/>
        <v>112.5</v>
      </c>
      <c r="P328" s="21">
        <f t="shared" si="61"/>
        <v>0</v>
      </c>
      <c r="Q328" s="21">
        <f t="shared" si="70"/>
        <v>112.5</v>
      </c>
      <c r="R328" s="21"/>
      <c r="S328" s="21">
        <f t="array" ref="S328">IF(ROW(S328)&lt;=COUNTA(N:N)*2,IF(MOD(ROW(S328),2)=1,INDEX(N:N,(ROW(S328)+1)/2),INDEX(P:P,ROW(S328)/2)),"")</f>
        <v>-354.15</v>
      </c>
      <c r="T328" s="21">
        <f t="array" ref="T328">IF(ROW(T328)&lt;=COUNTA(O:O)*2,IF(MOD(ROW(T328),2)=1,INDEX(O:O,(ROW(T328)+1)/2),INDEX(Q:Q,ROW(T328)/2)),"")</f>
        <v>121.6</v>
      </c>
      <c r="V328" s="22">
        <f t="shared" si="71"/>
        <v>0</v>
      </c>
      <c r="W328" s="22">
        <f t="shared" si="62"/>
        <v>122.5</v>
      </c>
      <c r="X328" s="22">
        <f t="shared" si="63"/>
        <v>0</v>
      </c>
      <c r="Y328" s="22">
        <f t="shared" si="64"/>
        <v>122.5</v>
      </c>
      <c r="Z328" s="22"/>
      <c r="AA328" s="22">
        <f t="array" ref="AA328">IF(ROW(AA328)&lt;=COUNTA(V:V)*2,IF(MOD(ROW(AA328),2)=1,INDEX(V:V,(ROW(AA328)+1)/2),INDEX(X:X,ROW(AA328)/2)),"")</f>
        <v>-354.15</v>
      </c>
      <c r="AB328" s="22">
        <f t="array" ref="AB328">IF(ROW(AB328)&lt;=COUNTA(W:W)*2,IF(MOD(ROW(AB328),2)=1,INDEX(W:W,(ROW(AB328)+1)/2),INDEX(Y:Y,ROW(AB328)/2)),"")</f>
        <v>125.31955</v>
      </c>
    </row>
    <row r="329" spans="1:28" s="2" customFormat="1" x14ac:dyDescent="0.25">
      <c r="A329" s="19"/>
      <c r="B329" s="20"/>
      <c r="C329" s="21"/>
      <c r="D329" s="22"/>
      <c r="F329" s="34">
        <f t="shared" si="65"/>
        <v>0</v>
      </c>
      <c r="G329" s="34">
        <f t="shared" si="66"/>
        <v>102.5</v>
      </c>
      <c r="H329" s="34">
        <f t="shared" si="60"/>
        <v>0</v>
      </c>
      <c r="I329" s="34">
        <f t="shared" si="67"/>
        <v>102.5</v>
      </c>
      <c r="J329" s="20"/>
      <c r="K329" s="34">
        <f t="array" ref="K329">IF(ROW(K329)&lt;=COUNTA(F:F)*2,IF(MOD(ROW(K329),2)=1,INDEX(F:F,(ROW(K329)+1)/2),INDEX(H:H,ROW(K329)/2)),"")</f>
        <v>-354.15</v>
      </c>
      <c r="L329" s="34">
        <f t="array" ref="L329">IF(ROW(L329)&lt;=COUNTA(G:G)*2,IF(MOD(ROW(L329),2)=1,INDEX(G:G,(ROW(L329)+1)/2),INDEX(I:I,ROW(L329)/2)),"")</f>
        <v>112.5</v>
      </c>
      <c r="N329" s="21">
        <f t="shared" si="68"/>
        <v>0</v>
      </c>
      <c r="O329" s="21">
        <f t="shared" si="69"/>
        <v>112.5</v>
      </c>
      <c r="P329" s="21">
        <f t="shared" si="61"/>
        <v>0</v>
      </c>
      <c r="Q329" s="21">
        <f t="shared" si="70"/>
        <v>112.5</v>
      </c>
      <c r="R329" s="21"/>
      <c r="S329" s="21">
        <f t="array" ref="S329">IF(ROW(S329)&lt;=COUNTA(N:N)*2,IF(MOD(ROW(S329),2)=1,INDEX(N:N,(ROW(S329)+1)/2),INDEX(P:P,ROW(S329)/2)),"")</f>
        <v>-354.15</v>
      </c>
      <c r="T329" s="21">
        <f t="array" ref="T329">IF(ROW(T329)&lt;=COUNTA(O:O)*2,IF(MOD(ROW(T329),2)=1,INDEX(O:O,(ROW(T329)+1)/2),INDEX(Q:Q,ROW(T329)/2)),"")</f>
        <v>118.6</v>
      </c>
      <c r="V329" s="22">
        <f t="shared" si="71"/>
        <v>0</v>
      </c>
      <c r="W329" s="22">
        <f t="shared" si="62"/>
        <v>122.5</v>
      </c>
      <c r="X329" s="22">
        <f t="shared" si="63"/>
        <v>0</v>
      </c>
      <c r="Y329" s="22">
        <f t="shared" si="64"/>
        <v>122.5</v>
      </c>
      <c r="Z329" s="22"/>
      <c r="AA329" s="22">
        <f t="array" ref="AA329">IF(ROW(AA329)&lt;=COUNTA(V:V)*2,IF(MOD(ROW(AA329),2)=1,INDEX(V:V,(ROW(AA329)+1)/2),INDEX(X:X,ROW(AA329)/2)),"")</f>
        <v>-354.15</v>
      </c>
      <c r="AB329" s="22">
        <f t="array" ref="AB329">IF(ROW(AB329)&lt;=COUNTA(W:W)*2,IF(MOD(ROW(AB329),2)=1,INDEX(W:W,(ROW(AB329)+1)/2),INDEX(Y:Y,ROW(AB329)/2)),"")</f>
        <v>125.3227</v>
      </c>
    </row>
    <row r="330" spans="1:28" s="2" customFormat="1" x14ac:dyDescent="0.25">
      <c r="A330" s="19"/>
      <c r="B330" s="20"/>
      <c r="C330" s="21"/>
      <c r="D330" s="22"/>
      <c r="F330" s="34">
        <f t="shared" si="65"/>
        <v>0</v>
      </c>
      <c r="G330" s="34">
        <f t="shared" si="66"/>
        <v>102.5</v>
      </c>
      <c r="H330" s="34">
        <f t="shared" si="60"/>
        <v>0</v>
      </c>
      <c r="I330" s="34">
        <f t="shared" si="67"/>
        <v>102.5</v>
      </c>
      <c r="J330" s="20"/>
      <c r="K330" s="34">
        <f t="array" ref="K330">IF(ROW(K330)&lt;=COUNTA(F:F)*2,IF(MOD(ROW(K330),2)=1,INDEX(F:F,(ROW(K330)+1)/2),INDEX(H:H,ROW(K330)/2)),"")</f>
        <v>-357.15</v>
      </c>
      <c r="L330" s="34">
        <f t="array" ref="L330">IF(ROW(L330)&lt;=COUNTA(G:G)*2,IF(MOD(ROW(L330),2)=1,INDEX(G:G,(ROW(L330)+1)/2),INDEX(I:I,ROW(L330)/2)),"")</f>
        <v>112.5</v>
      </c>
      <c r="N330" s="21">
        <f t="shared" si="68"/>
        <v>0</v>
      </c>
      <c r="O330" s="21">
        <f t="shared" si="69"/>
        <v>112.5</v>
      </c>
      <c r="P330" s="21">
        <f t="shared" si="61"/>
        <v>0</v>
      </c>
      <c r="Q330" s="21">
        <f t="shared" si="70"/>
        <v>112.5</v>
      </c>
      <c r="R330" s="21"/>
      <c r="S330" s="21">
        <f t="array" ref="S330">IF(ROW(S330)&lt;=COUNTA(N:N)*2,IF(MOD(ROW(S330),2)=1,INDEX(N:N,(ROW(S330)+1)/2),INDEX(P:P,ROW(S330)/2)),"")</f>
        <v>-357.15</v>
      </c>
      <c r="T330" s="21">
        <f t="array" ref="T330">IF(ROW(T330)&lt;=COUNTA(O:O)*2,IF(MOD(ROW(T330),2)=1,INDEX(O:O,(ROW(T330)+1)/2),INDEX(Q:Q,ROW(T330)/2)),"")</f>
        <v>118.6</v>
      </c>
      <c r="V330" s="22">
        <f t="shared" si="71"/>
        <v>0</v>
      </c>
      <c r="W330" s="22">
        <f t="shared" si="62"/>
        <v>122.5</v>
      </c>
      <c r="X330" s="22">
        <f t="shared" si="63"/>
        <v>0</v>
      </c>
      <c r="Y330" s="22">
        <f t="shared" si="64"/>
        <v>122.5</v>
      </c>
      <c r="Z330" s="22"/>
      <c r="AA330" s="22">
        <f t="array" ref="AA330">IF(ROW(AA330)&lt;=COUNTA(V:V)*2,IF(MOD(ROW(AA330),2)=1,INDEX(V:V,(ROW(AA330)+1)/2),INDEX(X:X,ROW(AA330)/2)),"")</f>
        <v>-357.15</v>
      </c>
      <c r="AB330" s="22">
        <f t="array" ref="AB330">IF(ROW(AB330)&lt;=COUNTA(W:W)*2,IF(MOD(ROW(AB330),2)=1,INDEX(W:W,(ROW(AB330)+1)/2),INDEX(Y:Y,ROW(AB330)/2)),"")</f>
        <v>125.3227</v>
      </c>
    </row>
    <row r="331" spans="1:28" s="2" customFormat="1" x14ac:dyDescent="0.25">
      <c r="A331" s="19"/>
      <c r="B331" s="20"/>
      <c r="C331" s="21"/>
      <c r="D331" s="22"/>
      <c r="F331" s="34">
        <f t="shared" si="65"/>
        <v>0</v>
      </c>
      <c r="G331" s="34">
        <f t="shared" si="66"/>
        <v>102.5</v>
      </c>
      <c r="H331" s="34">
        <f t="shared" si="60"/>
        <v>0</v>
      </c>
      <c r="I331" s="34">
        <f t="shared" si="67"/>
        <v>102.5</v>
      </c>
      <c r="J331" s="20"/>
      <c r="K331" s="34">
        <f t="array" ref="K331">IF(ROW(K331)&lt;=COUNTA(F:F)*2,IF(MOD(ROW(K331),2)=1,INDEX(F:F,(ROW(K331)+1)/2),INDEX(H:H,ROW(K331)/2)),"")</f>
        <v>-357.15</v>
      </c>
      <c r="L331" s="34">
        <f t="array" ref="L331">IF(ROW(L331)&lt;=COUNTA(G:G)*2,IF(MOD(ROW(L331),2)=1,INDEX(G:G,(ROW(L331)+1)/2),INDEX(I:I,ROW(L331)/2)),"")</f>
        <v>112.5</v>
      </c>
      <c r="N331" s="21">
        <f t="shared" si="68"/>
        <v>0</v>
      </c>
      <c r="O331" s="21">
        <f t="shared" si="69"/>
        <v>112.5</v>
      </c>
      <c r="P331" s="21">
        <f t="shared" si="61"/>
        <v>0</v>
      </c>
      <c r="Q331" s="21">
        <f t="shared" si="70"/>
        <v>112.5</v>
      </c>
      <c r="R331" s="21"/>
      <c r="S331" s="21">
        <f t="array" ref="S331">IF(ROW(S331)&lt;=COUNTA(N:N)*2,IF(MOD(ROW(S331),2)=1,INDEX(N:N,(ROW(S331)+1)/2),INDEX(P:P,ROW(S331)/2)),"")</f>
        <v>-357.15</v>
      </c>
      <c r="T331" s="21">
        <f t="array" ref="T331">IF(ROW(T331)&lt;=COUNTA(O:O)*2,IF(MOD(ROW(T331),2)=1,INDEX(O:O,(ROW(T331)+1)/2),INDEX(Q:Q,ROW(T331)/2)),"")</f>
        <v>120.6</v>
      </c>
      <c r="V331" s="22">
        <f t="shared" si="71"/>
        <v>0</v>
      </c>
      <c r="W331" s="22">
        <f t="shared" si="62"/>
        <v>122.5</v>
      </c>
      <c r="X331" s="22">
        <f t="shared" si="63"/>
        <v>0</v>
      </c>
      <c r="Y331" s="22">
        <f t="shared" si="64"/>
        <v>122.5</v>
      </c>
      <c r="Z331" s="22"/>
      <c r="AA331" s="22">
        <f t="array" ref="AA331">IF(ROW(AA331)&lt;=COUNTA(V:V)*2,IF(MOD(ROW(AA331),2)=1,INDEX(V:V,(ROW(AA331)+1)/2),INDEX(X:X,ROW(AA331)/2)),"")</f>
        <v>-357.15</v>
      </c>
      <c r="AB331" s="22">
        <f t="array" ref="AB331">IF(ROW(AB331)&lt;=COUNTA(W:W)*2,IF(MOD(ROW(AB331),2)=1,INDEX(W:W,(ROW(AB331)+1)/2),INDEX(Y:Y,ROW(AB331)/2)),"")</f>
        <v>125.3227</v>
      </c>
    </row>
    <row r="332" spans="1:28" s="2" customFormat="1" x14ac:dyDescent="0.25">
      <c r="A332" s="19"/>
      <c r="B332" s="20"/>
      <c r="C332" s="21"/>
      <c r="D332" s="22"/>
      <c r="F332" s="34">
        <f t="shared" si="65"/>
        <v>0</v>
      </c>
      <c r="G332" s="34">
        <f t="shared" si="66"/>
        <v>102.5</v>
      </c>
      <c r="H332" s="34">
        <f t="shared" si="60"/>
        <v>0</v>
      </c>
      <c r="I332" s="34">
        <f t="shared" si="67"/>
        <v>102.5</v>
      </c>
      <c r="J332" s="20"/>
      <c r="K332" s="34">
        <f t="array" ref="K332">IF(ROW(K332)&lt;=COUNTA(F:F)*2,IF(MOD(ROW(K332),2)=1,INDEX(F:F,(ROW(K332)+1)/2),INDEX(H:H,ROW(K332)/2)),"")</f>
        <v>-360.15</v>
      </c>
      <c r="L332" s="34">
        <f t="array" ref="L332">IF(ROW(L332)&lt;=COUNTA(G:G)*2,IF(MOD(ROW(L332),2)=1,INDEX(G:G,(ROW(L332)+1)/2),INDEX(I:I,ROW(L332)/2)),"")</f>
        <v>112.5</v>
      </c>
      <c r="N332" s="21">
        <f t="shared" si="68"/>
        <v>0</v>
      </c>
      <c r="O332" s="21">
        <f t="shared" si="69"/>
        <v>112.5</v>
      </c>
      <c r="P332" s="21">
        <f t="shared" si="61"/>
        <v>0</v>
      </c>
      <c r="Q332" s="21">
        <f t="shared" si="70"/>
        <v>112.5</v>
      </c>
      <c r="R332" s="21"/>
      <c r="S332" s="21">
        <f t="array" ref="S332">IF(ROW(S332)&lt;=COUNTA(N:N)*2,IF(MOD(ROW(S332),2)=1,INDEX(N:N,(ROW(S332)+1)/2),INDEX(P:P,ROW(S332)/2)),"")</f>
        <v>-360.15</v>
      </c>
      <c r="T332" s="21">
        <f t="array" ref="T332">IF(ROW(T332)&lt;=COUNTA(O:O)*2,IF(MOD(ROW(T332),2)=1,INDEX(O:O,(ROW(T332)+1)/2),INDEX(Q:Q,ROW(T332)/2)),"")</f>
        <v>120.6</v>
      </c>
      <c r="V332" s="22">
        <f t="shared" si="71"/>
        <v>0</v>
      </c>
      <c r="W332" s="22">
        <f t="shared" si="62"/>
        <v>122.5</v>
      </c>
      <c r="X332" s="22">
        <f t="shared" si="63"/>
        <v>0</v>
      </c>
      <c r="Y332" s="22">
        <f t="shared" si="64"/>
        <v>122.5</v>
      </c>
      <c r="Z332" s="22"/>
      <c r="AA332" s="22">
        <f t="array" ref="AA332">IF(ROW(AA332)&lt;=COUNTA(V:V)*2,IF(MOD(ROW(AA332),2)=1,INDEX(V:V,(ROW(AA332)+1)/2),INDEX(X:X,ROW(AA332)/2)),"")</f>
        <v>-360.15</v>
      </c>
      <c r="AB332" s="22">
        <f t="array" ref="AB332">IF(ROW(AB332)&lt;=COUNTA(W:W)*2,IF(MOD(ROW(AB332),2)=1,INDEX(W:W,(ROW(AB332)+1)/2),INDEX(Y:Y,ROW(AB332)/2)),"")</f>
        <v>125.3227</v>
      </c>
    </row>
    <row r="333" spans="1:28" s="2" customFormat="1" x14ac:dyDescent="0.25">
      <c r="A333" s="19"/>
      <c r="B333" s="20"/>
      <c r="C333" s="21"/>
      <c r="D333" s="22"/>
      <c r="F333" s="34">
        <f t="shared" si="65"/>
        <v>0</v>
      </c>
      <c r="G333" s="34">
        <f t="shared" si="66"/>
        <v>102.5</v>
      </c>
      <c r="H333" s="34">
        <f t="shared" si="60"/>
        <v>0</v>
      </c>
      <c r="I333" s="34">
        <f t="shared" si="67"/>
        <v>102.5</v>
      </c>
      <c r="J333" s="20"/>
      <c r="K333" s="34">
        <f t="array" ref="K333">IF(ROW(K333)&lt;=COUNTA(F:F)*2,IF(MOD(ROW(K333),2)=1,INDEX(F:F,(ROW(K333)+1)/2),INDEX(H:H,ROW(K333)/2)),"")</f>
        <v>-360.15</v>
      </c>
      <c r="L333" s="34">
        <f t="array" ref="L333">IF(ROW(L333)&lt;=COUNTA(G:G)*2,IF(MOD(ROW(L333),2)=1,INDEX(G:G,(ROW(L333)+1)/2),INDEX(I:I,ROW(L333)/2)),"")</f>
        <v>112.5</v>
      </c>
      <c r="N333" s="21">
        <f t="shared" si="68"/>
        <v>0</v>
      </c>
      <c r="O333" s="21">
        <f t="shared" si="69"/>
        <v>112.5</v>
      </c>
      <c r="P333" s="21">
        <f t="shared" si="61"/>
        <v>0</v>
      </c>
      <c r="Q333" s="21">
        <f t="shared" si="70"/>
        <v>112.5</v>
      </c>
      <c r="R333" s="21"/>
      <c r="S333" s="21">
        <f t="array" ref="S333">IF(ROW(S333)&lt;=COUNTA(N:N)*2,IF(MOD(ROW(S333),2)=1,INDEX(N:N,(ROW(S333)+1)/2),INDEX(P:P,ROW(S333)/2)),"")</f>
        <v>-360.15</v>
      </c>
      <c r="T333" s="21">
        <f t="array" ref="T333">IF(ROW(T333)&lt;=COUNTA(O:O)*2,IF(MOD(ROW(T333),2)=1,INDEX(O:O,(ROW(T333)+1)/2),INDEX(Q:Q,ROW(T333)/2)),"")</f>
        <v>116.7</v>
      </c>
      <c r="V333" s="22">
        <f t="shared" si="71"/>
        <v>0</v>
      </c>
      <c r="W333" s="22">
        <f t="shared" si="62"/>
        <v>122.5</v>
      </c>
      <c r="X333" s="22">
        <f t="shared" si="63"/>
        <v>0</v>
      </c>
      <c r="Y333" s="22">
        <f t="shared" si="64"/>
        <v>122.5</v>
      </c>
      <c r="Z333" s="22"/>
      <c r="AA333" s="22">
        <f t="array" ref="AA333">IF(ROW(AA333)&lt;=COUNTA(V:V)*2,IF(MOD(ROW(AA333),2)=1,INDEX(V:V,(ROW(AA333)+1)/2),INDEX(X:X,ROW(AA333)/2)),"")</f>
        <v>-360.15</v>
      </c>
      <c r="AB333" s="22">
        <f t="array" ref="AB333">IF(ROW(AB333)&lt;=COUNTA(W:W)*2,IF(MOD(ROW(AB333),2)=1,INDEX(W:W,(ROW(AB333)+1)/2),INDEX(Y:Y,ROW(AB333)/2)),"")</f>
        <v>125.319575</v>
      </c>
    </row>
    <row r="334" spans="1:28" s="2" customFormat="1" x14ac:dyDescent="0.25">
      <c r="A334" s="19"/>
      <c r="B334" s="20"/>
      <c r="C334" s="21"/>
      <c r="D334" s="22"/>
      <c r="F334" s="34">
        <f t="shared" si="65"/>
        <v>0</v>
      </c>
      <c r="G334" s="34">
        <f t="shared" si="66"/>
        <v>102.5</v>
      </c>
      <c r="H334" s="34">
        <f t="shared" si="60"/>
        <v>0</v>
      </c>
      <c r="I334" s="34">
        <f t="shared" si="67"/>
        <v>102.5</v>
      </c>
      <c r="J334" s="20"/>
      <c r="K334" s="34">
        <f t="array" ref="K334">IF(ROW(K334)&lt;=COUNTA(F:F)*2,IF(MOD(ROW(K334),2)=1,INDEX(F:F,(ROW(K334)+1)/2),INDEX(H:H,ROW(K334)/2)),"")</f>
        <v>-363.15</v>
      </c>
      <c r="L334" s="34">
        <f t="array" ref="L334">IF(ROW(L334)&lt;=COUNTA(G:G)*2,IF(MOD(ROW(L334),2)=1,INDEX(G:G,(ROW(L334)+1)/2),INDEX(I:I,ROW(L334)/2)),"")</f>
        <v>112.5</v>
      </c>
      <c r="N334" s="21">
        <f t="shared" si="68"/>
        <v>0</v>
      </c>
      <c r="O334" s="21">
        <f t="shared" si="69"/>
        <v>112.5</v>
      </c>
      <c r="P334" s="21">
        <f t="shared" si="61"/>
        <v>0</v>
      </c>
      <c r="Q334" s="21">
        <f t="shared" si="70"/>
        <v>112.5</v>
      </c>
      <c r="R334" s="21"/>
      <c r="S334" s="21">
        <f t="array" ref="S334">IF(ROW(S334)&lt;=COUNTA(N:N)*2,IF(MOD(ROW(S334),2)=1,INDEX(N:N,(ROW(S334)+1)/2),INDEX(P:P,ROW(S334)/2)),"")</f>
        <v>-363.15</v>
      </c>
      <c r="T334" s="21">
        <f t="array" ref="T334">IF(ROW(T334)&lt;=COUNTA(O:O)*2,IF(MOD(ROW(T334),2)=1,INDEX(O:O,(ROW(T334)+1)/2),INDEX(Q:Q,ROW(T334)/2)),"")</f>
        <v>116.7</v>
      </c>
      <c r="V334" s="22">
        <f t="shared" si="71"/>
        <v>0</v>
      </c>
      <c r="W334" s="22">
        <f t="shared" si="62"/>
        <v>122.5</v>
      </c>
      <c r="X334" s="22">
        <f t="shared" si="63"/>
        <v>0</v>
      </c>
      <c r="Y334" s="22">
        <f t="shared" si="64"/>
        <v>122.5</v>
      </c>
      <c r="Z334" s="22"/>
      <c r="AA334" s="22">
        <f t="array" ref="AA334">IF(ROW(AA334)&lt;=COUNTA(V:V)*2,IF(MOD(ROW(AA334),2)=1,INDEX(V:V,(ROW(AA334)+1)/2),INDEX(X:X,ROW(AA334)/2)),"")</f>
        <v>-363.15</v>
      </c>
      <c r="AB334" s="22">
        <f t="array" ref="AB334">IF(ROW(AB334)&lt;=COUNTA(W:W)*2,IF(MOD(ROW(AB334),2)=1,INDEX(W:W,(ROW(AB334)+1)/2),INDEX(Y:Y,ROW(AB334)/2)),"")</f>
        <v>125.319575</v>
      </c>
    </row>
    <row r="335" spans="1:28" s="2" customFormat="1" x14ac:dyDescent="0.25">
      <c r="A335" s="19"/>
      <c r="B335" s="20"/>
      <c r="C335" s="21"/>
      <c r="D335" s="22"/>
      <c r="F335" s="34">
        <f t="shared" si="65"/>
        <v>0</v>
      </c>
      <c r="G335" s="34">
        <f t="shared" si="66"/>
        <v>102.5</v>
      </c>
      <c r="H335" s="34">
        <f t="shared" si="60"/>
        <v>0</v>
      </c>
      <c r="I335" s="34">
        <f t="shared" si="67"/>
        <v>102.5</v>
      </c>
      <c r="J335" s="20"/>
      <c r="K335" s="34">
        <f t="array" ref="K335">IF(ROW(K335)&lt;=COUNTA(F:F)*2,IF(MOD(ROW(K335),2)=1,INDEX(F:F,(ROW(K335)+1)/2),INDEX(H:H,ROW(K335)/2)),"")</f>
        <v>-363.15</v>
      </c>
      <c r="L335" s="34">
        <f t="array" ref="L335">IF(ROW(L335)&lt;=COUNTA(G:G)*2,IF(MOD(ROW(L335),2)=1,INDEX(G:G,(ROW(L335)+1)/2),INDEX(I:I,ROW(L335)/2)),"")</f>
        <v>112.5</v>
      </c>
      <c r="N335" s="21">
        <f t="shared" si="68"/>
        <v>0</v>
      </c>
      <c r="O335" s="21">
        <f t="shared" si="69"/>
        <v>112.5</v>
      </c>
      <c r="P335" s="21">
        <f t="shared" si="61"/>
        <v>0</v>
      </c>
      <c r="Q335" s="21">
        <f t="shared" si="70"/>
        <v>112.5</v>
      </c>
      <c r="R335" s="21"/>
      <c r="S335" s="21">
        <f t="array" ref="S335">IF(ROW(S335)&lt;=COUNTA(N:N)*2,IF(MOD(ROW(S335),2)=1,INDEX(N:N,(ROW(S335)+1)/2),INDEX(P:P,ROW(S335)/2)),"")</f>
        <v>-363.15</v>
      </c>
      <c r="T335" s="21">
        <f t="array" ref="T335">IF(ROW(T335)&lt;=COUNTA(O:O)*2,IF(MOD(ROW(T335),2)=1,INDEX(O:O,(ROW(T335)+1)/2),INDEX(Q:Q,ROW(T335)/2)),"")</f>
        <v>115.9</v>
      </c>
      <c r="V335" s="22">
        <f t="shared" si="71"/>
        <v>0</v>
      </c>
      <c r="W335" s="22">
        <f t="shared" si="62"/>
        <v>122.5</v>
      </c>
      <c r="X335" s="22">
        <f t="shared" si="63"/>
        <v>0</v>
      </c>
      <c r="Y335" s="22">
        <f t="shared" si="64"/>
        <v>122.5</v>
      </c>
      <c r="Z335" s="22"/>
      <c r="AA335" s="22">
        <f t="array" ref="AA335">IF(ROW(AA335)&lt;=COUNTA(V:V)*2,IF(MOD(ROW(AA335),2)=1,INDEX(V:V,(ROW(AA335)+1)/2),INDEX(X:X,ROW(AA335)/2)),"")</f>
        <v>-363.15</v>
      </c>
      <c r="AB335" s="22">
        <f t="array" ref="AB335">IF(ROW(AB335)&lt;=COUNTA(W:W)*2,IF(MOD(ROW(AB335),2)=1,INDEX(W:W,(ROW(AB335)+1)/2),INDEX(Y:Y,ROW(AB335)/2)),"")</f>
        <v>125.2762</v>
      </c>
    </row>
    <row r="336" spans="1:28" s="2" customFormat="1" x14ac:dyDescent="0.25">
      <c r="A336" s="19"/>
      <c r="B336" s="20"/>
      <c r="C336" s="21"/>
      <c r="D336" s="22"/>
      <c r="F336" s="34">
        <f t="shared" si="65"/>
        <v>0</v>
      </c>
      <c r="G336" s="34">
        <f t="shared" si="66"/>
        <v>102.5</v>
      </c>
      <c r="H336" s="34">
        <f t="shared" si="60"/>
        <v>0</v>
      </c>
      <c r="I336" s="34">
        <f t="shared" si="67"/>
        <v>102.5</v>
      </c>
      <c r="J336" s="20"/>
      <c r="K336" s="34">
        <f t="array" ref="K336">IF(ROW(K336)&lt;=COUNTA(F:F)*2,IF(MOD(ROW(K336),2)=1,INDEX(F:F,(ROW(K336)+1)/2),INDEX(H:H,ROW(K336)/2)),"")</f>
        <v>-364.45</v>
      </c>
      <c r="L336" s="34">
        <f t="array" ref="L336">IF(ROW(L336)&lt;=COUNTA(G:G)*2,IF(MOD(ROW(L336),2)=1,INDEX(G:G,(ROW(L336)+1)/2),INDEX(I:I,ROW(L336)/2)),"")</f>
        <v>112.5</v>
      </c>
      <c r="N336" s="21">
        <f t="shared" si="68"/>
        <v>0</v>
      </c>
      <c r="O336" s="21">
        <f t="shared" si="69"/>
        <v>112.5</v>
      </c>
      <c r="P336" s="21">
        <f t="shared" si="61"/>
        <v>0</v>
      </c>
      <c r="Q336" s="21">
        <f t="shared" si="70"/>
        <v>112.5</v>
      </c>
      <c r="R336" s="21"/>
      <c r="S336" s="21">
        <f t="array" ref="S336">IF(ROW(S336)&lt;=COUNTA(N:N)*2,IF(MOD(ROW(S336),2)=1,INDEX(N:N,(ROW(S336)+1)/2),INDEX(P:P,ROW(S336)/2)),"")</f>
        <v>-364.45</v>
      </c>
      <c r="T336" s="21">
        <f t="array" ref="T336">IF(ROW(T336)&lt;=COUNTA(O:O)*2,IF(MOD(ROW(T336),2)=1,INDEX(O:O,(ROW(T336)+1)/2),INDEX(Q:Q,ROW(T336)/2)),"")</f>
        <v>115.9</v>
      </c>
      <c r="V336" s="22">
        <f t="shared" si="71"/>
        <v>0</v>
      </c>
      <c r="W336" s="22">
        <f t="shared" si="62"/>
        <v>122.5</v>
      </c>
      <c r="X336" s="22">
        <f t="shared" si="63"/>
        <v>0</v>
      </c>
      <c r="Y336" s="22">
        <f t="shared" si="64"/>
        <v>122.5</v>
      </c>
      <c r="Z336" s="22"/>
      <c r="AA336" s="22">
        <f t="array" ref="AA336">IF(ROW(AA336)&lt;=COUNTA(V:V)*2,IF(MOD(ROW(AA336),2)=1,INDEX(V:V,(ROW(AA336)+1)/2),INDEX(X:X,ROW(AA336)/2)),"")</f>
        <v>-364.45</v>
      </c>
      <c r="AB336" s="22">
        <f t="array" ref="AB336">IF(ROW(AB336)&lt;=COUNTA(W:W)*2,IF(MOD(ROW(AB336),2)=1,INDEX(W:W,(ROW(AB336)+1)/2),INDEX(Y:Y,ROW(AB336)/2)),"")</f>
        <v>125.2762</v>
      </c>
    </row>
    <row r="337" spans="1:28" s="2" customFormat="1" x14ac:dyDescent="0.25">
      <c r="A337" s="19"/>
      <c r="B337" s="20"/>
      <c r="C337" s="21"/>
      <c r="D337" s="22"/>
      <c r="F337" s="34">
        <f t="shared" si="65"/>
        <v>0</v>
      </c>
      <c r="G337" s="34">
        <f t="shared" si="66"/>
        <v>102.5</v>
      </c>
      <c r="H337" s="34">
        <f t="shared" si="60"/>
        <v>0</v>
      </c>
      <c r="I337" s="34">
        <f t="shared" si="67"/>
        <v>102.5</v>
      </c>
      <c r="J337" s="20"/>
      <c r="K337" s="34">
        <f t="array" ref="K337">IF(ROW(K337)&lt;=COUNTA(F:F)*2,IF(MOD(ROW(K337),2)=1,INDEX(F:F,(ROW(K337)+1)/2),INDEX(H:H,ROW(K337)/2)),"")</f>
        <v>-364.45</v>
      </c>
      <c r="L337" s="34">
        <f t="array" ref="L337">IF(ROW(L337)&lt;=COUNTA(G:G)*2,IF(MOD(ROW(L337),2)=1,INDEX(G:G,(ROW(L337)+1)/2),INDEX(I:I,ROW(L337)/2)),"")</f>
        <v>112.3</v>
      </c>
      <c r="N337" s="21">
        <f t="shared" si="68"/>
        <v>0</v>
      </c>
      <c r="O337" s="21">
        <f t="shared" si="69"/>
        <v>112.5</v>
      </c>
      <c r="P337" s="21">
        <f t="shared" si="61"/>
        <v>0</v>
      </c>
      <c r="Q337" s="21">
        <f t="shared" si="70"/>
        <v>112.5</v>
      </c>
      <c r="R337" s="21"/>
      <c r="S337" s="21">
        <f t="array" ref="S337">IF(ROW(S337)&lt;=COUNTA(N:N)*2,IF(MOD(ROW(S337),2)=1,INDEX(N:N,(ROW(S337)+1)/2),INDEX(P:P,ROW(S337)/2)),"")</f>
        <v>-364.45</v>
      </c>
      <c r="T337" s="21">
        <f t="array" ref="T337">IF(ROW(T337)&lt;=COUNTA(O:O)*2,IF(MOD(ROW(T337),2)=1,INDEX(O:O,(ROW(T337)+1)/2),INDEX(Q:Q,ROW(T337)/2)),"")</f>
        <v>117.7</v>
      </c>
      <c r="V337" s="22">
        <f t="shared" si="71"/>
        <v>0</v>
      </c>
      <c r="W337" s="22">
        <f t="shared" si="62"/>
        <v>122.5</v>
      </c>
      <c r="X337" s="22">
        <f t="shared" si="63"/>
        <v>0</v>
      </c>
      <c r="Y337" s="22">
        <f t="shared" si="64"/>
        <v>122.5</v>
      </c>
      <c r="Z337" s="22"/>
      <c r="AA337" s="22">
        <f t="array" ref="AA337">IF(ROW(AA337)&lt;=COUNTA(V:V)*2,IF(MOD(ROW(AA337),2)=1,INDEX(V:V,(ROW(AA337)+1)/2),INDEX(X:X,ROW(AA337)/2)),"")</f>
        <v>-364.45</v>
      </c>
      <c r="AB337" s="22">
        <f t="array" ref="AB337">IF(ROW(AB337)&lt;=COUNTA(W:W)*2,IF(MOD(ROW(AB337),2)=1,INDEX(W:W,(ROW(AB337)+1)/2),INDEX(Y:Y,ROW(AB337)/2)),"")</f>
        <v>125.2762</v>
      </c>
    </row>
    <row r="338" spans="1:28" s="2" customFormat="1" x14ac:dyDescent="0.25">
      <c r="A338" s="19"/>
      <c r="B338" s="20"/>
      <c r="C338" s="21"/>
      <c r="D338" s="22"/>
      <c r="F338" s="34">
        <f t="shared" si="65"/>
        <v>0</v>
      </c>
      <c r="G338" s="34">
        <f t="shared" si="66"/>
        <v>102.5</v>
      </c>
      <c r="H338" s="34">
        <f t="shared" si="60"/>
        <v>0</v>
      </c>
      <c r="I338" s="34">
        <f t="shared" si="67"/>
        <v>102.5</v>
      </c>
      <c r="J338" s="20"/>
      <c r="K338" s="34">
        <f t="array" ref="K338">IF(ROW(K338)&lt;=COUNTA(F:F)*2,IF(MOD(ROW(K338),2)=1,INDEX(F:F,(ROW(K338)+1)/2),INDEX(H:H,ROW(K338)/2)),"")</f>
        <v>-366.45</v>
      </c>
      <c r="L338" s="34">
        <f t="array" ref="L338">IF(ROW(L338)&lt;=COUNTA(G:G)*2,IF(MOD(ROW(L338),2)=1,INDEX(G:G,(ROW(L338)+1)/2),INDEX(I:I,ROW(L338)/2)),"")</f>
        <v>112.3</v>
      </c>
      <c r="N338" s="21">
        <f t="shared" si="68"/>
        <v>0</v>
      </c>
      <c r="O338" s="21">
        <f t="shared" si="69"/>
        <v>112.5</v>
      </c>
      <c r="P338" s="21">
        <f t="shared" si="61"/>
        <v>0</v>
      </c>
      <c r="Q338" s="21">
        <f t="shared" si="70"/>
        <v>112.5</v>
      </c>
      <c r="R338" s="21"/>
      <c r="S338" s="21">
        <f t="array" ref="S338">IF(ROW(S338)&lt;=COUNTA(N:N)*2,IF(MOD(ROW(S338),2)=1,INDEX(N:N,(ROW(S338)+1)/2),INDEX(P:P,ROW(S338)/2)),"")</f>
        <v>-366.45</v>
      </c>
      <c r="T338" s="21">
        <f t="array" ref="T338">IF(ROW(T338)&lt;=COUNTA(O:O)*2,IF(MOD(ROW(T338),2)=1,INDEX(O:O,(ROW(T338)+1)/2),INDEX(Q:Q,ROW(T338)/2)),"")</f>
        <v>117.7</v>
      </c>
      <c r="V338" s="22">
        <f t="shared" si="71"/>
        <v>0</v>
      </c>
      <c r="W338" s="22">
        <f t="shared" si="62"/>
        <v>122.5</v>
      </c>
      <c r="X338" s="22">
        <f t="shared" si="63"/>
        <v>0</v>
      </c>
      <c r="Y338" s="22">
        <f t="shared" si="64"/>
        <v>122.5</v>
      </c>
      <c r="Z338" s="22"/>
      <c r="AA338" s="22">
        <f t="array" ref="AA338">IF(ROW(AA338)&lt;=COUNTA(V:V)*2,IF(MOD(ROW(AA338),2)=1,INDEX(V:V,(ROW(AA338)+1)/2),INDEX(X:X,ROW(AA338)/2)),"")</f>
        <v>-366.45</v>
      </c>
      <c r="AB338" s="22">
        <f t="array" ref="AB338">IF(ROW(AB338)&lt;=COUNTA(W:W)*2,IF(MOD(ROW(AB338),2)=1,INDEX(W:W,(ROW(AB338)+1)/2),INDEX(Y:Y,ROW(AB338)/2)),"")</f>
        <v>125.2762</v>
      </c>
    </row>
    <row r="339" spans="1:28" s="2" customFormat="1" x14ac:dyDescent="0.25">
      <c r="A339" s="19"/>
      <c r="B339" s="20"/>
      <c r="C339" s="21"/>
      <c r="D339" s="22"/>
      <c r="F339" s="34">
        <f t="shared" si="65"/>
        <v>0</v>
      </c>
      <c r="G339" s="34">
        <f t="shared" si="66"/>
        <v>102.5</v>
      </c>
      <c r="H339" s="34">
        <f t="shared" si="60"/>
        <v>0</v>
      </c>
      <c r="I339" s="34">
        <f t="shared" si="67"/>
        <v>102.5</v>
      </c>
      <c r="J339" s="20"/>
      <c r="K339" s="34">
        <f t="array" ref="K339">IF(ROW(K339)&lt;=COUNTA(F:F)*2,IF(MOD(ROW(K339),2)=1,INDEX(F:F,(ROW(K339)+1)/2),INDEX(H:H,ROW(K339)/2)),"")</f>
        <v>-366.45</v>
      </c>
      <c r="L339" s="34">
        <f t="array" ref="L339">IF(ROW(L339)&lt;=COUNTA(G:G)*2,IF(MOD(ROW(L339),2)=1,INDEX(G:G,(ROW(L339)+1)/2),INDEX(I:I,ROW(L339)/2)),"")</f>
        <v>112.3</v>
      </c>
      <c r="N339" s="21">
        <f t="shared" si="68"/>
        <v>0</v>
      </c>
      <c r="O339" s="21">
        <f t="shared" si="69"/>
        <v>112.5</v>
      </c>
      <c r="P339" s="21">
        <f t="shared" si="61"/>
        <v>0</v>
      </c>
      <c r="Q339" s="21">
        <f t="shared" si="70"/>
        <v>112.5</v>
      </c>
      <c r="R339" s="21"/>
      <c r="S339" s="21">
        <f t="array" ref="S339">IF(ROW(S339)&lt;=COUNTA(N:N)*2,IF(MOD(ROW(S339),2)=1,INDEX(N:N,(ROW(S339)+1)/2),INDEX(P:P,ROW(S339)/2)),"")</f>
        <v>-366.45</v>
      </c>
      <c r="T339" s="21">
        <f t="array" ref="T339">IF(ROW(T339)&lt;=COUNTA(O:O)*2,IF(MOD(ROW(T339),2)=1,INDEX(O:O,(ROW(T339)+1)/2),INDEX(Q:Q,ROW(T339)/2)),"")</f>
        <v>121.1</v>
      </c>
      <c r="V339" s="22">
        <f t="shared" si="71"/>
        <v>0</v>
      </c>
      <c r="W339" s="22">
        <f t="shared" si="62"/>
        <v>122.5</v>
      </c>
      <c r="X339" s="22">
        <f t="shared" si="63"/>
        <v>0</v>
      </c>
      <c r="Y339" s="22">
        <f t="shared" si="64"/>
        <v>122.5</v>
      </c>
      <c r="Z339" s="22"/>
      <c r="AA339" s="22">
        <f t="array" ref="AA339">IF(ROW(AA339)&lt;=COUNTA(V:V)*2,IF(MOD(ROW(AA339),2)=1,INDEX(V:V,(ROW(AA339)+1)/2),INDEX(X:X,ROW(AA339)/2)),"")</f>
        <v>-366.45</v>
      </c>
      <c r="AB339" s="22">
        <f t="array" ref="AB339">IF(ROW(AB339)&lt;=COUNTA(W:W)*2,IF(MOD(ROW(AB339),2)=1,INDEX(W:W,(ROW(AB339)+1)/2),INDEX(Y:Y,ROW(AB339)/2)),"")</f>
        <v>125.2138</v>
      </c>
    </row>
    <row r="340" spans="1:28" s="2" customFormat="1" x14ac:dyDescent="0.25">
      <c r="A340" s="19"/>
      <c r="B340" s="20"/>
      <c r="C340" s="21"/>
      <c r="D340" s="22"/>
      <c r="F340" s="34">
        <f t="shared" si="65"/>
        <v>0</v>
      </c>
      <c r="G340" s="34">
        <f t="shared" si="66"/>
        <v>102.5</v>
      </c>
      <c r="H340" s="34">
        <f t="shared" si="60"/>
        <v>0</v>
      </c>
      <c r="I340" s="34">
        <f t="shared" si="67"/>
        <v>102.5</v>
      </c>
      <c r="J340" s="20"/>
      <c r="K340" s="34">
        <f t="array" ref="K340">IF(ROW(K340)&lt;=COUNTA(F:F)*2,IF(MOD(ROW(K340),2)=1,INDEX(F:F,(ROW(K340)+1)/2),INDEX(H:H,ROW(K340)/2)),"")</f>
        <v>-368.2</v>
      </c>
      <c r="L340" s="34">
        <f t="array" ref="L340">IF(ROW(L340)&lt;=COUNTA(G:G)*2,IF(MOD(ROW(L340),2)=1,INDEX(G:G,(ROW(L340)+1)/2),INDEX(I:I,ROW(L340)/2)),"")</f>
        <v>112.3</v>
      </c>
      <c r="N340" s="21">
        <f t="shared" si="68"/>
        <v>0</v>
      </c>
      <c r="O340" s="21">
        <f t="shared" si="69"/>
        <v>112.5</v>
      </c>
      <c r="P340" s="21">
        <f t="shared" si="61"/>
        <v>0</v>
      </c>
      <c r="Q340" s="21">
        <f t="shared" si="70"/>
        <v>112.5</v>
      </c>
      <c r="R340" s="21"/>
      <c r="S340" s="21">
        <f t="array" ref="S340">IF(ROW(S340)&lt;=COUNTA(N:N)*2,IF(MOD(ROW(S340),2)=1,INDEX(N:N,(ROW(S340)+1)/2),INDEX(P:P,ROW(S340)/2)),"")</f>
        <v>-368.2</v>
      </c>
      <c r="T340" s="21">
        <f t="array" ref="T340">IF(ROW(T340)&lt;=COUNTA(O:O)*2,IF(MOD(ROW(T340),2)=1,INDEX(O:O,(ROW(T340)+1)/2),INDEX(Q:Q,ROW(T340)/2)),"")</f>
        <v>121.1</v>
      </c>
      <c r="V340" s="22">
        <f t="shared" si="71"/>
        <v>0</v>
      </c>
      <c r="W340" s="22">
        <f t="shared" si="62"/>
        <v>122.5</v>
      </c>
      <c r="X340" s="22">
        <f t="shared" si="63"/>
        <v>0</v>
      </c>
      <c r="Y340" s="22">
        <f t="shared" si="64"/>
        <v>122.5</v>
      </c>
      <c r="Z340" s="22"/>
      <c r="AA340" s="22">
        <f t="array" ref="AA340">IF(ROW(AA340)&lt;=COUNTA(V:V)*2,IF(MOD(ROW(AA340),2)=1,INDEX(V:V,(ROW(AA340)+1)/2),INDEX(X:X,ROW(AA340)/2)),"")</f>
        <v>-368.2</v>
      </c>
      <c r="AB340" s="22">
        <f t="array" ref="AB340">IF(ROW(AB340)&lt;=COUNTA(W:W)*2,IF(MOD(ROW(AB340),2)=1,INDEX(W:W,(ROW(AB340)+1)/2),INDEX(Y:Y,ROW(AB340)/2)),"")</f>
        <v>125.2138</v>
      </c>
    </row>
    <row r="341" spans="1:28" s="2" customFormat="1" x14ac:dyDescent="0.25">
      <c r="A341" s="19"/>
      <c r="B341" s="20"/>
      <c r="C341" s="21"/>
      <c r="D341" s="22"/>
      <c r="F341" s="34">
        <f t="shared" si="65"/>
        <v>0</v>
      </c>
      <c r="G341" s="34">
        <f t="shared" si="66"/>
        <v>102.5</v>
      </c>
      <c r="H341" s="34">
        <f t="shared" si="60"/>
        <v>0</v>
      </c>
      <c r="I341" s="34">
        <f t="shared" si="67"/>
        <v>102.5</v>
      </c>
      <c r="J341" s="20"/>
      <c r="K341" s="34">
        <f t="array" ref="K341">IF(ROW(K341)&lt;=COUNTA(F:F)*2,IF(MOD(ROW(K341),2)=1,INDEX(F:F,(ROW(K341)+1)/2),INDEX(H:H,ROW(K341)/2)),"")</f>
        <v>-368.2</v>
      </c>
      <c r="L341" s="34">
        <f t="array" ref="L341">IF(ROW(L341)&lt;=COUNTA(G:G)*2,IF(MOD(ROW(L341),2)=1,INDEX(G:G,(ROW(L341)+1)/2),INDEX(I:I,ROW(L341)/2)),"")</f>
        <v>112.3</v>
      </c>
      <c r="N341" s="21">
        <f t="shared" si="68"/>
        <v>0</v>
      </c>
      <c r="O341" s="21">
        <f t="shared" si="69"/>
        <v>112.5</v>
      </c>
      <c r="P341" s="21">
        <f t="shared" si="61"/>
        <v>0</v>
      </c>
      <c r="Q341" s="21">
        <f t="shared" si="70"/>
        <v>112.5</v>
      </c>
      <c r="R341" s="21"/>
      <c r="S341" s="21">
        <f t="array" ref="S341">IF(ROW(S341)&lt;=COUNTA(N:N)*2,IF(MOD(ROW(S341),2)=1,INDEX(N:N,(ROW(S341)+1)/2),INDEX(P:P,ROW(S341)/2)),"")</f>
        <v>-368.2</v>
      </c>
      <c r="T341" s="21">
        <f t="array" ref="T341">IF(ROW(T341)&lt;=COUNTA(O:O)*2,IF(MOD(ROW(T341),2)=1,INDEX(O:O,(ROW(T341)+1)/2),INDEX(Q:Q,ROW(T341)/2)),"")</f>
        <v>120.3</v>
      </c>
      <c r="V341" s="22">
        <f t="shared" si="71"/>
        <v>0</v>
      </c>
      <c r="W341" s="22">
        <f t="shared" si="62"/>
        <v>122.5</v>
      </c>
      <c r="X341" s="22">
        <f t="shared" si="63"/>
        <v>0</v>
      </c>
      <c r="Y341" s="22">
        <f t="shared" si="64"/>
        <v>122.5</v>
      </c>
      <c r="Z341" s="22"/>
      <c r="AA341" s="22">
        <f t="array" ref="AA341">IF(ROW(AA341)&lt;=COUNTA(V:V)*2,IF(MOD(ROW(AA341),2)=1,INDEX(V:V,(ROW(AA341)+1)/2),INDEX(X:X,ROW(AA341)/2)),"")</f>
        <v>-368.2</v>
      </c>
      <c r="AB341" s="22">
        <f t="array" ref="AB341">IF(ROW(AB341)&lt;=COUNTA(W:W)*2,IF(MOD(ROW(AB341),2)=1,INDEX(W:W,(ROW(AB341)+1)/2),INDEX(Y:Y,ROW(AB341)/2)),"")</f>
        <v>125.1698</v>
      </c>
    </row>
    <row r="342" spans="1:28" s="2" customFormat="1" x14ac:dyDescent="0.25">
      <c r="A342" s="19"/>
      <c r="B342" s="20"/>
      <c r="C342" s="21"/>
      <c r="D342" s="22"/>
      <c r="F342" s="34">
        <f t="shared" si="65"/>
        <v>0</v>
      </c>
      <c r="G342" s="34">
        <f t="shared" si="66"/>
        <v>102.5</v>
      </c>
      <c r="H342" s="34">
        <f t="shared" si="60"/>
        <v>0</v>
      </c>
      <c r="I342" s="34">
        <f t="shared" si="67"/>
        <v>102.5</v>
      </c>
      <c r="J342" s="20"/>
      <c r="K342" s="34">
        <f t="array" ref="K342">IF(ROW(K342)&lt;=COUNTA(F:F)*2,IF(MOD(ROW(K342),2)=1,INDEX(F:F,(ROW(K342)+1)/2),INDEX(H:H,ROW(K342)/2)),"")</f>
        <v>-369.6</v>
      </c>
      <c r="L342" s="34">
        <f t="array" ref="L342">IF(ROW(L342)&lt;=COUNTA(G:G)*2,IF(MOD(ROW(L342),2)=1,INDEX(G:G,(ROW(L342)+1)/2),INDEX(I:I,ROW(L342)/2)),"")</f>
        <v>112.3</v>
      </c>
      <c r="N342" s="21">
        <f t="shared" si="68"/>
        <v>0</v>
      </c>
      <c r="O342" s="21">
        <f t="shared" si="69"/>
        <v>112.5</v>
      </c>
      <c r="P342" s="21">
        <f t="shared" si="61"/>
        <v>0</v>
      </c>
      <c r="Q342" s="21">
        <f t="shared" si="70"/>
        <v>112.5</v>
      </c>
      <c r="R342" s="21"/>
      <c r="S342" s="21">
        <f t="array" ref="S342">IF(ROW(S342)&lt;=COUNTA(N:N)*2,IF(MOD(ROW(S342),2)=1,INDEX(N:N,(ROW(S342)+1)/2),INDEX(P:P,ROW(S342)/2)),"")</f>
        <v>-369.6</v>
      </c>
      <c r="T342" s="21">
        <f t="array" ref="T342">IF(ROW(T342)&lt;=COUNTA(O:O)*2,IF(MOD(ROW(T342),2)=1,INDEX(O:O,(ROW(T342)+1)/2),INDEX(Q:Q,ROW(T342)/2)),"")</f>
        <v>120.3</v>
      </c>
      <c r="V342" s="22">
        <f t="shared" si="71"/>
        <v>0</v>
      </c>
      <c r="W342" s="22">
        <f t="shared" si="62"/>
        <v>122.5</v>
      </c>
      <c r="X342" s="22">
        <f t="shared" si="63"/>
        <v>0</v>
      </c>
      <c r="Y342" s="22">
        <f t="shared" si="64"/>
        <v>122.5</v>
      </c>
      <c r="Z342" s="22"/>
      <c r="AA342" s="22">
        <f t="array" ref="AA342">IF(ROW(AA342)&lt;=COUNTA(V:V)*2,IF(MOD(ROW(AA342),2)=1,INDEX(V:V,(ROW(AA342)+1)/2),INDEX(X:X,ROW(AA342)/2)),"")</f>
        <v>-369.6</v>
      </c>
      <c r="AB342" s="22">
        <f t="array" ref="AB342">IF(ROW(AB342)&lt;=COUNTA(W:W)*2,IF(MOD(ROW(AB342),2)=1,INDEX(W:W,(ROW(AB342)+1)/2),INDEX(Y:Y,ROW(AB342)/2)),"")</f>
        <v>125.1698</v>
      </c>
    </row>
    <row r="343" spans="1:28" s="2" customFormat="1" x14ac:dyDescent="0.25">
      <c r="A343" s="19"/>
      <c r="B343" s="20"/>
      <c r="C343" s="21"/>
      <c r="D343" s="22"/>
      <c r="F343" s="34">
        <f t="shared" si="65"/>
        <v>0</v>
      </c>
      <c r="G343" s="34">
        <f t="shared" si="66"/>
        <v>102.5</v>
      </c>
      <c r="H343" s="34">
        <f t="shared" si="60"/>
        <v>0</v>
      </c>
      <c r="I343" s="34">
        <f t="shared" si="67"/>
        <v>102.5</v>
      </c>
      <c r="J343" s="20"/>
      <c r="K343" s="34">
        <f t="array" ref="K343">IF(ROW(K343)&lt;=COUNTA(F:F)*2,IF(MOD(ROW(K343),2)=1,INDEX(F:F,(ROW(K343)+1)/2),INDEX(H:H,ROW(K343)/2)),"")</f>
        <v>-369.6</v>
      </c>
      <c r="L343" s="34">
        <f t="array" ref="L343">IF(ROW(L343)&lt;=COUNTA(G:G)*2,IF(MOD(ROW(L343),2)=1,INDEX(G:G,(ROW(L343)+1)/2),INDEX(I:I,ROW(L343)/2)),"")</f>
        <v>112.4</v>
      </c>
      <c r="N343" s="21">
        <f t="shared" si="68"/>
        <v>0</v>
      </c>
      <c r="O343" s="21">
        <f t="shared" si="69"/>
        <v>112.5</v>
      </c>
      <c r="P343" s="21">
        <f t="shared" si="61"/>
        <v>0</v>
      </c>
      <c r="Q343" s="21">
        <f t="shared" si="70"/>
        <v>112.5</v>
      </c>
      <c r="R343" s="21"/>
      <c r="S343" s="21">
        <f t="array" ref="S343">IF(ROW(S343)&lt;=COUNTA(N:N)*2,IF(MOD(ROW(S343),2)=1,INDEX(N:N,(ROW(S343)+1)/2),INDEX(P:P,ROW(S343)/2)),"")</f>
        <v>-369.6</v>
      </c>
      <c r="T343" s="21">
        <f t="array" ref="T343">IF(ROW(T343)&lt;=COUNTA(O:O)*2,IF(MOD(ROW(T343),2)=1,INDEX(O:O,(ROW(T343)+1)/2),INDEX(Q:Q,ROW(T343)/2)),"")</f>
        <v>121.3</v>
      </c>
      <c r="V343" s="22">
        <f t="shared" si="71"/>
        <v>0</v>
      </c>
      <c r="W343" s="22">
        <f t="shared" si="62"/>
        <v>122.5</v>
      </c>
      <c r="X343" s="22">
        <f t="shared" si="63"/>
        <v>0</v>
      </c>
      <c r="Y343" s="22">
        <f t="shared" si="64"/>
        <v>122.5</v>
      </c>
      <c r="Z343" s="22"/>
      <c r="AA343" s="22">
        <f t="array" ref="AA343">IF(ROW(AA343)&lt;=COUNTA(V:V)*2,IF(MOD(ROW(AA343),2)=1,INDEX(V:V,(ROW(AA343)+1)/2),INDEX(X:X,ROW(AA343)/2)),"")</f>
        <v>-369.6</v>
      </c>
      <c r="AB343" s="22">
        <f t="array" ref="AB343">IF(ROW(AB343)&lt;=COUNTA(W:W)*2,IF(MOD(ROW(AB343),2)=1,INDEX(W:W,(ROW(AB343)+1)/2),INDEX(Y:Y,ROW(AB343)/2)),"")</f>
        <v>125.277125</v>
      </c>
    </row>
    <row r="344" spans="1:28" s="2" customFormat="1" x14ac:dyDescent="0.25">
      <c r="A344" s="19"/>
      <c r="B344" s="20"/>
      <c r="C344" s="21"/>
      <c r="D344" s="22"/>
      <c r="F344" s="34">
        <f t="shared" si="65"/>
        <v>0</v>
      </c>
      <c r="G344" s="34">
        <f t="shared" si="66"/>
        <v>102.5</v>
      </c>
      <c r="H344" s="34">
        <f t="shared" si="60"/>
        <v>0</v>
      </c>
      <c r="I344" s="34">
        <f t="shared" si="67"/>
        <v>102.5</v>
      </c>
      <c r="J344" s="20"/>
      <c r="K344" s="34">
        <f t="array" ref="K344">IF(ROW(K344)&lt;=COUNTA(F:F)*2,IF(MOD(ROW(K344),2)=1,INDEX(F:F,(ROW(K344)+1)/2),INDEX(H:H,ROW(K344)/2)),"")</f>
        <v>-371.2</v>
      </c>
      <c r="L344" s="34">
        <f t="array" ref="L344">IF(ROW(L344)&lt;=COUNTA(G:G)*2,IF(MOD(ROW(L344),2)=1,INDEX(G:G,(ROW(L344)+1)/2),INDEX(I:I,ROW(L344)/2)),"")</f>
        <v>112.4</v>
      </c>
      <c r="N344" s="21">
        <f t="shared" si="68"/>
        <v>0</v>
      </c>
      <c r="O344" s="21">
        <f t="shared" si="69"/>
        <v>112.5</v>
      </c>
      <c r="P344" s="21">
        <f t="shared" si="61"/>
        <v>0</v>
      </c>
      <c r="Q344" s="21">
        <f t="shared" si="70"/>
        <v>112.5</v>
      </c>
      <c r="R344" s="21"/>
      <c r="S344" s="21">
        <f t="array" ref="S344">IF(ROW(S344)&lt;=COUNTA(N:N)*2,IF(MOD(ROW(S344),2)=1,INDEX(N:N,(ROW(S344)+1)/2),INDEX(P:P,ROW(S344)/2)),"")</f>
        <v>-371.2</v>
      </c>
      <c r="T344" s="21">
        <f t="array" ref="T344">IF(ROW(T344)&lt;=COUNTA(O:O)*2,IF(MOD(ROW(T344),2)=1,INDEX(O:O,(ROW(T344)+1)/2),INDEX(Q:Q,ROW(T344)/2)),"")</f>
        <v>121.3</v>
      </c>
      <c r="V344" s="22">
        <f t="shared" si="71"/>
        <v>0</v>
      </c>
      <c r="W344" s="22">
        <f t="shared" si="62"/>
        <v>122.5</v>
      </c>
      <c r="X344" s="22">
        <f t="shared" si="63"/>
        <v>0</v>
      </c>
      <c r="Y344" s="22">
        <f t="shared" si="64"/>
        <v>122.5</v>
      </c>
      <c r="Z344" s="22"/>
      <c r="AA344" s="22">
        <f t="array" ref="AA344">IF(ROW(AA344)&lt;=COUNTA(V:V)*2,IF(MOD(ROW(AA344),2)=1,INDEX(V:V,(ROW(AA344)+1)/2),INDEX(X:X,ROW(AA344)/2)),"")</f>
        <v>-371.2</v>
      </c>
      <c r="AB344" s="22">
        <f t="array" ref="AB344">IF(ROW(AB344)&lt;=COUNTA(W:W)*2,IF(MOD(ROW(AB344),2)=1,INDEX(W:W,(ROW(AB344)+1)/2),INDEX(Y:Y,ROW(AB344)/2)),"")</f>
        <v>125.277125</v>
      </c>
    </row>
    <row r="345" spans="1:28" s="2" customFormat="1" x14ac:dyDescent="0.25">
      <c r="A345" s="19"/>
      <c r="B345" s="20"/>
      <c r="C345" s="21"/>
      <c r="D345" s="22"/>
      <c r="F345" s="34">
        <f t="shared" si="65"/>
        <v>0</v>
      </c>
      <c r="G345" s="34">
        <f t="shared" si="66"/>
        <v>102.5</v>
      </c>
      <c r="H345" s="34">
        <f t="shared" si="60"/>
        <v>0</v>
      </c>
      <c r="I345" s="34">
        <f t="shared" si="67"/>
        <v>102.5</v>
      </c>
      <c r="J345" s="20"/>
      <c r="K345" s="34">
        <f t="array" ref="K345">IF(ROW(K345)&lt;=COUNTA(F:F)*2,IF(MOD(ROW(K345),2)=1,INDEX(F:F,(ROW(K345)+1)/2),INDEX(H:H,ROW(K345)/2)),"")</f>
        <v>-371.2</v>
      </c>
      <c r="L345" s="34">
        <f t="array" ref="L345">IF(ROW(L345)&lt;=COUNTA(G:G)*2,IF(MOD(ROW(L345),2)=1,INDEX(G:G,(ROW(L345)+1)/2),INDEX(I:I,ROW(L345)/2)),"")</f>
        <v>112.4</v>
      </c>
      <c r="N345" s="21">
        <f t="shared" si="68"/>
        <v>0</v>
      </c>
      <c r="O345" s="21">
        <f t="shared" si="69"/>
        <v>112.5</v>
      </c>
      <c r="P345" s="21">
        <f t="shared" si="61"/>
        <v>0</v>
      </c>
      <c r="Q345" s="21">
        <f t="shared" si="70"/>
        <v>112.5</v>
      </c>
      <c r="R345" s="21"/>
      <c r="S345" s="21">
        <f t="array" ref="S345">IF(ROW(S345)&lt;=COUNTA(N:N)*2,IF(MOD(ROW(S345),2)=1,INDEX(N:N,(ROW(S345)+1)/2),INDEX(P:P,ROW(S345)/2)),"")</f>
        <v>-371.2</v>
      </c>
      <c r="T345" s="21">
        <f t="array" ref="T345">IF(ROW(T345)&lt;=COUNTA(O:O)*2,IF(MOD(ROW(T345),2)=1,INDEX(O:O,(ROW(T345)+1)/2),INDEX(Q:Q,ROW(T345)/2)),"")</f>
        <v>120.8</v>
      </c>
      <c r="V345" s="22">
        <f t="shared" si="71"/>
        <v>0</v>
      </c>
      <c r="W345" s="22">
        <f t="shared" si="62"/>
        <v>122.5</v>
      </c>
      <c r="X345" s="22">
        <f t="shared" si="63"/>
        <v>0</v>
      </c>
      <c r="Y345" s="22">
        <f t="shared" si="64"/>
        <v>122.5</v>
      </c>
      <c r="Z345" s="22"/>
      <c r="AA345" s="22">
        <f t="array" ref="AA345">IF(ROW(AA345)&lt;=COUNTA(V:V)*2,IF(MOD(ROW(AA345),2)=1,INDEX(V:V,(ROW(AA345)+1)/2),INDEX(X:X,ROW(AA345)/2)),"")</f>
        <v>-371.2</v>
      </c>
      <c r="AB345" s="22">
        <f t="array" ref="AB345">IF(ROW(AB345)&lt;=COUNTA(W:W)*2,IF(MOD(ROW(AB345),2)=1,INDEX(W:W,(ROW(AB345)+1)/2),INDEX(Y:Y,ROW(AB345)/2)),"")</f>
        <v>125.38115</v>
      </c>
    </row>
    <row r="346" spans="1:28" s="2" customFormat="1" x14ac:dyDescent="0.25">
      <c r="A346" s="19"/>
      <c r="B346" s="20"/>
      <c r="C346" s="21"/>
      <c r="D346" s="22"/>
      <c r="F346" s="34">
        <f t="shared" si="65"/>
        <v>0</v>
      </c>
      <c r="G346" s="34">
        <f t="shared" si="66"/>
        <v>102.5</v>
      </c>
      <c r="H346" s="34">
        <f t="shared" si="60"/>
        <v>0</v>
      </c>
      <c r="I346" s="34">
        <f t="shared" si="67"/>
        <v>102.5</v>
      </c>
      <c r="J346" s="20"/>
      <c r="K346" s="34">
        <f t="array" ref="K346">IF(ROW(K346)&lt;=COUNTA(F:F)*2,IF(MOD(ROW(K346),2)=1,INDEX(F:F,(ROW(K346)+1)/2),INDEX(H:H,ROW(K346)/2)),"")</f>
        <v>-373.95</v>
      </c>
      <c r="L346" s="34">
        <f t="array" ref="L346">IF(ROW(L346)&lt;=COUNTA(G:G)*2,IF(MOD(ROW(L346),2)=1,INDEX(G:G,(ROW(L346)+1)/2),INDEX(I:I,ROW(L346)/2)),"")</f>
        <v>112.4</v>
      </c>
      <c r="N346" s="21">
        <f t="shared" si="68"/>
        <v>0</v>
      </c>
      <c r="O346" s="21">
        <f t="shared" si="69"/>
        <v>112.5</v>
      </c>
      <c r="P346" s="21">
        <f t="shared" si="61"/>
        <v>0</v>
      </c>
      <c r="Q346" s="21">
        <f t="shared" si="70"/>
        <v>112.5</v>
      </c>
      <c r="R346" s="21"/>
      <c r="S346" s="21">
        <f t="array" ref="S346">IF(ROW(S346)&lt;=COUNTA(N:N)*2,IF(MOD(ROW(S346),2)=1,INDEX(N:N,(ROW(S346)+1)/2),INDEX(P:P,ROW(S346)/2)),"")</f>
        <v>-373.95</v>
      </c>
      <c r="T346" s="21">
        <f t="array" ref="T346">IF(ROW(T346)&lt;=COUNTA(O:O)*2,IF(MOD(ROW(T346),2)=1,INDEX(O:O,(ROW(T346)+1)/2),INDEX(Q:Q,ROW(T346)/2)),"")</f>
        <v>120.8</v>
      </c>
      <c r="V346" s="22">
        <f t="shared" si="71"/>
        <v>0</v>
      </c>
      <c r="W346" s="22">
        <f t="shared" si="62"/>
        <v>122.5</v>
      </c>
      <c r="X346" s="22">
        <f t="shared" si="63"/>
        <v>0</v>
      </c>
      <c r="Y346" s="22">
        <f t="shared" si="64"/>
        <v>122.5</v>
      </c>
      <c r="Z346" s="22"/>
      <c r="AA346" s="22">
        <f t="array" ref="AA346">IF(ROW(AA346)&lt;=COUNTA(V:V)*2,IF(MOD(ROW(AA346),2)=1,INDEX(V:V,(ROW(AA346)+1)/2),INDEX(X:X,ROW(AA346)/2)),"")</f>
        <v>-373.95</v>
      </c>
      <c r="AB346" s="22">
        <f t="array" ref="AB346">IF(ROW(AB346)&lt;=COUNTA(W:W)*2,IF(MOD(ROW(AB346),2)=1,INDEX(W:W,(ROW(AB346)+1)/2),INDEX(Y:Y,ROW(AB346)/2)),"")</f>
        <v>125.38115</v>
      </c>
    </row>
    <row r="347" spans="1:28" s="2" customFormat="1" x14ac:dyDescent="0.25">
      <c r="A347" s="19"/>
      <c r="B347" s="20"/>
      <c r="C347" s="21"/>
      <c r="D347" s="22"/>
      <c r="F347" s="34">
        <f t="shared" si="65"/>
        <v>0</v>
      </c>
      <c r="G347" s="34">
        <f t="shared" si="66"/>
        <v>102.5</v>
      </c>
      <c r="H347" s="34">
        <f t="shared" si="60"/>
        <v>0</v>
      </c>
      <c r="I347" s="34">
        <f t="shared" si="67"/>
        <v>102.5</v>
      </c>
      <c r="J347" s="20"/>
      <c r="K347" s="34">
        <f t="array" ref="K347">IF(ROW(K347)&lt;=COUNTA(F:F)*2,IF(MOD(ROW(K347),2)=1,INDEX(F:F,(ROW(K347)+1)/2),INDEX(H:H,ROW(K347)/2)),"")</f>
        <v>-373.95</v>
      </c>
      <c r="L347" s="34">
        <f t="array" ref="L347">IF(ROW(L347)&lt;=COUNTA(G:G)*2,IF(MOD(ROW(L347),2)=1,INDEX(G:G,(ROW(L347)+1)/2),INDEX(I:I,ROW(L347)/2)),"")</f>
        <v>112.5</v>
      </c>
      <c r="N347" s="21">
        <f t="shared" si="68"/>
        <v>0</v>
      </c>
      <c r="O347" s="21">
        <f t="shared" si="69"/>
        <v>112.5</v>
      </c>
      <c r="P347" s="21">
        <f t="shared" si="61"/>
        <v>0</v>
      </c>
      <c r="Q347" s="21">
        <f t="shared" si="70"/>
        <v>112.5</v>
      </c>
      <c r="R347" s="21"/>
      <c r="S347" s="21">
        <f t="array" ref="S347">IF(ROW(S347)&lt;=COUNTA(N:N)*2,IF(MOD(ROW(S347),2)=1,INDEX(N:N,(ROW(S347)+1)/2),INDEX(P:P,ROW(S347)/2)),"")</f>
        <v>-373.95</v>
      </c>
      <c r="T347" s="21">
        <f t="array" ref="T347">IF(ROW(T347)&lt;=COUNTA(O:O)*2,IF(MOD(ROW(T347),2)=1,INDEX(O:O,(ROW(T347)+1)/2),INDEX(Q:Q,ROW(T347)/2)),"")</f>
        <v>119.5</v>
      </c>
      <c r="V347" s="22">
        <f t="shared" si="71"/>
        <v>0</v>
      </c>
      <c r="W347" s="22">
        <f t="shared" si="62"/>
        <v>122.5</v>
      </c>
      <c r="X347" s="22">
        <f t="shared" si="63"/>
        <v>0</v>
      </c>
      <c r="Y347" s="22">
        <f t="shared" si="64"/>
        <v>122.5</v>
      </c>
      <c r="Z347" s="22"/>
      <c r="AA347" s="22">
        <f t="array" ref="AA347">IF(ROW(AA347)&lt;=COUNTA(V:V)*2,IF(MOD(ROW(AA347),2)=1,INDEX(V:V,(ROW(AA347)+1)/2),INDEX(X:X,ROW(AA347)/2)),"")</f>
        <v>-373.95</v>
      </c>
      <c r="AB347" s="22">
        <f t="array" ref="AB347">IF(ROW(AB347)&lt;=COUNTA(W:W)*2,IF(MOD(ROW(AB347),2)=1,INDEX(W:W,(ROW(AB347)+1)/2),INDEX(Y:Y,ROW(AB347)/2)),"")</f>
        <v>125.786525</v>
      </c>
    </row>
    <row r="348" spans="1:28" s="2" customFormat="1" x14ac:dyDescent="0.25">
      <c r="A348" s="19"/>
      <c r="B348" s="20"/>
      <c r="C348" s="21"/>
      <c r="D348" s="22"/>
      <c r="F348" s="34">
        <f t="shared" si="65"/>
        <v>0</v>
      </c>
      <c r="G348" s="34">
        <f t="shared" si="66"/>
        <v>102.5</v>
      </c>
      <c r="H348" s="34">
        <f t="shared" si="60"/>
        <v>0</v>
      </c>
      <c r="I348" s="34">
        <f t="shared" si="67"/>
        <v>102.5</v>
      </c>
      <c r="J348" s="20"/>
      <c r="K348" s="34">
        <f t="array" ref="K348">IF(ROW(K348)&lt;=COUNTA(F:F)*2,IF(MOD(ROW(K348),2)=1,INDEX(F:F,(ROW(K348)+1)/2),INDEX(H:H,ROW(K348)/2)),"")</f>
        <v>-376.95</v>
      </c>
      <c r="L348" s="34">
        <f t="array" ref="L348">IF(ROW(L348)&lt;=COUNTA(G:G)*2,IF(MOD(ROW(L348),2)=1,INDEX(G:G,(ROW(L348)+1)/2),INDEX(I:I,ROW(L348)/2)),"")</f>
        <v>112.5</v>
      </c>
      <c r="N348" s="21">
        <f t="shared" si="68"/>
        <v>0</v>
      </c>
      <c r="O348" s="21">
        <f t="shared" si="69"/>
        <v>112.5</v>
      </c>
      <c r="P348" s="21">
        <f t="shared" si="61"/>
        <v>0</v>
      </c>
      <c r="Q348" s="21">
        <f t="shared" si="70"/>
        <v>112.5</v>
      </c>
      <c r="R348" s="21"/>
      <c r="S348" s="21">
        <f t="array" ref="S348">IF(ROW(S348)&lt;=COUNTA(N:N)*2,IF(MOD(ROW(S348),2)=1,INDEX(N:N,(ROW(S348)+1)/2),INDEX(P:P,ROW(S348)/2)),"")</f>
        <v>-376.95</v>
      </c>
      <c r="T348" s="21">
        <f t="array" ref="T348">IF(ROW(T348)&lt;=COUNTA(O:O)*2,IF(MOD(ROW(T348),2)=1,INDEX(O:O,(ROW(T348)+1)/2),INDEX(Q:Q,ROW(T348)/2)),"")</f>
        <v>119.5</v>
      </c>
      <c r="V348" s="22">
        <f t="shared" si="71"/>
        <v>0</v>
      </c>
      <c r="W348" s="22">
        <f t="shared" si="62"/>
        <v>122.5</v>
      </c>
      <c r="X348" s="22">
        <f t="shared" si="63"/>
        <v>0</v>
      </c>
      <c r="Y348" s="22">
        <f t="shared" si="64"/>
        <v>122.5</v>
      </c>
      <c r="Z348" s="22"/>
      <c r="AA348" s="22">
        <f t="array" ref="AA348">IF(ROW(AA348)&lt;=COUNTA(V:V)*2,IF(MOD(ROW(AA348),2)=1,INDEX(V:V,(ROW(AA348)+1)/2),INDEX(X:X,ROW(AA348)/2)),"")</f>
        <v>-376.95</v>
      </c>
      <c r="AB348" s="22">
        <f t="array" ref="AB348">IF(ROW(AB348)&lt;=COUNTA(W:W)*2,IF(MOD(ROW(AB348),2)=1,INDEX(W:W,(ROW(AB348)+1)/2),INDEX(Y:Y,ROW(AB348)/2)),"")</f>
        <v>125.786525</v>
      </c>
    </row>
    <row r="349" spans="1:28" s="2" customFormat="1" x14ac:dyDescent="0.25">
      <c r="A349" s="19"/>
      <c r="B349" s="20"/>
      <c r="C349" s="21"/>
      <c r="D349" s="22"/>
      <c r="F349" s="34">
        <f t="shared" si="65"/>
        <v>0</v>
      </c>
      <c r="G349" s="34">
        <f t="shared" si="66"/>
        <v>102.5</v>
      </c>
      <c r="H349" s="34">
        <f t="shared" si="60"/>
        <v>0</v>
      </c>
      <c r="I349" s="34">
        <f t="shared" si="67"/>
        <v>102.5</v>
      </c>
      <c r="J349" s="20"/>
      <c r="K349" s="34">
        <f t="array" ref="K349">IF(ROW(K349)&lt;=COUNTA(F:F)*2,IF(MOD(ROW(K349),2)=1,INDEX(F:F,(ROW(K349)+1)/2),INDEX(H:H,ROW(K349)/2)),"")</f>
        <v>-376.95</v>
      </c>
      <c r="L349" s="34">
        <f t="array" ref="L349">IF(ROW(L349)&lt;=COUNTA(G:G)*2,IF(MOD(ROW(L349),2)=1,INDEX(G:G,(ROW(L349)+1)/2),INDEX(I:I,ROW(L349)/2)),"")</f>
        <v>112.5</v>
      </c>
      <c r="N349" s="21">
        <f t="shared" si="68"/>
        <v>0</v>
      </c>
      <c r="O349" s="21">
        <f t="shared" si="69"/>
        <v>112.5</v>
      </c>
      <c r="P349" s="21">
        <f t="shared" si="61"/>
        <v>0</v>
      </c>
      <c r="Q349" s="21">
        <f t="shared" si="70"/>
        <v>112.5</v>
      </c>
      <c r="R349" s="21"/>
      <c r="S349" s="21">
        <f t="array" ref="S349">IF(ROW(S349)&lt;=COUNTA(N:N)*2,IF(MOD(ROW(S349),2)=1,INDEX(N:N,(ROW(S349)+1)/2),INDEX(P:P,ROW(S349)/2)),"")</f>
        <v>-376.95</v>
      </c>
      <c r="T349" s="21">
        <f t="array" ref="T349">IF(ROW(T349)&lt;=COUNTA(O:O)*2,IF(MOD(ROW(T349),2)=1,INDEX(O:O,(ROW(T349)+1)/2),INDEX(Q:Q,ROW(T349)/2)),"")</f>
        <v>119.5</v>
      </c>
      <c r="V349" s="22">
        <f t="shared" si="71"/>
        <v>0</v>
      </c>
      <c r="W349" s="22">
        <f t="shared" si="62"/>
        <v>122.5</v>
      </c>
      <c r="X349" s="22">
        <f t="shared" si="63"/>
        <v>0</v>
      </c>
      <c r="Y349" s="22">
        <f t="shared" si="64"/>
        <v>122.5</v>
      </c>
      <c r="Z349" s="22"/>
      <c r="AA349" s="22">
        <f t="array" ref="AA349">IF(ROW(AA349)&lt;=COUNTA(V:V)*2,IF(MOD(ROW(AA349),2)=1,INDEX(V:V,(ROW(AA349)+1)/2),INDEX(X:X,ROW(AA349)/2)),"")</f>
        <v>-376.95</v>
      </c>
      <c r="AB349" s="22">
        <f t="array" ref="AB349">IF(ROW(AB349)&lt;=COUNTA(W:W)*2,IF(MOD(ROW(AB349),2)=1,INDEX(W:W,(ROW(AB349)+1)/2),INDEX(Y:Y,ROW(AB349)/2)),"")</f>
        <v>125.18245</v>
      </c>
    </row>
    <row r="350" spans="1:28" s="2" customFormat="1" x14ac:dyDescent="0.25">
      <c r="A350" s="19"/>
      <c r="B350" s="20"/>
      <c r="C350" s="21"/>
      <c r="D350" s="22"/>
      <c r="F350" s="34">
        <f t="shared" si="65"/>
        <v>0</v>
      </c>
      <c r="G350" s="34">
        <f t="shared" si="66"/>
        <v>102.5</v>
      </c>
      <c r="H350" s="34">
        <f t="shared" si="60"/>
        <v>0</v>
      </c>
      <c r="I350" s="34">
        <f t="shared" si="67"/>
        <v>102.5</v>
      </c>
      <c r="J350" s="20"/>
      <c r="K350" s="34">
        <f t="array" ref="K350">IF(ROW(K350)&lt;=COUNTA(F:F)*2,IF(MOD(ROW(K350),2)=1,INDEX(F:F,(ROW(K350)+1)/2),INDEX(H:H,ROW(K350)/2)),"")</f>
        <v>-379.95</v>
      </c>
      <c r="L350" s="34">
        <f t="array" ref="L350">IF(ROW(L350)&lt;=COUNTA(G:G)*2,IF(MOD(ROW(L350),2)=1,INDEX(G:G,(ROW(L350)+1)/2),INDEX(I:I,ROW(L350)/2)),"")</f>
        <v>112.5</v>
      </c>
      <c r="N350" s="21">
        <f t="shared" si="68"/>
        <v>0</v>
      </c>
      <c r="O350" s="21">
        <f t="shared" si="69"/>
        <v>112.5</v>
      </c>
      <c r="P350" s="21">
        <f t="shared" si="61"/>
        <v>0</v>
      </c>
      <c r="Q350" s="21">
        <f t="shared" si="70"/>
        <v>112.5</v>
      </c>
      <c r="R350" s="21"/>
      <c r="S350" s="21">
        <f t="array" ref="S350">IF(ROW(S350)&lt;=COUNTA(N:N)*2,IF(MOD(ROW(S350),2)=1,INDEX(N:N,(ROW(S350)+1)/2),INDEX(P:P,ROW(S350)/2)),"")</f>
        <v>-379.95</v>
      </c>
      <c r="T350" s="21">
        <f t="array" ref="T350">IF(ROW(T350)&lt;=COUNTA(O:O)*2,IF(MOD(ROW(T350),2)=1,INDEX(O:O,(ROW(T350)+1)/2),INDEX(Q:Q,ROW(T350)/2)),"")</f>
        <v>119.5</v>
      </c>
      <c r="V350" s="22">
        <f t="shared" si="71"/>
        <v>0</v>
      </c>
      <c r="W350" s="22">
        <f t="shared" si="62"/>
        <v>122.5</v>
      </c>
      <c r="X350" s="22">
        <f t="shared" si="63"/>
        <v>0</v>
      </c>
      <c r="Y350" s="22">
        <f t="shared" si="64"/>
        <v>122.5</v>
      </c>
      <c r="Z350" s="22"/>
      <c r="AA350" s="22">
        <f t="array" ref="AA350">IF(ROW(AA350)&lt;=COUNTA(V:V)*2,IF(MOD(ROW(AA350),2)=1,INDEX(V:V,(ROW(AA350)+1)/2),INDEX(X:X,ROW(AA350)/2)),"")</f>
        <v>-379.95</v>
      </c>
      <c r="AB350" s="22">
        <f t="array" ref="AB350">IF(ROW(AB350)&lt;=COUNTA(W:W)*2,IF(MOD(ROW(AB350),2)=1,INDEX(W:W,(ROW(AB350)+1)/2),INDEX(Y:Y,ROW(AB350)/2)),"")</f>
        <v>125.18245</v>
      </c>
    </row>
    <row r="351" spans="1:28" s="2" customFormat="1" x14ac:dyDescent="0.25">
      <c r="A351" s="19"/>
      <c r="B351" s="20"/>
      <c r="C351" s="21"/>
      <c r="D351" s="22"/>
      <c r="F351" s="34">
        <f t="shared" si="65"/>
        <v>0</v>
      </c>
      <c r="G351" s="34">
        <f t="shared" si="66"/>
        <v>102.5</v>
      </c>
      <c r="H351" s="34">
        <f t="shared" si="60"/>
        <v>0</v>
      </c>
      <c r="I351" s="34">
        <f t="shared" si="67"/>
        <v>102.5</v>
      </c>
      <c r="J351" s="20"/>
      <c r="K351" s="34">
        <f t="array" ref="K351">IF(ROW(K351)&lt;=COUNTA(F:F)*2,IF(MOD(ROW(K351),2)=1,INDEX(F:F,(ROW(K351)+1)/2),INDEX(H:H,ROW(K351)/2)),"")</f>
        <v>-379.95</v>
      </c>
      <c r="L351" s="34">
        <f t="array" ref="L351">IF(ROW(L351)&lt;=COUNTA(G:G)*2,IF(MOD(ROW(L351),2)=1,INDEX(G:G,(ROW(L351)+1)/2),INDEX(I:I,ROW(L351)/2)),"")</f>
        <v>112.5</v>
      </c>
      <c r="N351" s="21">
        <f t="shared" si="68"/>
        <v>0</v>
      </c>
      <c r="O351" s="21">
        <f t="shared" si="69"/>
        <v>112.5</v>
      </c>
      <c r="P351" s="21">
        <f t="shared" si="61"/>
        <v>0</v>
      </c>
      <c r="Q351" s="21">
        <f t="shared" si="70"/>
        <v>112.5</v>
      </c>
      <c r="R351" s="21"/>
      <c r="S351" s="21">
        <f t="array" ref="S351">IF(ROW(S351)&lt;=COUNTA(N:N)*2,IF(MOD(ROW(S351),2)=1,INDEX(N:N,(ROW(S351)+1)/2),INDEX(P:P,ROW(S351)/2)),"")</f>
        <v>-379.95</v>
      </c>
      <c r="T351" s="21">
        <f t="array" ref="T351">IF(ROW(T351)&lt;=COUNTA(O:O)*2,IF(MOD(ROW(T351),2)=1,INDEX(O:O,(ROW(T351)+1)/2),INDEX(Q:Q,ROW(T351)/2)),"")</f>
        <v>120.6</v>
      </c>
      <c r="V351" s="22">
        <f t="shared" si="71"/>
        <v>0</v>
      </c>
      <c r="W351" s="22">
        <f t="shared" si="62"/>
        <v>122.5</v>
      </c>
      <c r="X351" s="22">
        <f t="shared" si="63"/>
        <v>0</v>
      </c>
      <c r="Y351" s="22">
        <f t="shared" si="64"/>
        <v>122.5</v>
      </c>
      <c r="Z351" s="22"/>
      <c r="AA351" s="22">
        <f t="array" ref="AA351">IF(ROW(AA351)&lt;=COUNTA(V:V)*2,IF(MOD(ROW(AA351),2)=1,INDEX(V:V,(ROW(AA351)+1)/2),INDEX(X:X,ROW(AA351)/2)),"")</f>
        <v>-379.95</v>
      </c>
      <c r="AB351" s="22">
        <f t="array" ref="AB351">IF(ROW(AB351)&lt;=COUNTA(W:W)*2,IF(MOD(ROW(AB351),2)=1,INDEX(W:W,(ROW(AB351)+1)/2),INDEX(Y:Y,ROW(AB351)/2)),"")</f>
        <v>125.18245</v>
      </c>
    </row>
    <row r="352" spans="1:28" s="2" customFormat="1" x14ac:dyDescent="0.25">
      <c r="A352" s="19"/>
      <c r="B352" s="20"/>
      <c r="C352" s="21"/>
      <c r="D352" s="22"/>
      <c r="F352" s="34">
        <f t="shared" si="65"/>
        <v>0</v>
      </c>
      <c r="G352" s="34">
        <f t="shared" si="66"/>
        <v>102.5</v>
      </c>
      <c r="H352" s="34">
        <f t="shared" si="60"/>
        <v>0</v>
      </c>
      <c r="I352" s="34">
        <f t="shared" si="67"/>
        <v>102.5</v>
      </c>
      <c r="J352" s="20"/>
      <c r="K352" s="34">
        <f t="array" ref="K352">IF(ROW(K352)&lt;=COUNTA(F:F)*2,IF(MOD(ROW(K352),2)=1,INDEX(F:F,(ROW(K352)+1)/2),INDEX(H:H,ROW(K352)/2)),"")</f>
        <v>-382.95</v>
      </c>
      <c r="L352" s="34">
        <f t="array" ref="L352">IF(ROW(L352)&lt;=COUNTA(G:G)*2,IF(MOD(ROW(L352),2)=1,INDEX(G:G,(ROW(L352)+1)/2),INDEX(I:I,ROW(L352)/2)),"")</f>
        <v>112.5</v>
      </c>
      <c r="N352" s="21">
        <f t="shared" si="68"/>
        <v>0</v>
      </c>
      <c r="O352" s="21">
        <f t="shared" si="69"/>
        <v>112.5</v>
      </c>
      <c r="P352" s="21">
        <f t="shared" si="61"/>
        <v>0</v>
      </c>
      <c r="Q352" s="21">
        <f t="shared" si="70"/>
        <v>112.5</v>
      </c>
      <c r="R352" s="21"/>
      <c r="S352" s="21">
        <f t="array" ref="S352">IF(ROW(S352)&lt;=COUNTA(N:N)*2,IF(MOD(ROW(S352),2)=1,INDEX(N:N,(ROW(S352)+1)/2),INDEX(P:P,ROW(S352)/2)),"")</f>
        <v>-382.95</v>
      </c>
      <c r="T352" s="21">
        <f t="array" ref="T352">IF(ROW(T352)&lt;=COUNTA(O:O)*2,IF(MOD(ROW(T352),2)=1,INDEX(O:O,(ROW(T352)+1)/2),INDEX(Q:Q,ROW(T352)/2)),"")</f>
        <v>120.6</v>
      </c>
      <c r="V352" s="22">
        <f t="shared" si="71"/>
        <v>0</v>
      </c>
      <c r="W352" s="22">
        <f t="shared" si="62"/>
        <v>122.5</v>
      </c>
      <c r="X352" s="22">
        <f t="shared" si="63"/>
        <v>0</v>
      </c>
      <c r="Y352" s="22">
        <f t="shared" si="64"/>
        <v>122.5</v>
      </c>
      <c r="Z352" s="22"/>
      <c r="AA352" s="22">
        <f t="array" ref="AA352">IF(ROW(AA352)&lt;=COUNTA(V:V)*2,IF(MOD(ROW(AA352),2)=1,INDEX(V:V,(ROW(AA352)+1)/2),INDEX(X:X,ROW(AA352)/2)),"")</f>
        <v>-382.95</v>
      </c>
      <c r="AB352" s="22">
        <f t="array" ref="AB352">IF(ROW(AB352)&lt;=COUNTA(W:W)*2,IF(MOD(ROW(AB352),2)=1,INDEX(W:W,(ROW(AB352)+1)/2),INDEX(Y:Y,ROW(AB352)/2)),"")</f>
        <v>125.18245</v>
      </c>
    </row>
    <row r="353" spans="1:28" s="2" customFormat="1" x14ac:dyDescent="0.25">
      <c r="A353" s="19"/>
      <c r="B353" s="20"/>
      <c r="C353" s="21"/>
      <c r="D353" s="22"/>
      <c r="F353" s="34">
        <f t="shared" si="65"/>
        <v>0</v>
      </c>
      <c r="G353" s="34">
        <f t="shared" si="66"/>
        <v>102.5</v>
      </c>
      <c r="H353" s="34">
        <f t="shared" si="60"/>
        <v>0</v>
      </c>
      <c r="I353" s="34">
        <f t="shared" si="67"/>
        <v>102.5</v>
      </c>
      <c r="J353" s="20"/>
      <c r="K353" s="34">
        <f t="array" ref="K353">IF(ROW(K353)&lt;=COUNTA(F:F)*2,IF(MOD(ROW(K353),2)=1,INDEX(F:F,(ROW(K353)+1)/2),INDEX(H:H,ROW(K353)/2)),"")</f>
        <v>-382.95</v>
      </c>
      <c r="L353" s="34">
        <f t="array" ref="L353">IF(ROW(L353)&lt;=COUNTA(G:G)*2,IF(MOD(ROW(L353),2)=1,INDEX(G:G,(ROW(L353)+1)/2),INDEX(I:I,ROW(L353)/2)),"")</f>
        <v>112.5</v>
      </c>
      <c r="N353" s="21">
        <f t="shared" si="68"/>
        <v>0</v>
      </c>
      <c r="O353" s="21">
        <f t="shared" si="69"/>
        <v>112.5</v>
      </c>
      <c r="P353" s="21">
        <f t="shared" si="61"/>
        <v>0</v>
      </c>
      <c r="Q353" s="21">
        <f t="shared" si="70"/>
        <v>112.5</v>
      </c>
      <c r="R353" s="21"/>
      <c r="S353" s="21">
        <f t="array" ref="S353">IF(ROW(S353)&lt;=COUNTA(N:N)*2,IF(MOD(ROW(S353),2)=1,INDEX(N:N,(ROW(S353)+1)/2),INDEX(P:P,ROW(S353)/2)),"")</f>
        <v>-382.95</v>
      </c>
      <c r="T353" s="21">
        <f t="array" ref="T353">IF(ROW(T353)&lt;=COUNTA(O:O)*2,IF(MOD(ROW(T353),2)=1,INDEX(O:O,(ROW(T353)+1)/2),INDEX(Q:Q,ROW(T353)/2)),"")</f>
        <v>119.4</v>
      </c>
      <c r="V353" s="22">
        <f t="shared" si="71"/>
        <v>0</v>
      </c>
      <c r="W353" s="22">
        <f t="shared" si="62"/>
        <v>122.5</v>
      </c>
      <c r="X353" s="22">
        <f t="shared" si="63"/>
        <v>0</v>
      </c>
      <c r="Y353" s="22">
        <f t="shared" si="64"/>
        <v>122.5</v>
      </c>
      <c r="Z353" s="22"/>
      <c r="AA353" s="22">
        <f t="array" ref="AA353">IF(ROW(AA353)&lt;=COUNTA(V:V)*2,IF(MOD(ROW(AA353),2)=1,INDEX(V:V,(ROW(AA353)+1)/2),INDEX(X:X,ROW(AA353)/2)),"")</f>
        <v>-382.95</v>
      </c>
      <c r="AB353" s="22">
        <f t="array" ref="AB353">IF(ROW(AB353)&lt;=COUNTA(W:W)*2,IF(MOD(ROW(AB353),2)=1,INDEX(W:W,(ROW(AB353)+1)/2),INDEX(Y:Y,ROW(AB353)/2)),"")</f>
        <v>125.18245</v>
      </c>
    </row>
    <row r="354" spans="1:28" s="2" customFormat="1" x14ac:dyDescent="0.25">
      <c r="A354" s="19"/>
      <c r="B354" s="20"/>
      <c r="C354" s="21"/>
      <c r="D354" s="22"/>
      <c r="F354" s="34">
        <f t="shared" si="65"/>
        <v>0</v>
      </c>
      <c r="G354" s="34">
        <f t="shared" si="66"/>
        <v>102.5</v>
      </c>
      <c r="H354" s="34">
        <f t="shared" si="60"/>
        <v>0</v>
      </c>
      <c r="I354" s="34">
        <f t="shared" si="67"/>
        <v>102.5</v>
      </c>
      <c r="J354" s="20"/>
      <c r="K354" s="34">
        <f t="array" ref="K354">IF(ROW(K354)&lt;=COUNTA(F:F)*2,IF(MOD(ROW(K354),2)=1,INDEX(F:F,(ROW(K354)+1)/2),INDEX(H:H,ROW(K354)/2)),"")</f>
        <v>-385.95</v>
      </c>
      <c r="L354" s="34">
        <f t="array" ref="L354">IF(ROW(L354)&lt;=COUNTA(G:G)*2,IF(MOD(ROW(L354),2)=1,INDEX(G:G,(ROW(L354)+1)/2),INDEX(I:I,ROW(L354)/2)),"")</f>
        <v>112.5</v>
      </c>
      <c r="N354" s="21">
        <f t="shared" si="68"/>
        <v>0</v>
      </c>
      <c r="O354" s="21">
        <f t="shared" si="69"/>
        <v>112.5</v>
      </c>
      <c r="P354" s="21">
        <f t="shared" si="61"/>
        <v>0</v>
      </c>
      <c r="Q354" s="21">
        <f t="shared" si="70"/>
        <v>112.5</v>
      </c>
      <c r="R354" s="21"/>
      <c r="S354" s="21">
        <f t="array" ref="S354">IF(ROW(S354)&lt;=COUNTA(N:N)*2,IF(MOD(ROW(S354),2)=1,INDEX(N:N,(ROW(S354)+1)/2),INDEX(P:P,ROW(S354)/2)),"")</f>
        <v>-385.95</v>
      </c>
      <c r="T354" s="21">
        <f t="array" ref="T354">IF(ROW(T354)&lt;=COUNTA(O:O)*2,IF(MOD(ROW(T354),2)=1,INDEX(O:O,(ROW(T354)+1)/2),INDEX(Q:Q,ROW(T354)/2)),"")</f>
        <v>119.4</v>
      </c>
      <c r="V354" s="22">
        <f t="shared" si="71"/>
        <v>0</v>
      </c>
      <c r="W354" s="22">
        <f t="shared" si="62"/>
        <v>122.5</v>
      </c>
      <c r="X354" s="22">
        <f t="shared" si="63"/>
        <v>0</v>
      </c>
      <c r="Y354" s="22">
        <f t="shared" si="64"/>
        <v>122.5</v>
      </c>
      <c r="Z354" s="22"/>
      <c r="AA354" s="22">
        <f t="array" ref="AA354">IF(ROW(AA354)&lt;=COUNTA(V:V)*2,IF(MOD(ROW(AA354),2)=1,INDEX(V:V,(ROW(AA354)+1)/2),INDEX(X:X,ROW(AA354)/2)),"")</f>
        <v>-385.95</v>
      </c>
      <c r="AB354" s="22">
        <f t="array" ref="AB354">IF(ROW(AB354)&lt;=COUNTA(W:W)*2,IF(MOD(ROW(AB354),2)=1,INDEX(W:W,(ROW(AB354)+1)/2),INDEX(Y:Y,ROW(AB354)/2)),"")</f>
        <v>125.18245</v>
      </c>
    </row>
    <row r="355" spans="1:28" s="2" customFormat="1" x14ac:dyDescent="0.25">
      <c r="A355" s="19"/>
      <c r="B355" s="20"/>
      <c r="C355" s="21"/>
      <c r="D355" s="22"/>
      <c r="F355" s="34">
        <f t="shared" si="65"/>
        <v>0</v>
      </c>
      <c r="G355" s="34">
        <f t="shared" si="66"/>
        <v>102.5</v>
      </c>
      <c r="H355" s="34">
        <f t="shared" si="60"/>
        <v>0</v>
      </c>
      <c r="I355" s="34">
        <f t="shared" si="67"/>
        <v>102.5</v>
      </c>
      <c r="J355" s="20"/>
      <c r="K355" s="34">
        <f t="array" ref="K355">IF(ROW(K355)&lt;=COUNTA(F:F)*2,IF(MOD(ROW(K355),2)=1,INDEX(F:F,(ROW(K355)+1)/2),INDEX(H:H,ROW(K355)/2)),"")</f>
        <v>-385.95</v>
      </c>
      <c r="L355" s="34">
        <f t="array" ref="L355">IF(ROW(L355)&lt;=COUNTA(G:G)*2,IF(MOD(ROW(L355),2)=1,INDEX(G:G,(ROW(L355)+1)/2),INDEX(I:I,ROW(L355)/2)),"")</f>
        <v>112.5</v>
      </c>
      <c r="N355" s="21">
        <f t="shared" si="68"/>
        <v>0</v>
      </c>
      <c r="O355" s="21">
        <f t="shared" si="69"/>
        <v>112.5</v>
      </c>
      <c r="P355" s="21">
        <f t="shared" si="61"/>
        <v>0</v>
      </c>
      <c r="Q355" s="21">
        <f t="shared" si="70"/>
        <v>112.5</v>
      </c>
      <c r="R355" s="21"/>
      <c r="S355" s="21">
        <f t="array" ref="S355">IF(ROW(S355)&lt;=COUNTA(N:N)*2,IF(MOD(ROW(S355),2)=1,INDEX(N:N,(ROW(S355)+1)/2),INDEX(P:P,ROW(S355)/2)),"")</f>
        <v>-385.95</v>
      </c>
      <c r="T355" s="21">
        <f t="array" ref="T355">IF(ROW(T355)&lt;=COUNTA(O:O)*2,IF(MOD(ROW(T355),2)=1,INDEX(O:O,(ROW(T355)+1)/2),INDEX(Q:Q,ROW(T355)/2)),"")</f>
        <v>119.7</v>
      </c>
      <c r="V355" s="22">
        <f t="shared" si="71"/>
        <v>0</v>
      </c>
      <c r="W355" s="22">
        <f t="shared" si="62"/>
        <v>122.5</v>
      </c>
      <c r="X355" s="22">
        <f t="shared" si="63"/>
        <v>0</v>
      </c>
      <c r="Y355" s="22">
        <f t="shared" si="64"/>
        <v>122.5</v>
      </c>
      <c r="Z355" s="22"/>
      <c r="AA355" s="22">
        <f t="array" ref="AA355">IF(ROW(AA355)&lt;=COUNTA(V:V)*2,IF(MOD(ROW(AA355),2)=1,INDEX(V:V,(ROW(AA355)+1)/2),INDEX(X:X,ROW(AA355)/2)),"")</f>
        <v>-385.95</v>
      </c>
      <c r="AB355" s="22">
        <f t="array" ref="AB355">IF(ROW(AB355)&lt;=COUNTA(W:W)*2,IF(MOD(ROW(AB355),2)=1,INDEX(W:W,(ROW(AB355)+1)/2),INDEX(Y:Y,ROW(AB355)/2)),"")</f>
        <v>125.38115</v>
      </c>
    </row>
    <row r="356" spans="1:28" s="2" customFormat="1" x14ac:dyDescent="0.25">
      <c r="A356" s="19"/>
      <c r="B356" s="20"/>
      <c r="C356" s="21"/>
      <c r="D356" s="22"/>
      <c r="F356" s="34">
        <f t="shared" si="65"/>
        <v>0</v>
      </c>
      <c r="G356" s="34">
        <f t="shared" si="66"/>
        <v>102.5</v>
      </c>
      <c r="H356" s="34">
        <f t="shared" si="60"/>
        <v>0</v>
      </c>
      <c r="I356" s="34">
        <f t="shared" si="67"/>
        <v>102.5</v>
      </c>
      <c r="J356" s="20"/>
      <c r="K356" s="34">
        <f t="array" ref="K356">IF(ROW(K356)&lt;=COUNTA(F:F)*2,IF(MOD(ROW(K356),2)=1,INDEX(F:F,(ROW(K356)+1)/2),INDEX(H:H,ROW(K356)/2)),"")</f>
        <v>-388.95</v>
      </c>
      <c r="L356" s="34">
        <f t="array" ref="L356">IF(ROW(L356)&lt;=COUNTA(G:G)*2,IF(MOD(ROW(L356),2)=1,INDEX(G:G,(ROW(L356)+1)/2),INDEX(I:I,ROW(L356)/2)),"")</f>
        <v>112.5</v>
      </c>
      <c r="N356" s="21">
        <f t="shared" si="68"/>
        <v>0</v>
      </c>
      <c r="O356" s="21">
        <f t="shared" si="69"/>
        <v>112.5</v>
      </c>
      <c r="P356" s="21">
        <f t="shared" si="61"/>
        <v>0</v>
      </c>
      <c r="Q356" s="21">
        <f t="shared" si="70"/>
        <v>112.5</v>
      </c>
      <c r="R356" s="21"/>
      <c r="S356" s="21">
        <f t="array" ref="S356">IF(ROW(S356)&lt;=COUNTA(N:N)*2,IF(MOD(ROW(S356),2)=1,INDEX(N:N,(ROW(S356)+1)/2),INDEX(P:P,ROW(S356)/2)),"")</f>
        <v>-388.95</v>
      </c>
      <c r="T356" s="21">
        <f t="array" ref="T356">IF(ROW(T356)&lt;=COUNTA(O:O)*2,IF(MOD(ROW(T356),2)=1,INDEX(O:O,(ROW(T356)+1)/2),INDEX(Q:Q,ROW(T356)/2)),"")</f>
        <v>119.7</v>
      </c>
      <c r="V356" s="22">
        <f t="shared" si="71"/>
        <v>0</v>
      </c>
      <c r="W356" s="22">
        <f t="shared" si="62"/>
        <v>122.5</v>
      </c>
      <c r="X356" s="22">
        <f t="shared" si="63"/>
        <v>0</v>
      </c>
      <c r="Y356" s="22">
        <f t="shared" si="64"/>
        <v>122.5</v>
      </c>
      <c r="Z356" s="22"/>
      <c r="AA356" s="22">
        <f t="array" ref="AA356">IF(ROW(AA356)&lt;=COUNTA(V:V)*2,IF(MOD(ROW(AA356),2)=1,INDEX(V:V,(ROW(AA356)+1)/2),INDEX(X:X,ROW(AA356)/2)),"")</f>
        <v>-388.95</v>
      </c>
      <c r="AB356" s="22">
        <f t="array" ref="AB356">IF(ROW(AB356)&lt;=COUNTA(W:W)*2,IF(MOD(ROW(AB356),2)=1,INDEX(W:W,(ROW(AB356)+1)/2),INDEX(Y:Y,ROW(AB356)/2)),"")</f>
        <v>125.38115</v>
      </c>
    </row>
    <row r="357" spans="1:28" s="2" customFormat="1" x14ac:dyDescent="0.25">
      <c r="A357" s="19"/>
      <c r="B357" s="20"/>
      <c r="C357" s="21"/>
      <c r="D357" s="22"/>
      <c r="F357" s="34">
        <f t="shared" si="65"/>
        <v>0</v>
      </c>
      <c r="G357" s="34">
        <f t="shared" si="66"/>
        <v>102.5</v>
      </c>
      <c r="H357" s="34">
        <f t="shared" si="60"/>
        <v>0</v>
      </c>
      <c r="I357" s="34">
        <f t="shared" si="67"/>
        <v>102.5</v>
      </c>
      <c r="J357" s="20"/>
      <c r="K357" s="34">
        <f t="array" ref="K357">IF(ROW(K357)&lt;=COUNTA(F:F)*2,IF(MOD(ROW(K357),2)=1,INDEX(F:F,(ROW(K357)+1)/2),INDEX(H:H,ROW(K357)/2)),"")</f>
        <v>-388.95</v>
      </c>
      <c r="L357" s="34">
        <f t="array" ref="L357">IF(ROW(L357)&lt;=COUNTA(G:G)*2,IF(MOD(ROW(L357),2)=1,INDEX(G:G,(ROW(L357)+1)/2),INDEX(I:I,ROW(L357)/2)),"")</f>
        <v>112.5</v>
      </c>
      <c r="N357" s="21">
        <f t="shared" si="68"/>
        <v>0</v>
      </c>
      <c r="O357" s="21">
        <f t="shared" si="69"/>
        <v>112.5</v>
      </c>
      <c r="P357" s="21">
        <f t="shared" si="61"/>
        <v>0</v>
      </c>
      <c r="Q357" s="21">
        <f t="shared" si="70"/>
        <v>112.5</v>
      </c>
      <c r="R357" s="21"/>
      <c r="S357" s="21">
        <f t="array" ref="S357">IF(ROW(S357)&lt;=COUNTA(N:N)*2,IF(MOD(ROW(S357),2)=1,INDEX(N:N,(ROW(S357)+1)/2),INDEX(P:P,ROW(S357)/2)),"")</f>
        <v>-388.95</v>
      </c>
      <c r="T357" s="21">
        <f t="array" ref="T357">IF(ROW(T357)&lt;=COUNTA(O:O)*2,IF(MOD(ROW(T357),2)=1,INDEX(O:O,(ROW(T357)+1)/2),INDEX(Q:Q,ROW(T357)/2)),"")</f>
        <v>118.7</v>
      </c>
      <c r="V357" s="22">
        <f t="shared" si="71"/>
        <v>0</v>
      </c>
      <c r="W357" s="22">
        <f t="shared" si="62"/>
        <v>122.5</v>
      </c>
      <c r="X357" s="22">
        <f t="shared" si="63"/>
        <v>0</v>
      </c>
      <c r="Y357" s="22">
        <f t="shared" si="64"/>
        <v>122.5</v>
      </c>
      <c r="Z357" s="22"/>
      <c r="AA357" s="22">
        <f t="array" ref="AA357">IF(ROW(AA357)&lt;=COUNTA(V:V)*2,IF(MOD(ROW(AA357),2)=1,INDEX(V:V,(ROW(AA357)+1)/2),INDEX(X:X,ROW(AA357)/2)),"")</f>
        <v>-388.95</v>
      </c>
      <c r="AB357" s="22">
        <f t="array" ref="AB357">IF(ROW(AB357)&lt;=COUNTA(W:W)*2,IF(MOD(ROW(AB357),2)=1,INDEX(W:W,(ROW(AB357)+1)/2),INDEX(Y:Y,ROW(AB357)/2)),"")</f>
        <v>125.13715</v>
      </c>
    </row>
    <row r="358" spans="1:28" s="2" customFormat="1" x14ac:dyDescent="0.25">
      <c r="A358" s="19"/>
      <c r="B358" s="20"/>
      <c r="C358" s="21"/>
      <c r="D358" s="22"/>
      <c r="F358" s="34">
        <f t="shared" si="65"/>
        <v>0</v>
      </c>
      <c r="G358" s="34">
        <f t="shared" si="66"/>
        <v>102.5</v>
      </c>
      <c r="H358" s="34">
        <f t="shared" si="60"/>
        <v>0</v>
      </c>
      <c r="I358" s="34">
        <f t="shared" si="67"/>
        <v>102.5</v>
      </c>
      <c r="J358" s="20"/>
      <c r="K358" s="34">
        <f t="array" ref="K358">IF(ROW(K358)&lt;=COUNTA(F:F)*2,IF(MOD(ROW(K358),2)=1,INDEX(F:F,(ROW(K358)+1)/2),INDEX(H:H,ROW(K358)/2)),"")</f>
        <v>-391.95</v>
      </c>
      <c r="L358" s="34">
        <f t="array" ref="L358">IF(ROW(L358)&lt;=COUNTA(G:G)*2,IF(MOD(ROW(L358),2)=1,INDEX(G:G,(ROW(L358)+1)/2),INDEX(I:I,ROW(L358)/2)),"")</f>
        <v>112.5</v>
      </c>
      <c r="N358" s="21">
        <f t="shared" si="68"/>
        <v>0</v>
      </c>
      <c r="O358" s="21">
        <f t="shared" si="69"/>
        <v>112.5</v>
      </c>
      <c r="P358" s="21">
        <f t="shared" si="61"/>
        <v>0</v>
      </c>
      <c r="Q358" s="21">
        <f t="shared" si="70"/>
        <v>112.5</v>
      </c>
      <c r="R358" s="21"/>
      <c r="S358" s="21">
        <f t="array" ref="S358">IF(ROW(S358)&lt;=COUNTA(N:N)*2,IF(MOD(ROW(S358),2)=1,INDEX(N:N,(ROW(S358)+1)/2),INDEX(P:P,ROW(S358)/2)),"")</f>
        <v>-391.95</v>
      </c>
      <c r="T358" s="21">
        <f t="array" ref="T358">IF(ROW(T358)&lt;=COUNTA(O:O)*2,IF(MOD(ROW(T358),2)=1,INDEX(O:O,(ROW(T358)+1)/2),INDEX(Q:Q,ROW(T358)/2)),"")</f>
        <v>118.7</v>
      </c>
      <c r="V358" s="22">
        <f t="shared" si="71"/>
        <v>0</v>
      </c>
      <c r="W358" s="22">
        <f t="shared" si="62"/>
        <v>122.5</v>
      </c>
      <c r="X358" s="22">
        <f t="shared" si="63"/>
        <v>0</v>
      </c>
      <c r="Y358" s="22">
        <f t="shared" si="64"/>
        <v>122.5</v>
      </c>
      <c r="Z358" s="22"/>
      <c r="AA358" s="22">
        <f t="array" ref="AA358">IF(ROW(AA358)&lt;=COUNTA(V:V)*2,IF(MOD(ROW(AA358),2)=1,INDEX(V:V,(ROW(AA358)+1)/2),INDEX(X:X,ROW(AA358)/2)),"")</f>
        <v>-391.95</v>
      </c>
      <c r="AB358" s="22">
        <f t="array" ref="AB358">IF(ROW(AB358)&lt;=COUNTA(W:W)*2,IF(MOD(ROW(AB358),2)=1,INDEX(W:W,(ROW(AB358)+1)/2),INDEX(Y:Y,ROW(AB358)/2)),"")</f>
        <v>125.13715</v>
      </c>
    </row>
    <row r="359" spans="1:28" s="2" customFormat="1" x14ac:dyDescent="0.25">
      <c r="A359" s="19"/>
      <c r="B359" s="20"/>
      <c r="C359" s="21"/>
      <c r="D359" s="22"/>
      <c r="F359" s="34">
        <f t="shared" si="65"/>
        <v>0</v>
      </c>
      <c r="G359" s="34">
        <f t="shared" si="66"/>
        <v>102.5</v>
      </c>
      <c r="H359" s="34">
        <f t="shared" si="60"/>
        <v>0</v>
      </c>
      <c r="I359" s="34">
        <f t="shared" si="67"/>
        <v>102.5</v>
      </c>
      <c r="J359" s="20"/>
      <c r="K359" s="34">
        <f t="array" ref="K359">IF(ROW(K359)&lt;=COUNTA(F:F)*2,IF(MOD(ROW(K359),2)=1,INDEX(F:F,(ROW(K359)+1)/2),INDEX(H:H,ROW(K359)/2)),"")</f>
        <v>-391.95</v>
      </c>
      <c r="L359" s="34">
        <f t="array" ref="L359">IF(ROW(L359)&lt;=COUNTA(G:G)*2,IF(MOD(ROW(L359),2)=1,INDEX(G:G,(ROW(L359)+1)/2),INDEX(I:I,ROW(L359)/2)),"")</f>
        <v>112.5</v>
      </c>
      <c r="N359" s="21">
        <f t="shared" si="68"/>
        <v>0</v>
      </c>
      <c r="O359" s="21">
        <f t="shared" si="69"/>
        <v>112.5</v>
      </c>
      <c r="P359" s="21">
        <f t="shared" si="61"/>
        <v>0</v>
      </c>
      <c r="Q359" s="21">
        <f t="shared" si="70"/>
        <v>112.5</v>
      </c>
      <c r="R359" s="21"/>
      <c r="S359" s="21">
        <f t="array" ref="S359">IF(ROW(S359)&lt;=COUNTA(N:N)*2,IF(MOD(ROW(S359),2)=1,INDEX(N:N,(ROW(S359)+1)/2),INDEX(P:P,ROW(S359)/2)),"")</f>
        <v>-391.95</v>
      </c>
      <c r="T359" s="21">
        <f t="array" ref="T359">IF(ROW(T359)&lt;=COUNTA(O:O)*2,IF(MOD(ROW(T359),2)=1,INDEX(O:O,(ROW(T359)+1)/2),INDEX(Q:Q,ROW(T359)/2)),"")</f>
        <v>122</v>
      </c>
      <c r="V359" s="22">
        <f t="shared" si="71"/>
        <v>0</v>
      </c>
      <c r="W359" s="22">
        <f t="shared" si="62"/>
        <v>122.5</v>
      </c>
      <c r="X359" s="22">
        <f t="shared" si="63"/>
        <v>0</v>
      </c>
      <c r="Y359" s="22">
        <f t="shared" si="64"/>
        <v>122.5</v>
      </c>
      <c r="Z359" s="22"/>
      <c r="AA359" s="22">
        <f t="array" ref="AA359">IF(ROW(AA359)&lt;=COUNTA(V:V)*2,IF(MOD(ROW(AA359),2)=1,INDEX(V:V,(ROW(AA359)+1)/2),INDEX(X:X,ROW(AA359)/2)),"")</f>
        <v>-391.95</v>
      </c>
      <c r="AB359" s="22">
        <f t="array" ref="AB359">IF(ROW(AB359)&lt;=COUNTA(W:W)*2,IF(MOD(ROW(AB359),2)=1,INDEX(W:W,(ROW(AB359)+1)/2),INDEX(Y:Y,ROW(AB359)/2)),"")</f>
        <v>125.18245</v>
      </c>
    </row>
    <row r="360" spans="1:28" s="2" customFormat="1" x14ac:dyDescent="0.25">
      <c r="A360" s="19"/>
      <c r="B360" s="20"/>
      <c r="C360" s="21"/>
      <c r="D360" s="22"/>
      <c r="F360" s="34">
        <f t="shared" si="65"/>
        <v>0</v>
      </c>
      <c r="G360" s="34">
        <f t="shared" si="66"/>
        <v>102.5</v>
      </c>
      <c r="H360" s="34">
        <f t="shared" si="60"/>
        <v>0</v>
      </c>
      <c r="I360" s="34">
        <f t="shared" si="67"/>
        <v>102.5</v>
      </c>
      <c r="J360" s="20"/>
      <c r="K360" s="34">
        <f t="array" ref="K360">IF(ROW(K360)&lt;=COUNTA(F:F)*2,IF(MOD(ROW(K360),2)=1,INDEX(F:F,(ROW(K360)+1)/2),INDEX(H:H,ROW(K360)/2)),"")</f>
        <v>-394.95</v>
      </c>
      <c r="L360" s="34">
        <f t="array" ref="L360">IF(ROW(L360)&lt;=COUNTA(G:G)*2,IF(MOD(ROW(L360),2)=1,INDEX(G:G,(ROW(L360)+1)/2),INDEX(I:I,ROW(L360)/2)),"")</f>
        <v>112.5</v>
      </c>
      <c r="N360" s="21">
        <f t="shared" si="68"/>
        <v>0</v>
      </c>
      <c r="O360" s="21">
        <f t="shared" si="69"/>
        <v>112.5</v>
      </c>
      <c r="P360" s="21">
        <f t="shared" si="61"/>
        <v>0</v>
      </c>
      <c r="Q360" s="21">
        <f t="shared" si="70"/>
        <v>112.5</v>
      </c>
      <c r="R360" s="21"/>
      <c r="S360" s="21">
        <f t="array" ref="S360">IF(ROW(S360)&lt;=COUNTA(N:N)*2,IF(MOD(ROW(S360),2)=1,INDEX(N:N,(ROW(S360)+1)/2),INDEX(P:P,ROW(S360)/2)),"")</f>
        <v>-394.95</v>
      </c>
      <c r="T360" s="21">
        <f t="array" ref="T360">IF(ROW(T360)&lt;=COUNTA(O:O)*2,IF(MOD(ROW(T360),2)=1,INDEX(O:O,(ROW(T360)+1)/2),INDEX(Q:Q,ROW(T360)/2)),"")</f>
        <v>122</v>
      </c>
      <c r="V360" s="22">
        <f t="shared" si="71"/>
        <v>0</v>
      </c>
      <c r="W360" s="22">
        <f t="shared" si="62"/>
        <v>122.5</v>
      </c>
      <c r="X360" s="22">
        <f t="shared" si="63"/>
        <v>0</v>
      </c>
      <c r="Y360" s="22">
        <f t="shared" si="64"/>
        <v>122.5</v>
      </c>
      <c r="Z360" s="22"/>
      <c r="AA360" s="22">
        <f t="array" ref="AA360">IF(ROW(AA360)&lt;=COUNTA(V:V)*2,IF(MOD(ROW(AA360),2)=1,INDEX(V:V,(ROW(AA360)+1)/2),INDEX(X:X,ROW(AA360)/2)),"")</f>
        <v>-394.95</v>
      </c>
      <c r="AB360" s="22">
        <f t="array" ref="AB360">IF(ROW(AB360)&lt;=COUNTA(W:W)*2,IF(MOD(ROW(AB360),2)=1,INDEX(W:W,(ROW(AB360)+1)/2),INDEX(Y:Y,ROW(AB360)/2)),"")</f>
        <v>125.18245</v>
      </c>
    </row>
    <row r="361" spans="1:28" s="2" customFormat="1" x14ac:dyDescent="0.25">
      <c r="A361" s="19"/>
      <c r="B361" s="20"/>
      <c r="C361" s="21"/>
      <c r="D361" s="22"/>
      <c r="F361" s="34">
        <f t="shared" si="65"/>
        <v>0</v>
      </c>
      <c r="G361" s="34">
        <f t="shared" si="66"/>
        <v>102.5</v>
      </c>
      <c r="H361" s="34">
        <f t="shared" si="60"/>
        <v>0</v>
      </c>
      <c r="I361" s="34">
        <f t="shared" si="67"/>
        <v>102.5</v>
      </c>
      <c r="J361" s="20"/>
      <c r="K361" s="34">
        <f t="array" ref="K361">IF(ROW(K361)&lt;=COUNTA(F:F)*2,IF(MOD(ROW(K361),2)=1,INDEX(F:F,(ROW(K361)+1)/2),INDEX(H:H,ROW(K361)/2)),"")</f>
        <v>-394.95</v>
      </c>
      <c r="L361" s="34">
        <f t="array" ref="L361">IF(ROW(L361)&lt;=COUNTA(G:G)*2,IF(MOD(ROW(L361),2)=1,INDEX(G:G,(ROW(L361)+1)/2),INDEX(I:I,ROW(L361)/2)),"")</f>
        <v>112.5</v>
      </c>
      <c r="N361" s="21">
        <f t="shared" si="68"/>
        <v>0</v>
      </c>
      <c r="O361" s="21">
        <f t="shared" si="69"/>
        <v>112.5</v>
      </c>
      <c r="P361" s="21">
        <f t="shared" si="61"/>
        <v>0</v>
      </c>
      <c r="Q361" s="21">
        <f t="shared" si="70"/>
        <v>112.5</v>
      </c>
      <c r="R361" s="21"/>
      <c r="S361" s="21">
        <f t="array" ref="S361">IF(ROW(S361)&lt;=COUNTA(N:N)*2,IF(MOD(ROW(S361),2)=1,INDEX(N:N,(ROW(S361)+1)/2),INDEX(P:P,ROW(S361)/2)),"")</f>
        <v>-394.95</v>
      </c>
      <c r="T361" s="21">
        <f t="array" ref="T361">IF(ROW(T361)&lt;=COUNTA(O:O)*2,IF(MOD(ROW(T361),2)=1,INDEX(O:O,(ROW(T361)+1)/2),INDEX(Q:Q,ROW(T361)/2)),"")</f>
        <v>119.8</v>
      </c>
      <c r="V361" s="22">
        <f t="shared" si="71"/>
        <v>0</v>
      </c>
      <c r="W361" s="22">
        <f t="shared" si="62"/>
        <v>122.5</v>
      </c>
      <c r="X361" s="22">
        <f t="shared" si="63"/>
        <v>0</v>
      </c>
      <c r="Y361" s="22">
        <f t="shared" si="64"/>
        <v>122.5</v>
      </c>
      <c r="Z361" s="22"/>
      <c r="AA361" s="22">
        <f t="array" ref="AA361">IF(ROW(AA361)&lt;=COUNTA(V:V)*2,IF(MOD(ROW(AA361),2)=1,INDEX(V:V,(ROW(AA361)+1)/2),INDEX(X:X,ROW(AA361)/2)),"")</f>
        <v>-394.95</v>
      </c>
      <c r="AB361" s="22">
        <f t="array" ref="AB361">IF(ROW(AB361)&lt;=COUNTA(W:W)*2,IF(MOD(ROW(AB361),2)=1,INDEX(W:W,(ROW(AB361)+1)/2),INDEX(Y:Y,ROW(AB361)/2)),"")</f>
        <v>125.18245</v>
      </c>
    </row>
    <row r="362" spans="1:28" s="2" customFormat="1" x14ac:dyDescent="0.25">
      <c r="A362" s="19"/>
      <c r="B362" s="20"/>
      <c r="C362" s="21"/>
      <c r="D362" s="22"/>
      <c r="F362" s="34">
        <f t="shared" si="65"/>
        <v>0</v>
      </c>
      <c r="G362" s="34">
        <f t="shared" si="66"/>
        <v>102.5</v>
      </c>
      <c r="H362" s="34">
        <f t="shared" si="60"/>
        <v>0</v>
      </c>
      <c r="I362" s="34">
        <f t="shared" si="67"/>
        <v>102.5</v>
      </c>
      <c r="J362" s="20"/>
      <c r="K362" s="34">
        <f t="array" ref="K362">IF(ROW(K362)&lt;=COUNTA(F:F)*2,IF(MOD(ROW(K362),2)=1,INDEX(F:F,(ROW(K362)+1)/2),INDEX(H:H,ROW(K362)/2)),"")</f>
        <v>-397.95</v>
      </c>
      <c r="L362" s="34">
        <f t="array" ref="L362">IF(ROW(L362)&lt;=COUNTA(G:G)*2,IF(MOD(ROW(L362),2)=1,INDEX(G:G,(ROW(L362)+1)/2),INDEX(I:I,ROW(L362)/2)),"")</f>
        <v>112.5</v>
      </c>
      <c r="N362" s="21">
        <f t="shared" si="68"/>
        <v>0</v>
      </c>
      <c r="O362" s="21">
        <f t="shared" si="69"/>
        <v>112.5</v>
      </c>
      <c r="P362" s="21">
        <f t="shared" si="61"/>
        <v>0</v>
      </c>
      <c r="Q362" s="21">
        <f t="shared" si="70"/>
        <v>112.5</v>
      </c>
      <c r="R362" s="21"/>
      <c r="S362" s="21">
        <f t="array" ref="S362">IF(ROW(S362)&lt;=COUNTA(N:N)*2,IF(MOD(ROW(S362),2)=1,INDEX(N:N,(ROW(S362)+1)/2),INDEX(P:P,ROW(S362)/2)),"")</f>
        <v>-397.95</v>
      </c>
      <c r="T362" s="21">
        <f t="array" ref="T362">IF(ROW(T362)&lt;=COUNTA(O:O)*2,IF(MOD(ROW(T362),2)=1,INDEX(O:O,(ROW(T362)+1)/2),INDEX(Q:Q,ROW(T362)/2)),"")</f>
        <v>119.8</v>
      </c>
      <c r="V362" s="22">
        <f t="shared" si="71"/>
        <v>0</v>
      </c>
      <c r="W362" s="22">
        <f t="shared" si="62"/>
        <v>122.5</v>
      </c>
      <c r="X362" s="22">
        <f t="shared" si="63"/>
        <v>0</v>
      </c>
      <c r="Y362" s="22">
        <f t="shared" si="64"/>
        <v>122.5</v>
      </c>
      <c r="Z362" s="22"/>
      <c r="AA362" s="22">
        <f t="array" ref="AA362">IF(ROW(AA362)&lt;=COUNTA(V:V)*2,IF(MOD(ROW(AA362),2)=1,INDEX(V:V,(ROW(AA362)+1)/2),INDEX(X:X,ROW(AA362)/2)),"")</f>
        <v>-397.95</v>
      </c>
      <c r="AB362" s="22">
        <f t="array" ref="AB362">IF(ROW(AB362)&lt;=COUNTA(W:W)*2,IF(MOD(ROW(AB362),2)=1,INDEX(W:W,(ROW(AB362)+1)/2),INDEX(Y:Y,ROW(AB362)/2)),"")</f>
        <v>125.18245</v>
      </c>
    </row>
    <row r="363" spans="1:28" s="2" customFormat="1" x14ac:dyDescent="0.25">
      <c r="A363" s="19"/>
      <c r="B363" s="20"/>
      <c r="C363" s="21"/>
      <c r="D363" s="22"/>
      <c r="F363" s="34">
        <f t="shared" si="65"/>
        <v>0</v>
      </c>
      <c r="G363" s="34">
        <f t="shared" si="66"/>
        <v>102.5</v>
      </c>
      <c r="H363" s="34">
        <f t="shared" si="60"/>
        <v>0</v>
      </c>
      <c r="I363" s="34">
        <f t="shared" si="67"/>
        <v>102.5</v>
      </c>
      <c r="J363" s="20"/>
      <c r="K363" s="34">
        <f t="array" ref="K363">IF(ROW(K363)&lt;=COUNTA(F:F)*2,IF(MOD(ROW(K363),2)=1,INDEX(F:F,(ROW(K363)+1)/2),INDEX(H:H,ROW(K363)/2)),"")</f>
        <v>-397.95</v>
      </c>
      <c r="L363" s="34">
        <f t="array" ref="L363">IF(ROW(L363)&lt;=COUNTA(G:G)*2,IF(MOD(ROW(L363),2)=1,INDEX(G:G,(ROW(L363)+1)/2),INDEX(I:I,ROW(L363)/2)),"")</f>
        <v>112.5</v>
      </c>
      <c r="N363" s="21">
        <f t="shared" si="68"/>
        <v>0</v>
      </c>
      <c r="O363" s="21">
        <f t="shared" si="69"/>
        <v>112.5</v>
      </c>
      <c r="P363" s="21">
        <f t="shared" si="61"/>
        <v>0</v>
      </c>
      <c r="Q363" s="21">
        <f t="shared" si="70"/>
        <v>112.5</v>
      </c>
      <c r="R363" s="21"/>
      <c r="S363" s="21">
        <f t="array" ref="S363">IF(ROW(S363)&lt;=COUNTA(N:N)*2,IF(MOD(ROW(S363),2)=1,INDEX(N:N,(ROW(S363)+1)/2),INDEX(P:P,ROW(S363)/2)),"")</f>
        <v>-397.95</v>
      </c>
      <c r="T363" s="21">
        <f t="array" ref="T363">IF(ROW(T363)&lt;=COUNTA(O:O)*2,IF(MOD(ROW(T363),2)=1,INDEX(O:O,(ROW(T363)+1)/2),INDEX(Q:Q,ROW(T363)/2)),"")</f>
        <v>121.3</v>
      </c>
      <c r="V363" s="22">
        <f t="shared" si="71"/>
        <v>0</v>
      </c>
      <c r="W363" s="22">
        <f t="shared" si="62"/>
        <v>122.5</v>
      </c>
      <c r="X363" s="22">
        <f t="shared" si="63"/>
        <v>0</v>
      </c>
      <c r="Y363" s="22">
        <f t="shared" si="64"/>
        <v>122.5</v>
      </c>
      <c r="Z363" s="22"/>
      <c r="AA363" s="22">
        <f t="array" ref="AA363">IF(ROW(AA363)&lt;=COUNTA(V:V)*2,IF(MOD(ROW(AA363),2)=1,INDEX(V:V,(ROW(AA363)+1)/2),INDEX(X:X,ROW(AA363)/2)),"")</f>
        <v>-397.95</v>
      </c>
      <c r="AB363" s="22">
        <f t="array" ref="AB363">IF(ROW(AB363)&lt;=COUNTA(W:W)*2,IF(MOD(ROW(AB363),2)=1,INDEX(W:W,(ROW(AB363)+1)/2),INDEX(Y:Y,ROW(AB363)/2)),"")</f>
        <v>125.38115</v>
      </c>
    </row>
    <row r="364" spans="1:28" s="2" customFormat="1" x14ac:dyDescent="0.25">
      <c r="A364" s="19"/>
      <c r="B364" s="20"/>
      <c r="C364" s="21"/>
      <c r="D364" s="22"/>
      <c r="F364" s="34">
        <f t="shared" si="65"/>
        <v>0</v>
      </c>
      <c r="G364" s="34">
        <f t="shared" si="66"/>
        <v>102.5</v>
      </c>
      <c r="H364" s="34">
        <f t="shared" si="60"/>
        <v>0</v>
      </c>
      <c r="I364" s="34">
        <f t="shared" si="67"/>
        <v>102.5</v>
      </c>
      <c r="J364" s="20"/>
      <c r="K364" s="34">
        <f t="array" ref="K364">IF(ROW(K364)&lt;=COUNTA(F:F)*2,IF(MOD(ROW(K364),2)=1,INDEX(F:F,(ROW(K364)+1)/2),INDEX(H:H,ROW(K364)/2)),"")</f>
        <v>-400.95</v>
      </c>
      <c r="L364" s="34">
        <f t="array" ref="L364">IF(ROW(L364)&lt;=COUNTA(G:G)*2,IF(MOD(ROW(L364),2)=1,INDEX(G:G,(ROW(L364)+1)/2),INDEX(I:I,ROW(L364)/2)),"")</f>
        <v>112.5</v>
      </c>
      <c r="N364" s="21">
        <f t="shared" si="68"/>
        <v>0</v>
      </c>
      <c r="O364" s="21">
        <f t="shared" si="69"/>
        <v>112.5</v>
      </c>
      <c r="P364" s="21">
        <f t="shared" si="61"/>
        <v>0</v>
      </c>
      <c r="Q364" s="21">
        <f t="shared" si="70"/>
        <v>112.5</v>
      </c>
      <c r="R364" s="21"/>
      <c r="S364" s="21">
        <f t="array" ref="S364">IF(ROW(S364)&lt;=COUNTA(N:N)*2,IF(MOD(ROW(S364),2)=1,INDEX(N:N,(ROW(S364)+1)/2),INDEX(P:P,ROW(S364)/2)),"")</f>
        <v>-400.95</v>
      </c>
      <c r="T364" s="21">
        <f t="array" ref="T364">IF(ROW(T364)&lt;=COUNTA(O:O)*2,IF(MOD(ROW(T364),2)=1,INDEX(O:O,(ROW(T364)+1)/2),INDEX(Q:Q,ROW(T364)/2)),"")</f>
        <v>121.3</v>
      </c>
      <c r="V364" s="22">
        <f t="shared" si="71"/>
        <v>0</v>
      </c>
      <c r="W364" s="22">
        <f t="shared" si="62"/>
        <v>122.5</v>
      </c>
      <c r="X364" s="22">
        <f t="shared" si="63"/>
        <v>0</v>
      </c>
      <c r="Y364" s="22">
        <f t="shared" si="64"/>
        <v>122.5</v>
      </c>
      <c r="Z364" s="22"/>
      <c r="AA364" s="22">
        <f t="array" ref="AA364">IF(ROW(AA364)&lt;=COUNTA(V:V)*2,IF(MOD(ROW(AA364),2)=1,INDEX(V:V,(ROW(AA364)+1)/2),INDEX(X:X,ROW(AA364)/2)),"")</f>
        <v>-400.95</v>
      </c>
      <c r="AB364" s="22">
        <f t="array" ref="AB364">IF(ROW(AB364)&lt;=COUNTA(W:W)*2,IF(MOD(ROW(AB364),2)=1,INDEX(W:W,(ROW(AB364)+1)/2),INDEX(Y:Y,ROW(AB364)/2)),"")</f>
        <v>125.38115</v>
      </c>
    </row>
    <row r="365" spans="1:28" s="2" customFormat="1" x14ac:dyDescent="0.25">
      <c r="A365" s="19"/>
      <c r="B365" s="20"/>
      <c r="C365" s="21"/>
      <c r="D365" s="22"/>
      <c r="F365" s="34">
        <f t="shared" si="65"/>
        <v>0</v>
      </c>
      <c r="G365" s="34">
        <f t="shared" si="66"/>
        <v>102.5</v>
      </c>
      <c r="H365" s="34">
        <f t="shared" si="60"/>
        <v>0</v>
      </c>
      <c r="I365" s="34">
        <f t="shared" si="67"/>
        <v>102.5</v>
      </c>
      <c r="J365" s="20"/>
      <c r="K365" s="34">
        <f t="array" ref="K365">IF(ROW(K365)&lt;=COUNTA(F:F)*2,IF(MOD(ROW(K365),2)=1,INDEX(F:F,(ROW(K365)+1)/2),INDEX(H:H,ROW(K365)/2)),"")</f>
        <v>-400.95</v>
      </c>
      <c r="L365" s="34">
        <f t="array" ref="L365">IF(ROW(L365)&lt;=COUNTA(G:G)*2,IF(MOD(ROW(L365),2)=1,INDEX(G:G,(ROW(L365)+1)/2),INDEX(I:I,ROW(L365)/2)),"")</f>
        <v>112.5</v>
      </c>
      <c r="N365" s="21">
        <f t="shared" si="68"/>
        <v>0</v>
      </c>
      <c r="O365" s="21">
        <f t="shared" si="69"/>
        <v>112.5</v>
      </c>
      <c r="P365" s="21">
        <f t="shared" si="61"/>
        <v>0</v>
      </c>
      <c r="Q365" s="21">
        <f t="shared" si="70"/>
        <v>112.5</v>
      </c>
      <c r="R365" s="21"/>
      <c r="S365" s="21">
        <f t="array" ref="S365">IF(ROW(S365)&lt;=COUNTA(N:N)*2,IF(MOD(ROW(S365),2)=1,INDEX(N:N,(ROW(S365)+1)/2),INDEX(P:P,ROW(S365)/2)),"")</f>
        <v>-400.95</v>
      </c>
      <c r="T365" s="21">
        <f t="array" ref="T365">IF(ROW(T365)&lt;=COUNTA(O:O)*2,IF(MOD(ROW(T365),2)=1,INDEX(O:O,(ROW(T365)+1)/2),INDEX(Q:Q,ROW(T365)/2)),"")</f>
        <v>117</v>
      </c>
      <c r="V365" s="22">
        <f t="shared" si="71"/>
        <v>0</v>
      </c>
      <c r="W365" s="22">
        <f t="shared" si="62"/>
        <v>122.5</v>
      </c>
      <c r="X365" s="22">
        <f t="shared" si="63"/>
        <v>0</v>
      </c>
      <c r="Y365" s="22">
        <f t="shared" si="64"/>
        <v>122.5</v>
      </c>
      <c r="Z365" s="22"/>
      <c r="AA365" s="22">
        <f t="array" ref="AA365">IF(ROW(AA365)&lt;=COUNTA(V:V)*2,IF(MOD(ROW(AA365),2)=1,INDEX(V:V,(ROW(AA365)+1)/2),INDEX(X:X,ROW(AA365)/2)),"")</f>
        <v>-400.95</v>
      </c>
      <c r="AB365" s="22">
        <f t="array" ref="AB365">IF(ROW(AB365)&lt;=COUNTA(W:W)*2,IF(MOD(ROW(AB365),2)=1,INDEX(W:W,(ROW(AB365)+1)/2),INDEX(Y:Y,ROW(AB365)/2)),"")</f>
        <v>125.38115</v>
      </c>
    </row>
    <row r="366" spans="1:28" s="2" customFormat="1" x14ac:dyDescent="0.25">
      <c r="A366" s="19"/>
      <c r="B366" s="20"/>
      <c r="C366" s="21"/>
      <c r="D366" s="22"/>
      <c r="F366" s="34">
        <f t="shared" si="65"/>
        <v>0</v>
      </c>
      <c r="G366" s="34">
        <f t="shared" si="66"/>
        <v>102.5</v>
      </c>
      <c r="H366" s="34">
        <f t="shared" si="60"/>
        <v>0</v>
      </c>
      <c r="I366" s="34">
        <f t="shared" si="67"/>
        <v>102.5</v>
      </c>
      <c r="J366" s="20"/>
      <c r="K366" s="34">
        <f t="array" ref="K366">IF(ROW(K366)&lt;=COUNTA(F:F)*2,IF(MOD(ROW(K366),2)=1,INDEX(F:F,(ROW(K366)+1)/2),INDEX(H:H,ROW(K366)/2)),"")</f>
        <v>-403.95</v>
      </c>
      <c r="L366" s="34">
        <f t="array" ref="L366">IF(ROW(L366)&lt;=COUNTA(G:G)*2,IF(MOD(ROW(L366),2)=1,INDEX(G:G,(ROW(L366)+1)/2),INDEX(I:I,ROW(L366)/2)),"")</f>
        <v>112.5</v>
      </c>
      <c r="N366" s="21">
        <f t="shared" si="68"/>
        <v>0</v>
      </c>
      <c r="O366" s="21">
        <f t="shared" si="69"/>
        <v>112.5</v>
      </c>
      <c r="P366" s="21">
        <f t="shared" si="61"/>
        <v>0</v>
      </c>
      <c r="Q366" s="21">
        <f t="shared" si="70"/>
        <v>112.5</v>
      </c>
      <c r="R366" s="21"/>
      <c r="S366" s="21">
        <f t="array" ref="S366">IF(ROW(S366)&lt;=COUNTA(N:N)*2,IF(MOD(ROW(S366),2)=1,INDEX(N:N,(ROW(S366)+1)/2),INDEX(P:P,ROW(S366)/2)),"")</f>
        <v>-403.95</v>
      </c>
      <c r="T366" s="21">
        <f t="array" ref="T366">IF(ROW(T366)&lt;=COUNTA(O:O)*2,IF(MOD(ROW(T366),2)=1,INDEX(O:O,(ROW(T366)+1)/2),INDEX(Q:Q,ROW(T366)/2)),"")</f>
        <v>117</v>
      </c>
      <c r="V366" s="22">
        <f t="shared" si="71"/>
        <v>0</v>
      </c>
      <c r="W366" s="22">
        <f t="shared" si="62"/>
        <v>122.5</v>
      </c>
      <c r="X366" s="22">
        <f t="shared" si="63"/>
        <v>0</v>
      </c>
      <c r="Y366" s="22">
        <f t="shared" si="64"/>
        <v>122.5</v>
      </c>
      <c r="Z366" s="22"/>
      <c r="AA366" s="22">
        <f t="array" ref="AA366">IF(ROW(AA366)&lt;=COUNTA(V:V)*2,IF(MOD(ROW(AA366),2)=1,INDEX(V:V,(ROW(AA366)+1)/2),INDEX(X:X,ROW(AA366)/2)),"")</f>
        <v>-403.95</v>
      </c>
      <c r="AB366" s="22">
        <f t="array" ref="AB366">IF(ROW(AB366)&lt;=COUNTA(W:W)*2,IF(MOD(ROW(AB366),2)=1,INDEX(W:W,(ROW(AB366)+1)/2),INDEX(Y:Y,ROW(AB366)/2)),"")</f>
        <v>125.38115</v>
      </c>
    </row>
    <row r="367" spans="1:28" s="2" customFormat="1" x14ac:dyDescent="0.25">
      <c r="A367" s="19"/>
      <c r="B367" s="20"/>
      <c r="C367" s="21"/>
      <c r="D367" s="22"/>
      <c r="F367" s="34">
        <f t="shared" si="65"/>
        <v>0</v>
      </c>
      <c r="G367" s="34">
        <f t="shared" si="66"/>
        <v>102.5</v>
      </c>
      <c r="H367" s="34">
        <f t="shared" si="60"/>
        <v>0</v>
      </c>
      <c r="I367" s="34">
        <f t="shared" si="67"/>
        <v>102.5</v>
      </c>
      <c r="J367" s="20"/>
      <c r="K367" s="34">
        <f t="array" ref="K367">IF(ROW(K367)&lt;=COUNTA(F:F)*2,IF(MOD(ROW(K367),2)=1,INDEX(F:F,(ROW(K367)+1)/2),INDEX(H:H,ROW(K367)/2)),"")</f>
        <v>-403.95</v>
      </c>
      <c r="L367" s="34">
        <f t="array" ref="L367">IF(ROW(L367)&lt;=COUNTA(G:G)*2,IF(MOD(ROW(L367),2)=1,INDEX(G:G,(ROW(L367)+1)/2),INDEX(I:I,ROW(L367)/2)),"")</f>
        <v>112.5</v>
      </c>
      <c r="N367" s="21">
        <f t="shared" si="68"/>
        <v>0</v>
      </c>
      <c r="O367" s="21">
        <f t="shared" si="69"/>
        <v>112.5</v>
      </c>
      <c r="P367" s="21">
        <f t="shared" si="61"/>
        <v>0</v>
      </c>
      <c r="Q367" s="21">
        <f t="shared" si="70"/>
        <v>112.5</v>
      </c>
      <c r="R367" s="21"/>
      <c r="S367" s="21">
        <f t="array" ref="S367">IF(ROW(S367)&lt;=COUNTA(N:N)*2,IF(MOD(ROW(S367),2)=1,INDEX(N:N,(ROW(S367)+1)/2),INDEX(P:P,ROW(S367)/2)),"")</f>
        <v>-403.95</v>
      </c>
      <c r="T367" s="21">
        <f t="array" ref="T367">IF(ROW(T367)&lt;=COUNTA(O:O)*2,IF(MOD(ROW(T367),2)=1,INDEX(O:O,(ROW(T367)+1)/2),INDEX(Q:Q,ROW(T367)/2)),"")</f>
        <v>116</v>
      </c>
      <c r="V367" s="22">
        <f t="shared" si="71"/>
        <v>0</v>
      </c>
      <c r="W367" s="22">
        <f t="shared" si="62"/>
        <v>122.5</v>
      </c>
      <c r="X367" s="22">
        <f t="shared" si="63"/>
        <v>0</v>
      </c>
      <c r="Y367" s="22">
        <f t="shared" si="64"/>
        <v>122.5</v>
      </c>
      <c r="Z367" s="22"/>
      <c r="AA367" s="22">
        <f t="array" ref="AA367">IF(ROW(AA367)&lt;=COUNTA(V:V)*2,IF(MOD(ROW(AA367),2)=1,INDEX(V:V,(ROW(AA367)+1)/2),INDEX(X:X,ROW(AA367)/2)),"")</f>
        <v>-403.95</v>
      </c>
      <c r="AB367" s="22">
        <f t="array" ref="AB367">IF(ROW(AB367)&lt;=COUNTA(W:W)*2,IF(MOD(ROW(AB367),2)=1,INDEX(W:W,(ROW(AB367)+1)/2),INDEX(Y:Y,ROW(AB367)/2)),"")</f>
        <v>122.6691</v>
      </c>
    </row>
    <row r="368" spans="1:28" s="2" customFormat="1" x14ac:dyDescent="0.25">
      <c r="A368" s="19"/>
      <c r="B368" s="20"/>
      <c r="C368" s="21"/>
      <c r="D368" s="22"/>
      <c r="F368" s="34">
        <f t="shared" si="65"/>
        <v>0</v>
      </c>
      <c r="G368" s="34">
        <f t="shared" si="66"/>
        <v>102.5</v>
      </c>
      <c r="H368" s="34">
        <f t="shared" si="60"/>
        <v>0</v>
      </c>
      <c r="I368" s="34">
        <f t="shared" si="67"/>
        <v>102.5</v>
      </c>
      <c r="J368" s="20"/>
      <c r="K368" s="34">
        <f t="array" ref="K368">IF(ROW(K368)&lt;=COUNTA(F:F)*2,IF(MOD(ROW(K368),2)=1,INDEX(F:F,(ROW(K368)+1)/2),INDEX(H:H,ROW(K368)/2)),"")</f>
        <v>-406.45</v>
      </c>
      <c r="L368" s="34">
        <f t="array" ref="L368">IF(ROW(L368)&lt;=COUNTA(G:G)*2,IF(MOD(ROW(L368),2)=1,INDEX(G:G,(ROW(L368)+1)/2),INDEX(I:I,ROW(L368)/2)),"")</f>
        <v>112.5</v>
      </c>
      <c r="N368" s="21">
        <f t="shared" si="68"/>
        <v>0</v>
      </c>
      <c r="O368" s="21">
        <f t="shared" si="69"/>
        <v>112.5</v>
      </c>
      <c r="P368" s="21">
        <f t="shared" si="61"/>
        <v>0</v>
      </c>
      <c r="Q368" s="21">
        <f t="shared" si="70"/>
        <v>112.5</v>
      </c>
      <c r="R368" s="21"/>
      <c r="S368" s="21">
        <f t="array" ref="S368">IF(ROW(S368)&lt;=COUNTA(N:N)*2,IF(MOD(ROW(S368),2)=1,INDEX(N:N,(ROW(S368)+1)/2),INDEX(P:P,ROW(S368)/2)),"")</f>
        <v>-406.45</v>
      </c>
      <c r="T368" s="21">
        <f t="array" ref="T368">IF(ROW(T368)&lt;=COUNTA(O:O)*2,IF(MOD(ROW(T368),2)=1,INDEX(O:O,(ROW(T368)+1)/2),INDEX(Q:Q,ROW(T368)/2)),"")</f>
        <v>116</v>
      </c>
      <c r="V368" s="22">
        <f t="shared" si="71"/>
        <v>0</v>
      </c>
      <c r="W368" s="22">
        <f t="shared" si="62"/>
        <v>122.5</v>
      </c>
      <c r="X368" s="22">
        <f t="shared" si="63"/>
        <v>0</v>
      </c>
      <c r="Y368" s="22">
        <f t="shared" si="64"/>
        <v>122.5</v>
      </c>
      <c r="Z368" s="22"/>
      <c r="AA368" s="22">
        <f t="array" ref="AA368">IF(ROW(AA368)&lt;=COUNTA(V:V)*2,IF(MOD(ROW(AA368),2)=1,INDEX(V:V,(ROW(AA368)+1)/2),INDEX(X:X,ROW(AA368)/2)),"")</f>
        <v>-406.45</v>
      </c>
      <c r="AB368" s="22">
        <f t="array" ref="AB368">IF(ROW(AB368)&lt;=COUNTA(W:W)*2,IF(MOD(ROW(AB368),2)=1,INDEX(W:W,(ROW(AB368)+1)/2),INDEX(Y:Y,ROW(AB368)/2)),"")</f>
        <v>122.6691</v>
      </c>
    </row>
    <row r="369" spans="1:28" s="2" customFormat="1" x14ac:dyDescent="0.25">
      <c r="A369" s="19"/>
      <c r="B369" s="20"/>
      <c r="C369" s="21"/>
      <c r="D369" s="22"/>
      <c r="F369" s="34">
        <f t="shared" si="65"/>
        <v>0</v>
      </c>
      <c r="G369" s="34">
        <f t="shared" si="66"/>
        <v>102.5</v>
      </c>
      <c r="H369" s="34">
        <f t="shared" si="60"/>
        <v>0</v>
      </c>
      <c r="I369" s="34">
        <f t="shared" si="67"/>
        <v>102.5</v>
      </c>
      <c r="J369" s="20"/>
      <c r="K369" s="34">
        <f t="array" ref="K369">IF(ROW(K369)&lt;=COUNTA(F:F)*2,IF(MOD(ROW(K369),2)=1,INDEX(F:F,(ROW(K369)+1)/2),INDEX(H:H,ROW(K369)/2)),"")</f>
        <v>-406.45</v>
      </c>
      <c r="L369" s="34">
        <f t="array" ref="L369">IF(ROW(L369)&lt;=COUNTA(G:G)*2,IF(MOD(ROW(L369),2)=1,INDEX(G:G,(ROW(L369)+1)/2),INDEX(I:I,ROW(L369)/2)),"")</f>
        <v>112.4</v>
      </c>
      <c r="N369" s="21">
        <f t="shared" si="68"/>
        <v>0</v>
      </c>
      <c r="O369" s="21">
        <f t="shared" si="69"/>
        <v>112.5</v>
      </c>
      <c r="P369" s="21">
        <f t="shared" si="61"/>
        <v>0</v>
      </c>
      <c r="Q369" s="21">
        <f t="shared" si="70"/>
        <v>112.5</v>
      </c>
      <c r="R369" s="21"/>
      <c r="S369" s="21">
        <f t="array" ref="S369">IF(ROW(S369)&lt;=COUNTA(N:N)*2,IF(MOD(ROW(S369),2)=1,INDEX(N:N,(ROW(S369)+1)/2),INDEX(P:P,ROW(S369)/2)),"")</f>
        <v>-406.45</v>
      </c>
      <c r="T369" s="21">
        <f t="array" ref="T369">IF(ROW(T369)&lt;=COUNTA(O:O)*2,IF(MOD(ROW(T369),2)=1,INDEX(O:O,(ROW(T369)+1)/2),INDEX(Q:Q,ROW(T369)/2)),"")</f>
        <v>118.1</v>
      </c>
      <c r="V369" s="22">
        <f t="shared" si="71"/>
        <v>0</v>
      </c>
      <c r="W369" s="22">
        <f t="shared" si="62"/>
        <v>122.5</v>
      </c>
      <c r="X369" s="22">
        <f t="shared" si="63"/>
        <v>0</v>
      </c>
      <c r="Y369" s="22">
        <f t="shared" si="64"/>
        <v>122.5</v>
      </c>
      <c r="Z369" s="22"/>
      <c r="AA369" s="22">
        <f t="array" ref="AA369">IF(ROW(AA369)&lt;=COUNTA(V:V)*2,IF(MOD(ROW(AA369),2)=1,INDEX(V:V,(ROW(AA369)+1)/2),INDEX(X:X,ROW(AA369)/2)),"")</f>
        <v>-406.45</v>
      </c>
      <c r="AB369" s="22">
        <f t="array" ref="AB369">IF(ROW(AB369)&lt;=COUNTA(W:W)*2,IF(MOD(ROW(AB369),2)=1,INDEX(W:W,(ROW(AB369)+1)/2),INDEX(Y:Y,ROW(AB369)/2)),"")</f>
        <v>122.6563</v>
      </c>
    </row>
    <row r="370" spans="1:28" s="2" customFormat="1" x14ac:dyDescent="0.25">
      <c r="A370" s="19"/>
      <c r="B370" s="20"/>
      <c r="C370" s="21"/>
      <c r="D370" s="22"/>
      <c r="F370" s="34">
        <f t="shared" si="65"/>
        <v>0</v>
      </c>
      <c r="G370" s="34">
        <f t="shared" si="66"/>
        <v>102.5</v>
      </c>
      <c r="H370" s="34">
        <f t="shared" si="60"/>
        <v>0</v>
      </c>
      <c r="I370" s="34">
        <f t="shared" si="67"/>
        <v>102.5</v>
      </c>
      <c r="J370" s="20"/>
      <c r="K370" s="34">
        <f t="array" ref="K370">IF(ROW(K370)&lt;=COUNTA(F:F)*2,IF(MOD(ROW(K370),2)=1,INDEX(F:F,(ROW(K370)+1)/2),INDEX(H:H,ROW(K370)/2)),"")</f>
        <v>-408.3</v>
      </c>
      <c r="L370" s="34">
        <f t="array" ref="L370">IF(ROW(L370)&lt;=COUNTA(G:G)*2,IF(MOD(ROW(L370),2)=1,INDEX(G:G,(ROW(L370)+1)/2),INDEX(I:I,ROW(L370)/2)),"")</f>
        <v>112.4</v>
      </c>
      <c r="N370" s="21">
        <f t="shared" si="68"/>
        <v>0</v>
      </c>
      <c r="O370" s="21">
        <f t="shared" si="69"/>
        <v>112.5</v>
      </c>
      <c r="P370" s="21">
        <f t="shared" si="61"/>
        <v>0</v>
      </c>
      <c r="Q370" s="21">
        <f t="shared" si="70"/>
        <v>112.5</v>
      </c>
      <c r="R370" s="21"/>
      <c r="S370" s="21">
        <f t="array" ref="S370">IF(ROW(S370)&lt;=COUNTA(N:N)*2,IF(MOD(ROW(S370),2)=1,INDEX(N:N,(ROW(S370)+1)/2),INDEX(P:P,ROW(S370)/2)),"")</f>
        <v>-408.3</v>
      </c>
      <c r="T370" s="21">
        <f t="array" ref="T370">IF(ROW(T370)&lt;=COUNTA(O:O)*2,IF(MOD(ROW(T370),2)=1,INDEX(O:O,(ROW(T370)+1)/2),INDEX(Q:Q,ROW(T370)/2)),"")</f>
        <v>118.1</v>
      </c>
      <c r="V370" s="22">
        <f t="shared" si="71"/>
        <v>0</v>
      </c>
      <c r="W370" s="22">
        <f t="shared" si="62"/>
        <v>122.5</v>
      </c>
      <c r="X370" s="22">
        <f t="shared" si="63"/>
        <v>0</v>
      </c>
      <c r="Y370" s="22">
        <f t="shared" si="64"/>
        <v>122.5</v>
      </c>
      <c r="Z370" s="22"/>
      <c r="AA370" s="22">
        <f t="array" ref="AA370">IF(ROW(AA370)&lt;=COUNTA(V:V)*2,IF(MOD(ROW(AA370),2)=1,INDEX(V:V,(ROW(AA370)+1)/2),INDEX(X:X,ROW(AA370)/2)),"")</f>
        <v>-408.3</v>
      </c>
      <c r="AB370" s="22">
        <f t="array" ref="AB370">IF(ROW(AB370)&lt;=COUNTA(W:W)*2,IF(MOD(ROW(AB370),2)=1,INDEX(W:W,(ROW(AB370)+1)/2),INDEX(Y:Y,ROW(AB370)/2)),"")</f>
        <v>122.6563</v>
      </c>
    </row>
    <row r="371" spans="1:28" s="2" customFormat="1" x14ac:dyDescent="0.25">
      <c r="A371" s="19"/>
      <c r="B371" s="20"/>
      <c r="C371" s="21"/>
      <c r="D371" s="22"/>
      <c r="F371" s="34">
        <f t="shared" si="65"/>
        <v>0</v>
      </c>
      <c r="G371" s="34">
        <f t="shared" si="66"/>
        <v>102.5</v>
      </c>
      <c r="H371" s="34">
        <f t="shared" si="60"/>
        <v>0</v>
      </c>
      <c r="I371" s="34">
        <f t="shared" si="67"/>
        <v>102.5</v>
      </c>
      <c r="J371" s="20"/>
      <c r="K371" s="34">
        <f t="array" ref="K371">IF(ROW(K371)&lt;=COUNTA(F:F)*2,IF(MOD(ROW(K371),2)=1,INDEX(F:F,(ROW(K371)+1)/2),INDEX(H:H,ROW(K371)/2)),"")</f>
        <v>-408.3</v>
      </c>
      <c r="L371" s="34">
        <f t="array" ref="L371">IF(ROW(L371)&lt;=COUNTA(G:G)*2,IF(MOD(ROW(L371),2)=1,INDEX(G:G,(ROW(L371)+1)/2),INDEX(I:I,ROW(L371)/2)),"")</f>
        <v>112.4</v>
      </c>
      <c r="N371" s="21">
        <f t="shared" si="68"/>
        <v>0</v>
      </c>
      <c r="O371" s="21">
        <f t="shared" si="69"/>
        <v>112.5</v>
      </c>
      <c r="P371" s="21">
        <f t="shared" si="61"/>
        <v>0</v>
      </c>
      <c r="Q371" s="21">
        <f t="shared" si="70"/>
        <v>112.5</v>
      </c>
      <c r="R371" s="21"/>
      <c r="S371" s="21">
        <f t="array" ref="S371">IF(ROW(S371)&lt;=COUNTA(N:N)*2,IF(MOD(ROW(S371),2)=1,INDEX(N:N,(ROW(S371)+1)/2),INDEX(P:P,ROW(S371)/2)),"")</f>
        <v>-408.3</v>
      </c>
      <c r="T371" s="21">
        <f t="array" ref="T371">IF(ROW(T371)&lt;=COUNTA(O:O)*2,IF(MOD(ROW(T371),2)=1,INDEX(O:O,(ROW(T371)+1)/2),INDEX(Q:Q,ROW(T371)/2)),"")</f>
        <v>119.7</v>
      </c>
      <c r="V371" s="22"/>
      <c r="W371" s="22"/>
      <c r="X371" s="22"/>
      <c r="Y371" s="22"/>
      <c r="Z371" s="22"/>
      <c r="AA371" s="22">
        <f t="array" ref="AA371">IF(ROW(AA371)&lt;=COUNTA(V:V)*2,IF(MOD(ROW(AA371),2)=1,INDEX(V:V,(ROW(AA371)+1)/2),INDEX(X:X,ROW(AA371)/2)),"")</f>
        <v>-408.3</v>
      </c>
      <c r="AB371" s="22">
        <f t="array" ref="AB371">IF(ROW(AB371)&lt;=COUNTA(W:W)*2,IF(MOD(ROW(AB371),2)=1,INDEX(W:W,(ROW(AB371)+1)/2),INDEX(Y:Y,ROW(AB371)/2)),"")</f>
        <v>122.6563</v>
      </c>
    </row>
    <row r="372" spans="1:28" s="2" customFormat="1" x14ac:dyDescent="0.25">
      <c r="A372" s="19"/>
      <c r="B372" s="20"/>
      <c r="C372" s="21"/>
      <c r="D372" s="22"/>
      <c r="F372" s="20"/>
      <c r="G372" s="20"/>
      <c r="H372" s="20"/>
      <c r="I372" s="20"/>
      <c r="J372" s="20"/>
      <c r="K372" s="34">
        <f t="array" ref="K372">IF(ROW(K372)&lt;=COUNTA(F:F)*2,IF(MOD(ROW(K372),2)=1,INDEX(F:F,(ROW(K372)+1)/2),INDEX(H:H,ROW(K372)/2)),"")</f>
        <v>-411.3</v>
      </c>
      <c r="L372" s="34">
        <f t="array" ref="L372">IF(ROW(L372)&lt;=COUNTA(G:G)*2,IF(MOD(ROW(L372),2)=1,INDEX(G:G,(ROW(L372)+1)/2),INDEX(I:I,ROW(L372)/2)),"")</f>
        <v>112.4</v>
      </c>
      <c r="N372" s="21"/>
      <c r="O372" s="21"/>
      <c r="P372" s="21"/>
      <c r="Q372" s="21"/>
      <c r="R372" s="21"/>
      <c r="S372" s="21">
        <f t="array" ref="S372">IF(ROW(S372)&lt;=COUNTA(N:N)*2,IF(MOD(ROW(S372),2)=1,INDEX(N:N,(ROW(S372)+1)/2),INDEX(P:P,ROW(S372)/2)),"")</f>
        <v>-411.3</v>
      </c>
      <c r="T372" s="21">
        <f t="array" ref="T372">IF(ROW(T372)&lt;=COUNTA(O:O)*2,IF(MOD(ROW(T372),2)=1,INDEX(O:O,(ROW(T372)+1)/2),INDEX(Q:Q,ROW(T372)/2)),"")</f>
        <v>119.7</v>
      </c>
      <c r="V372" s="22"/>
      <c r="W372" s="22"/>
      <c r="X372" s="22"/>
      <c r="Y372" s="22"/>
      <c r="Z372" s="22"/>
      <c r="AA372" s="22">
        <f t="array" ref="AA372">IF(ROW(AA372)&lt;=COUNTA(V:V)*2,IF(MOD(ROW(AA372),2)=1,INDEX(V:V,(ROW(AA372)+1)/2),INDEX(X:X,ROW(AA372)/2)),"")</f>
        <v>-411.3</v>
      </c>
      <c r="AB372" s="22">
        <f t="array" ref="AB372">IF(ROW(AB372)&lt;=COUNTA(W:W)*2,IF(MOD(ROW(AB372),2)=1,INDEX(W:W,(ROW(AB372)+1)/2),INDEX(Y:Y,ROW(AB372)/2)),"")</f>
        <v>122.6563</v>
      </c>
    </row>
    <row r="373" spans="1:28" s="2" customFormat="1" x14ac:dyDescent="0.25">
      <c r="A373" s="19"/>
      <c r="B373" s="20"/>
      <c r="C373" s="21"/>
      <c r="D373" s="22"/>
      <c r="F373" s="20"/>
      <c r="G373" s="20"/>
      <c r="H373" s="20"/>
      <c r="I373" s="20"/>
      <c r="J373" s="20"/>
      <c r="K373" s="34">
        <f t="array" ref="K373">IF(ROW(K373)&lt;=COUNTA(F:F)*2,IF(MOD(ROW(K373),2)=1,INDEX(F:F,(ROW(K373)+1)/2),INDEX(H:H,ROW(K373)/2)),"")</f>
        <v>-411.3</v>
      </c>
      <c r="L373" s="34">
        <f t="array" ref="L373">IF(ROW(L373)&lt;=COUNTA(G:G)*2,IF(MOD(ROW(L373),2)=1,INDEX(G:G,(ROW(L373)+1)/2),INDEX(I:I,ROW(L373)/2)),"")</f>
        <v>112.4</v>
      </c>
      <c r="N373" s="21"/>
      <c r="O373" s="21"/>
      <c r="P373" s="21"/>
      <c r="Q373" s="21"/>
      <c r="R373" s="21"/>
      <c r="S373" s="21">
        <f t="array" ref="S373">IF(ROW(S373)&lt;=COUNTA(N:N)*2,IF(MOD(ROW(S373),2)=1,INDEX(N:N,(ROW(S373)+1)/2),INDEX(P:P,ROW(S373)/2)),"")</f>
        <v>-411.3</v>
      </c>
      <c r="T373" s="21">
        <f t="array" ref="T373">IF(ROW(T373)&lt;=COUNTA(O:O)*2,IF(MOD(ROW(T373),2)=1,INDEX(O:O,(ROW(T373)+1)/2),INDEX(Q:Q,ROW(T373)/2)),"")</f>
        <v>120.9</v>
      </c>
      <c r="V373" s="22"/>
      <c r="W373" s="22"/>
      <c r="X373" s="22"/>
      <c r="Y373" s="22"/>
      <c r="Z373" s="22"/>
      <c r="AA373" s="22">
        <f t="array" ref="AA373">IF(ROW(AA373)&lt;=COUNTA(V:V)*2,IF(MOD(ROW(AA373),2)=1,INDEX(V:V,(ROW(AA373)+1)/2),INDEX(X:X,ROW(AA373)/2)),"")</f>
        <v>-411.3</v>
      </c>
      <c r="AB373" s="22">
        <f t="array" ref="AB373">IF(ROW(AB373)&lt;=COUNTA(W:W)*2,IF(MOD(ROW(AB373),2)=1,INDEX(W:W,(ROW(AB373)+1)/2),INDEX(Y:Y,ROW(AB373)/2)),"")</f>
        <v>122.650525</v>
      </c>
    </row>
    <row r="374" spans="1:28" s="2" customFormat="1" x14ac:dyDescent="0.25">
      <c r="A374" s="19"/>
      <c r="B374" s="20"/>
      <c r="C374" s="21"/>
      <c r="D374" s="22"/>
      <c r="F374" s="20"/>
      <c r="G374" s="20"/>
      <c r="H374" s="20"/>
      <c r="I374" s="20"/>
      <c r="J374" s="20"/>
      <c r="K374" s="34">
        <f t="array" ref="K374">IF(ROW(K374)&lt;=COUNTA(F:F)*2,IF(MOD(ROW(K374),2)=1,INDEX(F:F,(ROW(K374)+1)/2),INDEX(H:H,ROW(K374)/2)),"")</f>
        <v>-414.3</v>
      </c>
      <c r="L374" s="34">
        <f t="array" ref="L374">IF(ROW(L374)&lt;=COUNTA(G:G)*2,IF(MOD(ROW(L374),2)=1,INDEX(G:G,(ROW(L374)+1)/2),INDEX(I:I,ROW(L374)/2)),"")</f>
        <v>112.4</v>
      </c>
      <c r="N374" s="21"/>
      <c r="O374" s="21"/>
      <c r="P374" s="21"/>
      <c r="Q374" s="21"/>
      <c r="R374" s="21"/>
      <c r="S374" s="21">
        <f t="array" ref="S374">IF(ROW(S374)&lt;=COUNTA(N:N)*2,IF(MOD(ROW(S374),2)=1,INDEX(N:N,(ROW(S374)+1)/2),INDEX(P:P,ROW(S374)/2)),"")</f>
        <v>-414.3</v>
      </c>
      <c r="T374" s="21">
        <f t="array" ref="T374">IF(ROW(T374)&lt;=COUNTA(O:O)*2,IF(MOD(ROW(T374),2)=1,INDEX(O:O,(ROW(T374)+1)/2),INDEX(Q:Q,ROW(T374)/2)),"")</f>
        <v>120.9</v>
      </c>
      <c r="V374" s="22"/>
      <c r="W374" s="22"/>
      <c r="X374" s="22"/>
      <c r="Y374" s="22"/>
      <c r="Z374" s="22"/>
      <c r="AA374" s="22">
        <f t="array" ref="AA374">IF(ROW(AA374)&lt;=COUNTA(V:V)*2,IF(MOD(ROW(AA374),2)=1,INDEX(V:V,(ROW(AA374)+1)/2),INDEX(X:X,ROW(AA374)/2)),"")</f>
        <v>-414.3</v>
      </c>
      <c r="AB374" s="22">
        <f t="array" ref="AB374">IF(ROW(AB374)&lt;=COUNTA(W:W)*2,IF(MOD(ROW(AB374),2)=1,INDEX(W:W,(ROW(AB374)+1)/2),INDEX(Y:Y,ROW(AB374)/2)),"")</f>
        <v>122.650525</v>
      </c>
    </row>
    <row r="375" spans="1:28" s="2" customFormat="1" x14ac:dyDescent="0.25">
      <c r="A375" s="19"/>
      <c r="B375" s="20"/>
      <c r="C375" s="21"/>
      <c r="D375" s="22"/>
      <c r="F375" s="20"/>
      <c r="G375" s="20"/>
      <c r="H375" s="20"/>
      <c r="I375" s="20"/>
      <c r="J375" s="20"/>
      <c r="K375" s="34">
        <f t="array" ref="K375">IF(ROW(K375)&lt;=COUNTA(F:F)*2,IF(MOD(ROW(K375),2)=1,INDEX(F:F,(ROW(K375)+1)/2),INDEX(H:H,ROW(K375)/2)),"")</f>
        <v>-414.3</v>
      </c>
      <c r="L375" s="34">
        <f t="array" ref="L375">IF(ROW(L375)&lt;=COUNTA(G:G)*2,IF(MOD(ROW(L375),2)=1,INDEX(G:G,(ROW(L375)+1)/2),INDEX(I:I,ROW(L375)/2)),"")</f>
        <v>112.4</v>
      </c>
      <c r="N375" s="21"/>
      <c r="O375" s="21"/>
      <c r="P375" s="21"/>
      <c r="Q375" s="21"/>
      <c r="R375" s="21"/>
      <c r="S375" s="21">
        <f t="array" ref="S375">IF(ROW(S375)&lt;=COUNTA(N:N)*2,IF(MOD(ROW(S375),2)=1,INDEX(N:N,(ROW(S375)+1)/2),INDEX(P:P,ROW(S375)/2)),"")</f>
        <v>-414.3</v>
      </c>
      <c r="T375" s="21">
        <f t="array" ref="T375">IF(ROW(T375)&lt;=COUNTA(O:O)*2,IF(MOD(ROW(T375),2)=1,INDEX(O:O,(ROW(T375)+1)/2),INDEX(Q:Q,ROW(T375)/2)),"")</f>
        <v>118.3</v>
      </c>
      <c r="V375" s="22"/>
      <c r="W375" s="22"/>
      <c r="X375" s="22"/>
      <c r="Y375" s="22"/>
      <c r="Z375" s="22"/>
      <c r="AA375" s="22">
        <f t="array" ref="AA375">IF(ROW(AA375)&lt;=COUNTA(V:V)*2,IF(MOD(ROW(AA375),2)=1,INDEX(V:V,(ROW(AA375)+1)/2),INDEX(X:X,ROW(AA375)/2)),"")</f>
        <v>-414.3</v>
      </c>
      <c r="AB375" s="22">
        <f t="array" ref="AB375">IF(ROW(AB375)&lt;=COUNTA(W:W)*2,IF(MOD(ROW(AB375),2)=1,INDEX(W:W,(ROW(AB375)+1)/2),INDEX(Y:Y,ROW(AB375)/2)),"")</f>
        <v>122.6515</v>
      </c>
    </row>
    <row r="376" spans="1:28" s="2" customFormat="1" x14ac:dyDescent="0.25">
      <c r="A376" s="19"/>
      <c r="B376" s="20"/>
      <c r="C376" s="21"/>
      <c r="D376" s="22"/>
      <c r="F376" s="20"/>
      <c r="G376" s="20"/>
      <c r="H376" s="20"/>
      <c r="I376" s="20"/>
      <c r="J376" s="20"/>
      <c r="K376" s="34">
        <f t="array" ref="K376">IF(ROW(K376)&lt;=COUNTA(F:F)*2,IF(MOD(ROW(K376),2)=1,INDEX(F:F,(ROW(K376)+1)/2),INDEX(H:H,ROW(K376)/2)),"")</f>
        <v>-417.3</v>
      </c>
      <c r="L376" s="34">
        <f t="array" ref="L376">IF(ROW(L376)&lt;=COUNTA(G:G)*2,IF(MOD(ROW(L376),2)=1,INDEX(G:G,(ROW(L376)+1)/2),INDEX(I:I,ROW(L376)/2)),"")</f>
        <v>112.4</v>
      </c>
      <c r="N376" s="21"/>
      <c r="O376" s="21"/>
      <c r="P376" s="21"/>
      <c r="Q376" s="21"/>
      <c r="R376" s="21"/>
      <c r="S376" s="21">
        <f t="array" ref="S376">IF(ROW(S376)&lt;=COUNTA(N:N)*2,IF(MOD(ROW(S376),2)=1,INDEX(N:N,(ROW(S376)+1)/2),INDEX(P:P,ROW(S376)/2)),"")</f>
        <v>-417.3</v>
      </c>
      <c r="T376" s="21">
        <f t="array" ref="T376">IF(ROW(T376)&lt;=COUNTA(O:O)*2,IF(MOD(ROW(T376),2)=1,INDEX(O:O,(ROW(T376)+1)/2),INDEX(Q:Q,ROW(T376)/2)),"")</f>
        <v>118.3</v>
      </c>
      <c r="V376" s="22"/>
      <c r="W376" s="22"/>
      <c r="X376" s="22"/>
      <c r="Y376" s="22"/>
      <c r="Z376" s="22"/>
      <c r="AA376" s="22">
        <f t="array" ref="AA376">IF(ROW(AA376)&lt;=COUNTA(V:V)*2,IF(MOD(ROW(AA376),2)=1,INDEX(V:V,(ROW(AA376)+1)/2),INDEX(X:X,ROW(AA376)/2)),"")</f>
        <v>-417.3</v>
      </c>
      <c r="AB376" s="22">
        <f t="array" ref="AB376">IF(ROW(AB376)&lt;=COUNTA(W:W)*2,IF(MOD(ROW(AB376),2)=1,INDEX(W:W,(ROW(AB376)+1)/2),INDEX(Y:Y,ROW(AB376)/2)),"")</f>
        <v>122.6515</v>
      </c>
    </row>
    <row r="377" spans="1:28" s="2" customFormat="1" x14ac:dyDescent="0.25">
      <c r="A377" s="19"/>
      <c r="B377" s="20"/>
      <c r="C377" s="21"/>
      <c r="D377" s="22"/>
      <c r="F377" s="20"/>
      <c r="G377" s="20"/>
      <c r="H377" s="20"/>
      <c r="I377" s="20"/>
      <c r="J377" s="20"/>
      <c r="K377" s="34">
        <f t="array" ref="K377">IF(ROW(K377)&lt;=COUNTA(F:F)*2,IF(MOD(ROW(K377),2)=1,INDEX(F:F,(ROW(K377)+1)/2),INDEX(H:H,ROW(K377)/2)),"")</f>
        <v>-417.3</v>
      </c>
      <c r="L377" s="34">
        <f t="array" ref="L377">IF(ROW(L377)&lt;=COUNTA(G:G)*2,IF(MOD(ROW(L377),2)=1,INDEX(G:G,(ROW(L377)+1)/2),INDEX(I:I,ROW(L377)/2)),"")</f>
        <v>112.4</v>
      </c>
      <c r="N377" s="21"/>
      <c r="O377" s="21"/>
      <c r="P377" s="21"/>
      <c r="Q377" s="21"/>
      <c r="R377" s="21"/>
      <c r="S377" s="21">
        <f t="array" ref="S377">IF(ROW(S377)&lt;=COUNTA(N:N)*2,IF(MOD(ROW(S377),2)=1,INDEX(N:N,(ROW(S377)+1)/2),INDEX(P:P,ROW(S377)/2)),"")</f>
        <v>-417.3</v>
      </c>
      <c r="T377" s="21">
        <f t="array" ref="T377">IF(ROW(T377)&lt;=COUNTA(O:O)*2,IF(MOD(ROW(T377),2)=1,INDEX(O:O,(ROW(T377)+1)/2),INDEX(Q:Q,ROW(T377)/2)),"")</f>
        <v>121.9</v>
      </c>
      <c r="V377" s="22"/>
      <c r="W377" s="22"/>
      <c r="X377" s="22"/>
      <c r="Y377" s="22"/>
      <c r="Z377" s="22"/>
      <c r="AA377" s="22">
        <f t="array" ref="AA377">IF(ROW(AA377)&lt;=COUNTA(V:V)*2,IF(MOD(ROW(AA377),2)=1,INDEX(V:V,(ROW(AA377)+1)/2),INDEX(X:X,ROW(AA377)/2)),"")</f>
        <v>-417.3</v>
      </c>
      <c r="AB377" s="22">
        <f t="array" ref="AB377">IF(ROW(AB377)&lt;=COUNTA(W:W)*2,IF(MOD(ROW(AB377),2)=1,INDEX(W:W,(ROW(AB377)+1)/2),INDEX(Y:Y,ROW(AB377)/2)),"")</f>
        <v>122.65835</v>
      </c>
    </row>
    <row r="378" spans="1:28" s="2" customFormat="1" x14ac:dyDescent="0.25">
      <c r="A378" s="19"/>
      <c r="B378" s="20"/>
      <c r="C378" s="21"/>
      <c r="D378" s="22"/>
      <c r="F378" s="20"/>
      <c r="G378" s="20"/>
      <c r="H378" s="20"/>
      <c r="I378" s="20"/>
      <c r="J378" s="20"/>
      <c r="K378" s="34">
        <f t="array" ref="K378">IF(ROW(K378)&lt;=COUNTA(F:F)*2,IF(MOD(ROW(K378),2)=1,INDEX(F:F,(ROW(K378)+1)/2),INDEX(H:H,ROW(K378)/2)),"")</f>
        <v>-420.3</v>
      </c>
      <c r="L378" s="34">
        <f t="array" ref="L378">IF(ROW(L378)&lt;=COUNTA(G:G)*2,IF(MOD(ROW(L378),2)=1,INDEX(G:G,(ROW(L378)+1)/2),INDEX(I:I,ROW(L378)/2)),"")</f>
        <v>112.4</v>
      </c>
      <c r="N378" s="21"/>
      <c r="O378" s="21"/>
      <c r="P378" s="21"/>
      <c r="Q378" s="21"/>
      <c r="R378" s="21"/>
      <c r="S378" s="21">
        <f t="array" ref="S378">IF(ROW(S378)&lt;=COUNTA(N:N)*2,IF(MOD(ROW(S378),2)=1,INDEX(N:N,(ROW(S378)+1)/2),INDEX(P:P,ROW(S378)/2)),"")</f>
        <v>-420.3</v>
      </c>
      <c r="T378" s="21">
        <f t="array" ref="T378">IF(ROW(T378)&lt;=COUNTA(O:O)*2,IF(MOD(ROW(T378),2)=1,INDEX(O:O,(ROW(T378)+1)/2),INDEX(Q:Q,ROW(T378)/2)),"")</f>
        <v>121.9</v>
      </c>
      <c r="V378" s="22"/>
      <c r="W378" s="22"/>
      <c r="X378" s="22"/>
      <c r="Y378" s="22"/>
      <c r="Z378" s="22"/>
      <c r="AA378" s="22">
        <f t="array" ref="AA378">IF(ROW(AA378)&lt;=COUNTA(V:V)*2,IF(MOD(ROW(AA378),2)=1,INDEX(V:V,(ROW(AA378)+1)/2),INDEX(X:X,ROW(AA378)/2)),"")</f>
        <v>-420.3</v>
      </c>
      <c r="AB378" s="22">
        <f t="array" ref="AB378">IF(ROW(AB378)&lt;=COUNTA(W:W)*2,IF(MOD(ROW(AB378),2)=1,INDEX(W:W,(ROW(AB378)+1)/2),INDEX(Y:Y,ROW(AB378)/2)),"")</f>
        <v>122.65835</v>
      </c>
    </row>
    <row r="379" spans="1:28" s="2" customFormat="1" x14ac:dyDescent="0.25">
      <c r="A379" s="19"/>
      <c r="B379" s="20"/>
      <c r="C379" s="21"/>
      <c r="D379" s="22"/>
      <c r="F379" s="20"/>
      <c r="G379" s="20"/>
      <c r="H379" s="20"/>
      <c r="I379" s="20"/>
      <c r="J379" s="20"/>
      <c r="K379" s="34">
        <f t="array" ref="K379">IF(ROW(K379)&lt;=COUNTA(F:F)*2,IF(MOD(ROW(K379),2)=1,INDEX(F:F,(ROW(K379)+1)/2),INDEX(H:H,ROW(K379)/2)),"")</f>
        <v>-420.3</v>
      </c>
      <c r="L379" s="34">
        <f t="array" ref="L379">IF(ROW(L379)&lt;=COUNTA(G:G)*2,IF(MOD(ROW(L379),2)=1,INDEX(G:G,(ROW(L379)+1)/2),INDEX(I:I,ROW(L379)/2)),"")</f>
        <v>112.5</v>
      </c>
      <c r="N379" s="21"/>
      <c r="O379" s="21"/>
      <c r="P379" s="21"/>
      <c r="Q379" s="21"/>
      <c r="R379" s="21"/>
      <c r="S379" s="21">
        <f t="array" ref="S379">IF(ROW(S379)&lt;=COUNTA(N:N)*2,IF(MOD(ROW(S379),2)=1,INDEX(N:N,(ROW(S379)+1)/2),INDEX(P:P,ROW(S379)/2)),"")</f>
        <v>-420.3</v>
      </c>
      <c r="T379" s="21">
        <f t="array" ref="T379">IF(ROW(T379)&lt;=COUNTA(O:O)*2,IF(MOD(ROW(T379),2)=1,INDEX(O:O,(ROW(T379)+1)/2),INDEX(Q:Q,ROW(T379)/2)),"")</f>
        <v>120.7</v>
      </c>
      <c r="V379" s="22"/>
      <c r="W379" s="22"/>
      <c r="X379" s="22"/>
      <c r="Y379" s="22"/>
      <c r="Z379" s="22"/>
      <c r="AA379" s="22">
        <f t="array" ref="AA379">IF(ROW(AA379)&lt;=COUNTA(V:V)*2,IF(MOD(ROW(AA379),2)=1,INDEX(V:V,(ROW(AA379)+1)/2),INDEX(X:X,ROW(AA379)/2)),"")</f>
        <v>-420.3</v>
      </c>
      <c r="AB379" s="22">
        <f t="array" ref="AB379">IF(ROW(AB379)&lt;=COUNTA(W:W)*2,IF(MOD(ROW(AB379),2)=1,INDEX(W:W,(ROW(AB379)+1)/2),INDEX(Y:Y,ROW(AB379)/2)),"")</f>
        <v>122.65615</v>
      </c>
    </row>
    <row r="380" spans="1:28" s="2" customFormat="1" x14ac:dyDescent="0.25">
      <c r="A380" s="19"/>
      <c r="B380" s="20"/>
      <c r="C380" s="21"/>
      <c r="D380" s="22"/>
      <c r="F380" s="20"/>
      <c r="G380" s="20"/>
      <c r="H380" s="20"/>
      <c r="I380" s="20"/>
      <c r="J380" s="20"/>
      <c r="K380" s="34">
        <f t="array" ref="K380">IF(ROW(K380)&lt;=COUNTA(F:F)*2,IF(MOD(ROW(K380),2)=1,INDEX(F:F,(ROW(K380)+1)/2),INDEX(H:H,ROW(K380)/2)),"")</f>
        <v>-423.3</v>
      </c>
      <c r="L380" s="34">
        <f t="array" ref="L380">IF(ROW(L380)&lt;=COUNTA(G:G)*2,IF(MOD(ROW(L380),2)=1,INDEX(G:G,(ROW(L380)+1)/2),INDEX(I:I,ROW(L380)/2)),"")</f>
        <v>112.5</v>
      </c>
      <c r="N380" s="21"/>
      <c r="O380" s="21"/>
      <c r="P380" s="21"/>
      <c r="Q380" s="21"/>
      <c r="R380" s="21"/>
      <c r="S380" s="21">
        <f t="array" ref="S380">IF(ROW(S380)&lt;=COUNTA(N:N)*2,IF(MOD(ROW(S380),2)=1,INDEX(N:N,(ROW(S380)+1)/2),INDEX(P:P,ROW(S380)/2)),"")</f>
        <v>-423.3</v>
      </c>
      <c r="T380" s="21">
        <f t="array" ref="T380">IF(ROW(T380)&lt;=COUNTA(O:O)*2,IF(MOD(ROW(T380),2)=1,INDEX(O:O,(ROW(T380)+1)/2),INDEX(Q:Q,ROW(T380)/2)),"")</f>
        <v>120.7</v>
      </c>
      <c r="V380" s="22"/>
      <c r="W380" s="22"/>
      <c r="X380" s="22"/>
      <c r="Y380" s="22"/>
      <c r="Z380" s="22"/>
      <c r="AA380" s="22">
        <f t="array" ref="AA380">IF(ROW(AA380)&lt;=COUNTA(V:V)*2,IF(MOD(ROW(AA380),2)=1,INDEX(V:V,(ROW(AA380)+1)/2),INDEX(X:X,ROW(AA380)/2)),"")</f>
        <v>-423.3</v>
      </c>
      <c r="AB380" s="22">
        <f t="array" ref="AB380">IF(ROW(AB380)&lt;=COUNTA(W:W)*2,IF(MOD(ROW(AB380),2)=1,INDEX(W:W,(ROW(AB380)+1)/2),INDEX(Y:Y,ROW(AB380)/2)),"")</f>
        <v>122.65615</v>
      </c>
    </row>
    <row r="381" spans="1:28" s="2" customFormat="1" x14ac:dyDescent="0.25">
      <c r="A381" s="19"/>
      <c r="B381" s="20"/>
      <c r="C381" s="21"/>
      <c r="D381" s="22"/>
      <c r="F381" s="20"/>
      <c r="G381" s="20"/>
      <c r="H381" s="20"/>
      <c r="I381" s="20"/>
      <c r="J381" s="20"/>
      <c r="K381" s="34">
        <f t="array" ref="K381">IF(ROW(K381)&lt;=COUNTA(F:F)*2,IF(MOD(ROW(K381),2)=1,INDEX(F:F,(ROW(K381)+1)/2),INDEX(H:H,ROW(K381)/2)),"")</f>
        <v>-423.3</v>
      </c>
      <c r="L381" s="34">
        <f t="array" ref="L381">IF(ROW(L381)&lt;=COUNTA(G:G)*2,IF(MOD(ROW(L381),2)=1,INDEX(G:G,(ROW(L381)+1)/2),INDEX(I:I,ROW(L381)/2)),"")</f>
        <v>112.5</v>
      </c>
      <c r="N381" s="21"/>
      <c r="O381" s="21"/>
      <c r="P381" s="21"/>
      <c r="Q381" s="21"/>
      <c r="R381" s="21"/>
      <c r="S381" s="21">
        <f t="array" ref="S381">IF(ROW(S381)&lt;=COUNTA(N:N)*2,IF(MOD(ROW(S381),2)=1,INDEX(N:N,(ROW(S381)+1)/2),INDEX(P:P,ROW(S381)/2)),"")</f>
        <v>-423.3</v>
      </c>
      <c r="T381" s="21">
        <f t="array" ref="T381">IF(ROW(T381)&lt;=COUNTA(O:O)*2,IF(MOD(ROW(T381),2)=1,INDEX(O:O,(ROW(T381)+1)/2),INDEX(Q:Q,ROW(T381)/2)),"")</f>
        <v>118.6</v>
      </c>
      <c r="V381" s="22"/>
      <c r="W381" s="22"/>
      <c r="X381" s="22"/>
      <c r="Y381" s="22"/>
      <c r="Z381" s="22"/>
      <c r="AA381" s="22">
        <f t="array" ref="AA381">IF(ROW(AA381)&lt;=COUNTA(V:V)*2,IF(MOD(ROW(AA381),2)=1,INDEX(V:V,(ROW(AA381)+1)/2),INDEX(X:X,ROW(AA381)/2)),"")</f>
        <v>-423.3</v>
      </c>
      <c r="AB381" s="22">
        <f t="array" ref="AB381">IF(ROW(AB381)&lt;=COUNTA(W:W)*2,IF(MOD(ROW(AB381),2)=1,INDEX(W:W,(ROW(AB381)+1)/2),INDEX(Y:Y,ROW(AB381)/2)),"")</f>
        <v>122.65615</v>
      </c>
    </row>
    <row r="382" spans="1:28" s="2" customFormat="1" x14ac:dyDescent="0.25">
      <c r="A382" s="19"/>
      <c r="B382" s="20"/>
      <c r="C382" s="21"/>
      <c r="D382" s="22"/>
      <c r="F382" s="20"/>
      <c r="G382" s="20"/>
      <c r="H382" s="20"/>
      <c r="I382" s="20"/>
      <c r="J382" s="20"/>
      <c r="K382" s="34">
        <f t="array" ref="K382">IF(ROW(K382)&lt;=COUNTA(F:F)*2,IF(MOD(ROW(K382),2)=1,INDEX(F:F,(ROW(K382)+1)/2),INDEX(H:H,ROW(K382)/2)),"")</f>
        <v>-426.3</v>
      </c>
      <c r="L382" s="34">
        <f t="array" ref="L382">IF(ROW(L382)&lt;=COUNTA(G:G)*2,IF(MOD(ROW(L382),2)=1,INDEX(G:G,(ROW(L382)+1)/2),INDEX(I:I,ROW(L382)/2)),"")</f>
        <v>112.5</v>
      </c>
      <c r="N382" s="21"/>
      <c r="O382" s="21"/>
      <c r="P382" s="21"/>
      <c r="Q382" s="21"/>
      <c r="R382" s="21"/>
      <c r="S382" s="21">
        <f t="array" ref="S382">IF(ROW(S382)&lt;=COUNTA(N:N)*2,IF(MOD(ROW(S382),2)=1,INDEX(N:N,(ROW(S382)+1)/2),INDEX(P:P,ROW(S382)/2)),"")</f>
        <v>-426.3</v>
      </c>
      <c r="T382" s="21">
        <f t="array" ref="T382">IF(ROW(T382)&lt;=COUNTA(O:O)*2,IF(MOD(ROW(T382),2)=1,INDEX(O:O,(ROW(T382)+1)/2),INDEX(Q:Q,ROW(T382)/2)),"")</f>
        <v>118.6</v>
      </c>
      <c r="V382" s="22"/>
      <c r="W382" s="22"/>
      <c r="X382" s="22"/>
      <c r="Y382" s="22"/>
      <c r="Z382" s="22"/>
      <c r="AA382" s="22">
        <f t="array" ref="AA382">IF(ROW(AA382)&lt;=COUNTA(V:V)*2,IF(MOD(ROW(AA382),2)=1,INDEX(V:V,(ROW(AA382)+1)/2),INDEX(X:X,ROW(AA382)/2)),"")</f>
        <v>-426.3</v>
      </c>
      <c r="AB382" s="22">
        <f t="array" ref="AB382">IF(ROW(AB382)&lt;=COUNTA(W:W)*2,IF(MOD(ROW(AB382),2)=1,INDEX(W:W,(ROW(AB382)+1)/2),INDEX(Y:Y,ROW(AB382)/2)),"")</f>
        <v>122.65615</v>
      </c>
    </row>
    <row r="383" spans="1:28" s="2" customFormat="1" x14ac:dyDescent="0.25">
      <c r="A383" s="19"/>
      <c r="B383" s="20"/>
      <c r="C383" s="21"/>
      <c r="D383" s="22"/>
      <c r="F383" s="20"/>
      <c r="G383" s="20"/>
      <c r="H383" s="20"/>
      <c r="I383" s="20"/>
      <c r="J383" s="20"/>
      <c r="K383" s="34">
        <f t="array" ref="K383">IF(ROW(K383)&lt;=COUNTA(F:F)*2,IF(MOD(ROW(K383),2)=1,INDEX(F:F,(ROW(K383)+1)/2),INDEX(H:H,ROW(K383)/2)),"")</f>
        <v>-426.3</v>
      </c>
      <c r="L383" s="34">
        <f t="array" ref="L383">IF(ROW(L383)&lt;=COUNTA(G:G)*2,IF(MOD(ROW(L383),2)=1,INDEX(G:G,(ROW(L383)+1)/2),INDEX(I:I,ROW(L383)/2)),"")</f>
        <v>112.4</v>
      </c>
      <c r="N383" s="21"/>
      <c r="O383" s="21"/>
      <c r="P383" s="21"/>
      <c r="Q383" s="21"/>
      <c r="R383" s="21"/>
      <c r="S383" s="21">
        <f t="array" ref="S383">IF(ROW(S383)&lt;=COUNTA(N:N)*2,IF(MOD(ROW(S383),2)=1,INDEX(N:N,(ROW(S383)+1)/2),INDEX(P:P,ROW(S383)/2)),"")</f>
        <v>-426.3</v>
      </c>
      <c r="T383" s="21">
        <f t="array" ref="T383">IF(ROW(T383)&lt;=COUNTA(O:O)*2,IF(MOD(ROW(T383),2)=1,INDEX(O:O,(ROW(T383)+1)/2),INDEX(Q:Q,ROW(T383)/2)),"")</f>
        <v>119</v>
      </c>
      <c r="V383" s="22"/>
      <c r="W383" s="22"/>
      <c r="X383" s="22"/>
      <c r="Y383" s="22"/>
      <c r="Z383" s="22"/>
      <c r="AA383" s="22">
        <f t="array" ref="AA383">IF(ROW(AA383)&lt;=COUNTA(V:V)*2,IF(MOD(ROW(AA383),2)=1,INDEX(V:V,(ROW(AA383)+1)/2),INDEX(X:X,ROW(AA383)/2)),"")</f>
        <v>-426.3</v>
      </c>
      <c r="AB383" s="22">
        <f t="array" ref="AB383">IF(ROW(AB383)&lt;=COUNTA(W:W)*2,IF(MOD(ROW(AB383),2)=1,INDEX(W:W,(ROW(AB383)+1)/2),INDEX(Y:Y,ROW(AB383)/2)),"")</f>
        <v>122.655975</v>
      </c>
    </row>
    <row r="384" spans="1:28" s="2" customFormat="1" x14ac:dyDescent="0.25">
      <c r="A384" s="19"/>
      <c r="B384" s="20"/>
      <c r="C384" s="21"/>
      <c r="D384" s="22"/>
      <c r="F384" s="20"/>
      <c r="G384" s="20"/>
      <c r="H384" s="20"/>
      <c r="I384" s="20"/>
      <c r="J384" s="20"/>
      <c r="K384" s="34">
        <f t="array" ref="K384">IF(ROW(K384)&lt;=COUNTA(F:F)*2,IF(MOD(ROW(K384),2)=1,INDEX(F:F,(ROW(K384)+1)/2),INDEX(H:H,ROW(K384)/2)),"")</f>
        <v>-429.3</v>
      </c>
      <c r="L384" s="34">
        <f t="array" ref="L384">IF(ROW(L384)&lt;=COUNTA(G:G)*2,IF(MOD(ROW(L384),2)=1,INDEX(G:G,(ROW(L384)+1)/2),INDEX(I:I,ROW(L384)/2)),"")</f>
        <v>112.4</v>
      </c>
      <c r="N384" s="21"/>
      <c r="O384" s="21"/>
      <c r="P384" s="21"/>
      <c r="Q384" s="21"/>
      <c r="R384" s="21"/>
      <c r="S384" s="21">
        <f t="array" ref="S384">IF(ROW(S384)&lt;=COUNTA(N:N)*2,IF(MOD(ROW(S384),2)=1,INDEX(N:N,(ROW(S384)+1)/2),INDEX(P:P,ROW(S384)/2)),"")</f>
        <v>-429.3</v>
      </c>
      <c r="T384" s="21">
        <f t="array" ref="T384">IF(ROW(T384)&lt;=COUNTA(O:O)*2,IF(MOD(ROW(T384),2)=1,INDEX(O:O,(ROW(T384)+1)/2),INDEX(Q:Q,ROW(T384)/2)),"")</f>
        <v>119</v>
      </c>
      <c r="V384" s="22"/>
      <c r="W384" s="22"/>
      <c r="X384" s="22"/>
      <c r="Y384" s="22"/>
      <c r="Z384" s="22"/>
      <c r="AA384" s="22">
        <f t="array" ref="AA384">IF(ROW(AA384)&lt;=COUNTA(V:V)*2,IF(MOD(ROW(AA384),2)=1,INDEX(V:V,(ROW(AA384)+1)/2),INDEX(X:X,ROW(AA384)/2)),"")</f>
        <v>-429.3</v>
      </c>
      <c r="AB384" s="22">
        <f t="array" ref="AB384">IF(ROW(AB384)&lt;=COUNTA(W:W)*2,IF(MOD(ROW(AB384),2)=1,INDEX(W:W,(ROW(AB384)+1)/2),INDEX(Y:Y,ROW(AB384)/2)),"")</f>
        <v>122.655975</v>
      </c>
    </row>
    <row r="385" spans="1:28" s="2" customFormat="1" x14ac:dyDescent="0.25">
      <c r="A385" s="19"/>
      <c r="B385" s="20"/>
      <c r="C385" s="21"/>
      <c r="D385" s="22"/>
      <c r="F385" s="20"/>
      <c r="G385" s="20"/>
      <c r="H385" s="20"/>
      <c r="I385" s="20"/>
      <c r="J385" s="20"/>
      <c r="K385" s="34">
        <f t="array" ref="K385">IF(ROW(K385)&lt;=COUNTA(F:F)*2,IF(MOD(ROW(K385),2)=1,INDEX(F:F,(ROW(K385)+1)/2),INDEX(H:H,ROW(K385)/2)),"")</f>
        <v>-429.3</v>
      </c>
      <c r="L385" s="34">
        <f t="array" ref="L385">IF(ROW(L385)&lt;=COUNTA(G:G)*2,IF(MOD(ROW(L385),2)=1,INDEX(G:G,(ROW(L385)+1)/2),INDEX(I:I,ROW(L385)/2)),"")</f>
        <v>112.4</v>
      </c>
      <c r="N385" s="21"/>
      <c r="O385" s="21"/>
      <c r="P385" s="21"/>
      <c r="Q385" s="21"/>
      <c r="R385" s="21"/>
      <c r="S385" s="21">
        <f t="array" ref="S385">IF(ROW(S385)&lt;=COUNTA(N:N)*2,IF(MOD(ROW(S385),2)=1,INDEX(N:N,(ROW(S385)+1)/2),INDEX(P:P,ROW(S385)/2)),"")</f>
        <v>-429.3</v>
      </c>
      <c r="T385" s="21">
        <f t="array" ref="T385">IF(ROW(T385)&lt;=COUNTA(O:O)*2,IF(MOD(ROW(T385),2)=1,INDEX(O:O,(ROW(T385)+1)/2),INDEX(Q:Q,ROW(T385)/2)),"")</f>
        <v>118</v>
      </c>
      <c r="V385" s="22"/>
      <c r="W385" s="22"/>
      <c r="X385" s="22"/>
      <c r="Y385" s="22"/>
      <c r="Z385" s="22"/>
      <c r="AA385" s="22">
        <f t="array" ref="AA385">IF(ROW(AA385)&lt;=COUNTA(V:V)*2,IF(MOD(ROW(AA385),2)=1,INDEX(V:V,(ROW(AA385)+1)/2),INDEX(X:X,ROW(AA385)/2)),"")</f>
        <v>-429.3</v>
      </c>
      <c r="AB385" s="22">
        <f t="array" ref="AB385">IF(ROW(AB385)&lt;=COUNTA(W:W)*2,IF(MOD(ROW(AB385),2)=1,INDEX(W:W,(ROW(AB385)+1)/2),INDEX(Y:Y,ROW(AB385)/2)),"")</f>
        <v>122.6538</v>
      </c>
    </row>
    <row r="386" spans="1:28" s="2" customFormat="1" x14ac:dyDescent="0.25">
      <c r="A386" s="19"/>
      <c r="B386" s="20"/>
      <c r="C386" s="21"/>
      <c r="D386" s="22"/>
      <c r="F386" s="20"/>
      <c r="G386" s="20"/>
      <c r="H386" s="20"/>
      <c r="I386" s="20"/>
      <c r="J386" s="20"/>
      <c r="K386" s="34">
        <f t="array" ref="K386">IF(ROW(K386)&lt;=COUNTA(F:F)*2,IF(MOD(ROW(K386),2)=1,INDEX(F:F,(ROW(K386)+1)/2),INDEX(H:H,ROW(K386)/2)),"")</f>
        <v>-432.3</v>
      </c>
      <c r="L386" s="34">
        <f t="array" ref="L386">IF(ROW(L386)&lt;=COUNTA(G:G)*2,IF(MOD(ROW(L386),2)=1,INDEX(G:G,(ROW(L386)+1)/2),INDEX(I:I,ROW(L386)/2)),"")</f>
        <v>112.4</v>
      </c>
      <c r="N386" s="21"/>
      <c r="O386" s="21"/>
      <c r="P386" s="21"/>
      <c r="Q386" s="21"/>
      <c r="R386" s="21"/>
      <c r="S386" s="21">
        <f t="array" ref="S386">IF(ROW(S386)&lt;=COUNTA(N:N)*2,IF(MOD(ROW(S386),2)=1,INDEX(N:N,(ROW(S386)+1)/2),INDEX(P:P,ROW(S386)/2)),"")</f>
        <v>-432.3</v>
      </c>
      <c r="T386" s="21">
        <f t="array" ref="T386">IF(ROW(T386)&lt;=COUNTA(O:O)*2,IF(MOD(ROW(T386),2)=1,INDEX(O:O,(ROW(T386)+1)/2),INDEX(Q:Q,ROW(T386)/2)),"")</f>
        <v>118</v>
      </c>
      <c r="V386" s="22"/>
      <c r="W386" s="22"/>
      <c r="X386" s="22"/>
      <c r="Y386" s="22"/>
      <c r="Z386" s="22"/>
      <c r="AA386" s="22">
        <f t="array" ref="AA386">IF(ROW(AA386)&lt;=COUNTA(V:V)*2,IF(MOD(ROW(AA386),2)=1,INDEX(V:V,(ROW(AA386)+1)/2),INDEX(X:X,ROW(AA386)/2)),"")</f>
        <v>-432.3</v>
      </c>
      <c r="AB386" s="22">
        <f t="array" ref="AB386">IF(ROW(AB386)&lt;=COUNTA(W:W)*2,IF(MOD(ROW(AB386),2)=1,INDEX(W:W,(ROW(AB386)+1)/2),INDEX(Y:Y,ROW(AB386)/2)),"")</f>
        <v>122.6538</v>
      </c>
    </row>
    <row r="387" spans="1:28" s="2" customFormat="1" x14ac:dyDescent="0.25">
      <c r="A387" s="19"/>
      <c r="B387" s="20"/>
      <c r="C387" s="21"/>
      <c r="D387" s="22"/>
      <c r="F387" s="20"/>
      <c r="G387" s="20"/>
      <c r="H387" s="20"/>
      <c r="I387" s="20"/>
      <c r="J387" s="20"/>
      <c r="K387" s="34">
        <f t="array" ref="K387">IF(ROW(K387)&lt;=COUNTA(F:F)*2,IF(MOD(ROW(K387),2)=1,INDEX(F:F,(ROW(K387)+1)/2),INDEX(H:H,ROW(K387)/2)),"")</f>
        <v>-432.3</v>
      </c>
      <c r="L387" s="34">
        <f t="array" ref="L387">IF(ROW(L387)&lt;=COUNTA(G:G)*2,IF(MOD(ROW(L387),2)=1,INDEX(G:G,(ROW(L387)+1)/2),INDEX(I:I,ROW(L387)/2)),"")</f>
        <v>112.4</v>
      </c>
      <c r="N387" s="21"/>
      <c r="O387" s="21"/>
      <c r="P387" s="21"/>
      <c r="Q387" s="21"/>
      <c r="R387" s="21"/>
      <c r="S387" s="21">
        <f t="array" ref="S387">IF(ROW(S387)&lt;=COUNTA(N:N)*2,IF(MOD(ROW(S387),2)=1,INDEX(N:N,(ROW(S387)+1)/2),INDEX(P:P,ROW(S387)/2)),"")</f>
        <v>-432.3</v>
      </c>
      <c r="T387" s="21">
        <f t="array" ref="T387">IF(ROW(T387)&lt;=COUNTA(O:O)*2,IF(MOD(ROW(T387),2)=1,INDEX(O:O,(ROW(T387)+1)/2),INDEX(Q:Q,ROW(T387)/2)),"")</f>
        <v>116.9</v>
      </c>
      <c r="V387" s="22"/>
      <c r="W387" s="22"/>
      <c r="X387" s="22"/>
      <c r="Y387" s="22"/>
      <c r="Z387" s="22"/>
      <c r="AA387" s="22">
        <f t="array" ref="AA387">IF(ROW(AA387)&lt;=COUNTA(V:V)*2,IF(MOD(ROW(AA387),2)=1,INDEX(V:V,(ROW(AA387)+1)/2),INDEX(X:X,ROW(AA387)/2)),"")</f>
        <v>-432.3</v>
      </c>
      <c r="AB387" s="22">
        <f t="array" ref="AB387">IF(ROW(AB387)&lt;=COUNTA(W:W)*2,IF(MOD(ROW(AB387),2)=1,INDEX(W:W,(ROW(AB387)+1)/2),INDEX(Y:Y,ROW(AB387)/2)),"")</f>
        <v>122.6538</v>
      </c>
    </row>
    <row r="388" spans="1:28" s="2" customFormat="1" x14ac:dyDescent="0.25">
      <c r="A388" s="19"/>
      <c r="B388" s="20"/>
      <c r="C388" s="21"/>
      <c r="D388" s="22"/>
      <c r="F388" s="20"/>
      <c r="G388" s="20"/>
      <c r="H388" s="20"/>
      <c r="I388" s="20"/>
      <c r="J388" s="20"/>
      <c r="K388" s="34">
        <f t="array" ref="K388">IF(ROW(K388)&lt;=COUNTA(F:F)*2,IF(MOD(ROW(K388),2)=1,INDEX(F:F,(ROW(K388)+1)/2),INDEX(H:H,ROW(K388)/2)),"")</f>
        <v>-434.3</v>
      </c>
      <c r="L388" s="34">
        <f t="array" ref="L388">IF(ROW(L388)&lt;=COUNTA(G:G)*2,IF(MOD(ROW(L388),2)=1,INDEX(G:G,(ROW(L388)+1)/2),INDEX(I:I,ROW(L388)/2)),"")</f>
        <v>112.4</v>
      </c>
      <c r="N388" s="21"/>
      <c r="O388" s="21"/>
      <c r="P388" s="21"/>
      <c r="Q388" s="21"/>
      <c r="R388" s="21"/>
      <c r="S388" s="21">
        <f t="array" ref="S388">IF(ROW(S388)&lt;=COUNTA(N:N)*2,IF(MOD(ROW(S388),2)=1,INDEX(N:N,(ROW(S388)+1)/2),INDEX(P:P,ROW(S388)/2)),"")</f>
        <v>-434.3</v>
      </c>
      <c r="T388" s="21">
        <f t="array" ref="T388">IF(ROW(T388)&lt;=COUNTA(O:O)*2,IF(MOD(ROW(T388),2)=1,INDEX(O:O,(ROW(T388)+1)/2),INDEX(Q:Q,ROW(T388)/2)),"")</f>
        <v>116.9</v>
      </c>
      <c r="V388" s="22"/>
      <c r="W388" s="22"/>
      <c r="X388" s="22"/>
      <c r="Y388" s="22"/>
      <c r="Z388" s="22"/>
      <c r="AA388" s="22">
        <f t="array" ref="AA388">IF(ROW(AA388)&lt;=COUNTA(V:V)*2,IF(MOD(ROW(AA388),2)=1,INDEX(V:V,(ROW(AA388)+1)/2),INDEX(X:X,ROW(AA388)/2)),"")</f>
        <v>-434.3</v>
      </c>
      <c r="AB388" s="22">
        <f t="array" ref="AB388">IF(ROW(AB388)&lt;=COUNTA(W:W)*2,IF(MOD(ROW(AB388),2)=1,INDEX(W:W,(ROW(AB388)+1)/2),INDEX(Y:Y,ROW(AB388)/2)),"")</f>
        <v>122.6538</v>
      </c>
    </row>
    <row r="389" spans="1:28" s="2" customFormat="1" x14ac:dyDescent="0.25">
      <c r="A389" s="19"/>
      <c r="B389" s="20"/>
      <c r="C389" s="21"/>
      <c r="D389" s="22"/>
      <c r="F389" s="20"/>
      <c r="G389" s="20"/>
      <c r="H389" s="20"/>
      <c r="I389" s="20"/>
      <c r="J389" s="20"/>
      <c r="K389" s="34">
        <f t="array" ref="K389">IF(ROW(K389)&lt;=COUNTA(F:F)*2,IF(MOD(ROW(K389),2)=1,INDEX(F:F,(ROW(K389)+1)/2),INDEX(H:H,ROW(K389)/2)),"")</f>
        <v>-434.3</v>
      </c>
      <c r="L389" s="34">
        <f t="array" ref="L389">IF(ROW(L389)&lt;=COUNTA(G:G)*2,IF(MOD(ROW(L389),2)=1,INDEX(G:G,(ROW(L389)+1)/2),INDEX(I:I,ROW(L389)/2)),"")</f>
        <v>112.4</v>
      </c>
      <c r="N389" s="21"/>
      <c r="O389" s="21"/>
      <c r="P389" s="21"/>
      <c r="Q389" s="21"/>
      <c r="R389" s="21"/>
      <c r="S389" s="21">
        <f t="array" ref="S389">IF(ROW(S389)&lt;=COUNTA(N:N)*2,IF(MOD(ROW(S389),2)=1,INDEX(N:N,(ROW(S389)+1)/2),INDEX(P:P,ROW(S389)/2)),"")</f>
        <v>-434.3</v>
      </c>
      <c r="T389" s="21">
        <f t="array" ref="T389">IF(ROW(T389)&lt;=COUNTA(O:O)*2,IF(MOD(ROW(T389),2)=1,INDEX(O:O,(ROW(T389)+1)/2),INDEX(Q:Q,ROW(T389)/2)),"")</f>
        <v>115.2</v>
      </c>
      <c r="V389" s="22"/>
      <c r="W389" s="22"/>
      <c r="X389" s="22"/>
      <c r="Y389" s="22"/>
      <c r="Z389" s="22"/>
      <c r="AA389" s="22">
        <f t="array" ref="AA389">IF(ROW(AA389)&lt;=COUNTA(V:V)*2,IF(MOD(ROW(AA389),2)=1,INDEX(V:V,(ROW(AA389)+1)/2),INDEX(X:X,ROW(AA389)/2)),"")</f>
        <v>-434.3</v>
      </c>
      <c r="AB389" s="22">
        <f t="array" ref="AB389">IF(ROW(AB389)&lt;=COUNTA(W:W)*2,IF(MOD(ROW(AB389),2)=1,INDEX(W:W,(ROW(AB389)+1)/2),INDEX(Y:Y,ROW(AB389)/2)),"")</f>
        <v>122.6538</v>
      </c>
    </row>
    <row r="390" spans="1:28" s="2" customFormat="1" x14ac:dyDescent="0.25">
      <c r="A390" s="19"/>
      <c r="B390" s="20"/>
      <c r="C390" s="21"/>
      <c r="D390" s="22"/>
      <c r="F390" s="20"/>
      <c r="G390" s="20"/>
      <c r="H390" s="20"/>
      <c r="I390" s="20"/>
      <c r="J390" s="20"/>
      <c r="K390" s="34">
        <f t="array" ref="K390">IF(ROW(K390)&lt;=COUNTA(F:F)*2,IF(MOD(ROW(K390),2)=1,INDEX(F:F,(ROW(K390)+1)/2),INDEX(H:H,ROW(K390)/2)),"")</f>
        <v>-436.8</v>
      </c>
      <c r="L390" s="34">
        <f t="array" ref="L390">IF(ROW(L390)&lt;=COUNTA(G:G)*2,IF(MOD(ROW(L390),2)=1,INDEX(G:G,(ROW(L390)+1)/2),INDEX(I:I,ROW(L390)/2)),"")</f>
        <v>112.4</v>
      </c>
      <c r="N390" s="21"/>
      <c r="O390" s="21"/>
      <c r="P390" s="21"/>
      <c r="Q390" s="21"/>
      <c r="R390" s="21"/>
      <c r="S390" s="21">
        <f t="array" ref="S390">IF(ROW(S390)&lt;=COUNTA(N:N)*2,IF(MOD(ROW(S390),2)=1,INDEX(N:N,(ROW(S390)+1)/2),INDEX(P:P,ROW(S390)/2)),"")</f>
        <v>-436.8</v>
      </c>
      <c r="T390" s="21">
        <f t="array" ref="T390">IF(ROW(T390)&lt;=COUNTA(O:O)*2,IF(MOD(ROW(T390),2)=1,INDEX(O:O,(ROW(T390)+1)/2),INDEX(Q:Q,ROW(T390)/2)),"")</f>
        <v>115.2</v>
      </c>
      <c r="V390" s="22"/>
      <c r="W390" s="22"/>
      <c r="X390" s="22"/>
      <c r="Y390" s="22"/>
      <c r="Z390" s="22"/>
      <c r="AA390" s="22">
        <f t="array" ref="AA390">IF(ROW(AA390)&lt;=COUNTA(V:V)*2,IF(MOD(ROW(AA390),2)=1,INDEX(V:V,(ROW(AA390)+1)/2),INDEX(X:X,ROW(AA390)/2)),"")</f>
        <v>-436.8</v>
      </c>
      <c r="AB390" s="22">
        <f t="array" ref="AB390">IF(ROW(AB390)&lt;=COUNTA(W:W)*2,IF(MOD(ROW(AB390),2)=1,INDEX(W:W,(ROW(AB390)+1)/2),INDEX(Y:Y,ROW(AB390)/2)),"")</f>
        <v>122.6538</v>
      </c>
    </row>
    <row r="391" spans="1:28" s="2" customFormat="1" x14ac:dyDescent="0.25">
      <c r="A391" s="19"/>
      <c r="B391" s="20"/>
      <c r="C391" s="21"/>
      <c r="D391" s="22"/>
      <c r="F391" s="20"/>
      <c r="G391" s="20"/>
      <c r="H391" s="20"/>
      <c r="I391" s="20"/>
      <c r="J391" s="20"/>
      <c r="K391" s="34">
        <f t="array" ref="K391">IF(ROW(K391)&lt;=COUNTA(F:F)*2,IF(MOD(ROW(K391),2)=1,INDEX(F:F,(ROW(K391)+1)/2),INDEX(H:H,ROW(K391)/2)),"")</f>
        <v>-436.8</v>
      </c>
      <c r="L391" s="34">
        <f t="array" ref="L391">IF(ROW(L391)&lt;=COUNTA(G:G)*2,IF(MOD(ROW(L391),2)=1,INDEX(G:G,(ROW(L391)+1)/2),INDEX(I:I,ROW(L391)/2)),"")</f>
        <v>112.4</v>
      </c>
      <c r="N391" s="21"/>
      <c r="O391" s="21"/>
      <c r="P391" s="21"/>
      <c r="Q391" s="21"/>
      <c r="R391" s="21"/>
      <c r="S391" s="21">
        <f t="array" ref="S391">IF(ROW(S391)&lt;=COUNTA(N:N)*2,IF(MOD(ROW(S391),2)=1,INDEX(N:N,(ROW(S391)+1)/2),INDEX(P:P,ROW(S391)/2)),"")</f>
        <v>-436.8</v>
      </c>
      <c r="T391" s="21">
        <f t="array" ref="T391">IF(ROW(T391)&lt;=COUNTA(O:O)*2,IF(MOD(ROW(T391),2)=1,INDEX(O:O,(ROW(T391)+1)/2),INDEX(Q:Q,ROW(T391)/2)),"")</f>
        <v>114.9</v>
      </c>
      <c r="V391" s="22"/>
      <c r="W391" s="22"/>
      <c r="X391" s="22"/>
      <c r="Y391" s="22"/>
      <c r="Z391" s="22"/>
      <c r="AA391" s="22">
        <f t="array" ref="AA391">IF(ROW(AA391)&lt;=COUNTA(V:V)*2,IF(MOD(ROW(AA391),2)=1,INDEX(V:V,(ROW(AA391)+1)/2),INDEX(X:X,ROW(AA391)/2)),"")</f>
        <v>-436.8</v>
      </c>
      <c r="AB391" s="22">
        <f t="array" ref="AB391">IF(ROW(AB391)&lt;=COUNTA(W:W)*2,IF(MOD(ROW(AB391),2)=1,INDEX(W:W,(ROW(AB391)+1)/2),INDEX(Y:Y,ROW(AB391)/2)),"")</f>
        <v>122.6538</v>
      </c>
    </row>
    <row r="392" spans="1:28" s="2" customFormat="1" x14ac:dyDescent="0.25">
      <c r="A392" s="19"/>
      <c r="B392" s="20"/>
      <c r="C392" s="21"/>
      <c r="D392" s="22"/>
      <c r="F392" s="20"/>
      <c r="G392" s="20"/>
      <c r="H392" s="20"/>
      <c r="I392" s="20"/>
      <c r="J392" s="20"/>
      <c r="K392" s="34">
        <f t="array" ref="K392">IF(ROW(K392)&lt;=COUNTA(F:F)*2,IF(MOD(ROW(K392),2)=1,INDEX(F:F,(ROW(K392)+1)/2),INDEX(H:H,ROW(K392)/2)),"")</f>
        <v>-438.3</v>
      </c>
      <c r="L392" s="34">
        <f t="array" ref="L392">IF(ROW(L392)&lt;=COUNTA(G:G)*2,IF(MOD(ROW(L392),2)=1,INDEX(G:G,(ROW(L392)+1)/2),INDEX(I:I,ROW(L392)/2)),"")</f>
        <v>112.4</v>
      </c>
      <c r="N392" s="21"/>
      <c r="O392" s="21"/>
      <c r="P392" s="21"/>
      <c r="Q392" s="21"/>
      <c r="R392" s="21"/>
      <c r="S392" s="21">
        <f t="array" ref="S392">IF(ROW(S392)&lt;=COUNTA(N:N)*2,IF(MOD(ROW(S392),2)=1,INDEX(N:N,(ROW(S392)+1)/2),INDEX(P:P,ROW(S392)/2)),"")</f>
        <v>-438.3</v>
      </c>
      <c r="T392" s="21">
        <f t="array" ref="T392">IF(ROW(T392)&lt;=COUNTA(O:O)*2,IF(MOD(ROW(T392),2)=1,INDEX(O:O,(ROW(T392)+1)/2),INDEX(Q:Q,ROW(T392)/2)),"")</f>
        <v>114.9</v>
      </c>
      <c r="V392" s="22"/>
      <c r="W392" s="22"/>
      <c r="X392" s="22"/>
      <c r="Y392" s="22"/>
      <c r="Z392" s="22"/>
      <c r="AA392" s="22">
        <f t="array" ref="AA392">IF(ROW(AA392)&lt;=COUNTA(V:V)*2,IF(MOD(ROW(AA392),2)=1,INDEX(V:V,(ROW(AA392)+1)/2),INDEX(X:X,ROW(AA392)/2)),"")</f>
        <v>-438.3</v>
      </c>
      <c r="AB392" s="22">
        <f t="array" ref="AB392">IF(ROW(AB392)&lt;=COUNTA(W:W)*2,IF(MOD(ROW(AB392),2)=1,INDEX(W:W,(ROW(AB392)+1)/2),INDEX(Y:Y,ROW(AB392)/2)),"")</f>
        <v>122.6538</v>
      </c>
    </row>
    <row r="393" spans="1:28" s="2" customFormat="1" x14ac:dyDescent="0.25">
      <c r="A393" s="19"/>
      <c r="B393" s="20"/>
      <c r="C393" s="21"/>
      <c r="D393" s="22"/>
      <c r="F393" s="20"/>
      <c r="G393" s="20"/>
      <c r="H393" s="20"/>
      <c r="I393" s="20"/>
      <c r="J393" s="20"/>
      <c r="K393" s="34">
        <f t="array" ref="K393">IF(ROW(K393)&lt;=COUNTA(F:F)*2,IF(MOD(ROW(K393),2)=1,INDEX(F:F,(ROW(K393)+1)/2),INDEX(H:H,ROW(K393)/2)),"")</f>
        <v>-438.3</v>
      </c>
      <c r="L393" s="34">
        <f t="array" ref="L393">IF(ROW(L393)&lt;=COUNTA(G:G)*2,IF(MOD(ROW(L393),2)=1,INDEX(G:G,(ROW(L393)+1)/2),INDEX(I:I,ROW(L393)/2)),"")</f>
        <v>112.5</v>
      </c>
      <c r="N393" s="21"/>
      <c r="O393" s="21"/>
      <c r="P393" s="21"/>
      <c r="Q393" s="21"/>
      <c r="R393" s="21"/>
      <c r="S393" s="21">
        <f t="array" ref="S393">IF(ROW(S393)&lt;=COUNTA(N:N)*2,IF(MOD(ROW(S393),2)=1,INDEX(N:N,(ROW(S393)+1)/2),INDEX(P:P,ROW(S393)/2)),"")</f>
        <v>-438.3</v>
      </c>
      <c r="T393" s="21">
        <f t="array" ref="T393">IF(ROW(T393)&lt;=COUNTA(O:O)*2,IF(MOD(ROW(T393),2)=1,INDEX(O:O,(ROW(T393)+1)/2),INDEX(Q:Q,ROW(T393)/2)),"")</f>
        <v>115.3</v>
      </c>
      <c r="V393" s="22"/>
      <c r="W393" s="22"/>
      <c r="X393" s="22"/>
      <c r="Y393" s="22"/>
      <c r="Z393" s="22"/>
      <c r="AA393" s="22">
        <f t="array" ref="AA393">IF(ROW(AA393)&lt;=COUNTA(V:V)*2,IF(MOD(ROW(AA393),2)=1,INDEX(V:V,(ROW(AA393)+1)/2),INDEX(X:X,ROW(AA393)/2)),"")</f>
        <v>-438.3</v>
      </c>
      <c r="AB393" s="22">
        <f t="array" ref="AB393">IF(ROW(AB393)&lt;=COUNTA(W:W)*2,IF(MOD(ROW(AB393),2)=1,INDEX(W:W,(ROW(AB393)+1)/2),INDEX(Y:Y,ROW(AB393)/2)),"")</f>
        <v>122.652175</v>
      </c>
    </row>
    <row r="394" spans="1:28" s="2" customFormat="1" x14ac:dyDescent="0.25">
      <c r="A394" s="19"/>
      <c r="B394" s="20"/>
      <c r="C394" s="21"/>
      <c r="D394" s="22"/>
      <c r="F394" s="20"/>
      <c r="G394" s="20"/>
      <c r="H394" s="20"/>
      <c r="I394" s="20"/>
      <c r="J394" s="20"/>
      <c r="K394" s="34">
        <f t="array" ref="K394">IF(ROW(K394)&lt;=COUNTA(F:F)*2,IF(MOD(ROW(K394),2)=1,INDEX(F:F,(ROW(K394)+1)/2),INDEX(H:H,ROW(K394)/2)),"")</f>
        <v>-440.7</v>
      </c>
      <c r="L394" s="34">
        <f t="array" ref="L394">IF(ROW(L394)&lt;=COUNTA(G:G)*2,IF(MOD(ROW(L394),2)=1,INDEX(G:G,(ROW(L394)+1)/2),INDEX(I:I,ROW(L394)/2)),"")</f>
        <v>112.5</v>
      </c>
      <c r="N394" s="21"/>
      <c r="O394" s="21"/>
      <c r="P394" s="21"/>
      <c r="Q394" s="21"/>
      <c r="R394" s="21"/>
      <c r="S394" s="21">
        <f t="array" ref="S394">IF(ROW(S394)&lt;=COUNTA(N:N)*2,IF(MOD(ROW(S394),2)=1,INDEX(N:N,(ROW(S394)+1)/2),INDEX(P:P,ROW(S394)/2)),"")</f>
        <v>-440.7</v>
      </c>
      <c r="T394" s="21">
        <f t="array" ref="T394">IF(ROW(T394)&lt;=COUNTA(O:O)*2,IF(MOD(ROW(T394),2)=1,INDEX(O:O,(ROW(T394)+1)/2),INDEX(Q:Q,ROW(T394)/2)),"")</f>
        <v>115.3</v>
      </c>
      <c r="V394" s="22"/>
      <c r="W394" s="22"/>
      <c r="X394" s="22"/>
      <c r="Y394" s="22"/>
      <c r="Z394" s="22"/>
      <c r="AA394" s="22">
        <f t="array" ref="AA394">IF(ROW(AA394)&lt;=COUNTA(V:V)*2,IF(MOD(ROW(AA394),2)=1,INDEX(V:V,(ROW(AA394)+1)/2),INDEX(X:X,ROW(AA394)/2)),"")</f>
        <v>-440.7</v>
      </c>
      <c r="AB394" s="22">
        <f t="array" ref="AB394">IF(ROW(AB394)&lt;=COUNTA(W:W)*2,IF(MOD(ROW(AB394),2)=1,INDEX(W:W,(ROW(AB394)+1)/2),INDEX(Y:Y,ROW(AB394)/2)),"")</f>
        <v>122.652175</v>
      </c>
    </row>
    <row r="395" spans="1:28" s="2" customFormat="1" x14ac:dyDescent="0.25">
      <c r="A395" s="19"/>
      <c r="B395" s="20"/>
      <c r="C395" s="21"/>
      <c r="D395" s="22"/>
      <c r="F395" s="20"/>
      <c r="G395" s="20"/>
      <c r="H395" s="20"/>
      <c r="I395" s="20"/>
      <c r="J395" s="20"/>
      <c r="K395" s="34">
        <f t="array" ref="K395">IF(ROW(K395)&lt;=COUNTA(F:F)*2,IF(MOD(ROW(K395),2)=1,INDEX(F:F,(ROW(K395)+1)/2),INDEX(H:H,ROW(K395)/2)),"")</f>
        <v>-440.7</v>
      </c>
      <c r="L395" s="34">
        <f t="array" ref="L395">IF(ROW(L395)&lt;=COUNTA(G:G)*2,IF(MOD(ROW(L395),2)=1,INDEX(G:G,(ROW(L395)+1)/2),INDEX(I:I,ROW(L395)/2)),"")</f>
        <v>112.5</v>
      </c>
      <c r="N395" s="21"/>
      <c r="O395" s="21"/>
      <c r="P395" s="21"/>
      <c r="Q395" s="21"/>
      <c r="R395" s="21"/>
      <c r="S395" s="21">
        <f t="array" ref="S395">IF(ROW(S395)&lt;=COUNTA(N:N)*2,IF(MOD(ROW(S395),2)=1,INDEX(N:N,(ROW(S395)+1)/2),INDEX(P:P,ROW(S395)/2)),"")</f>
        <v>-440.7</v>
      </c>
      <c r="T395" s="21">
        <f t="array" ref="T395">IF(ROW(T395)&lt;=COUNTA(O:O)*2,IF(MOD(ROW(T395),2)=1,INDEX(O:O,(ROW(T395)+1)/2),INDEX(Q:Q,ROW(T395)/2)),"")</f>
        <v>116</v>
      </c>
      <c r="V395" s="22"/>
      <c r="W395" s="22"/>
      <c r="X395" s="22"/>
      <c r="Y395" s="22"/>
      <c r="Z395" s="22"/>
      <c r="AA395" s="22">
        <f t="array" ref="AA395">IF(ROW(AA395)&lt;=COUNTA(V:V)*2,IF(MOD(ROW(AA395),2)=1,INDEX(V:V,(ROW(AA395)+1)/2),INDEX(X:X,ROW(AA395)/2)),"")</f>
        <v>-440.7</v>
      </c>
      <c r="AB395" s="22">
        <f t="array" ref="AB395">IF(ROW(AB395)&lt;=COUNTA(W:W)*2,IF(MOD(ROW(AB395),2)=1,INDEX(W:W,(ROW(AB395)+1)/2),INDEX(Y:Y,ROW(AB395)/2)),"")</f>
        <v>122.652175</v>
      </c>
    </row>
    <row r="396" spans="1:28" s="2" customFormat="1" x14ac:dyDescent="0.25">
      <c r="A396" s="19"/>
      <c r="B396" s="20"/>
      <c r="C396" s="21"/>
      <c r="D396" s="22"/>
      <c r="F396" s="20"/>
      <c r="G396" s="20"/>
      <c r="H396" s="20"/>
      <c r="I396" s="20"/>
      <c r="J396" s="20"/>
      <c r="K396" s="34">
        <f t="array" ref="K396">IF(ROW(K396)&lt;=COUNTA(F:F)*2,IF(MOD(ROW(K396),2)=1,INDEX(F:F,(ROW(K396)+1)/2),INDEX(H:H,ROW(K396)/2)),"")</f>
        <v>-442.8</v>
      </c>
      <c r="L396" s="34">
        <f t="array" ref="L396">IF(ROW(L396)&lt;=COUNTA(G:G)*2,IF(MOD(ROW(L396),2)=1,INDEX(G:G,(ROW(L396)+1)/2),INDEX(I:I,ROW(L396)/2)),"")</f>
        <v>112.5</v>
      </c>
      <c r="N396" s="21"/>
      <c r="O396" s="21"/>
      <c r="P396" s="21"/>
      <c r="Q396" s="21"/>
      <c r="R396" s="21"/>
      <c r="S396" s="21">
        <f t="array" ref="S396">IF(ROW(S396)&lt;=COUNTA(N:N)*2,IF(MOD(ROW(S396),2)=1,INDEX(N:N,(ROW(S396)+1)/2),INDEX(P:P,ROW(S396)/2)),"")</f>
        <v>-442.8</v>
      </c>
      <c r="T396" s="21">
        <f t="array" ref="T396">IF(ROW(T396)&lt;=COUNTA(O:O)*2,IF(MOD(ROW(T396),2)=1,INDEX(O:O,(ROW(T396)+1)/2),INDEX(Q:Q,ROW(T396)/2)),"")</f>
        <v>116</v>
      </c>
      <c r="V396" s="22"/>
      <c r="W396" s="22"/>
      <c r="X396" s="22"/>
      <c r="Y396" s="22"/>
      <c r="Z396" s="22"/>
      <c r="AA396" s="22">
        <f t="array" ref="AA396">IF(ROW(AA396)&lt;=COUNTA(V:V)*2,IF(MOD(ROW(AA396),2)=1,INDEX(V:V,(ROW(AA396)+1)/2),INDEX(X:X,ROW(AA396)/2)),"")</f>
        <v>-442.8</v>
      </c>
      <c r="AB396" s="22">
        <f t="array" ref="AB396">IF(ROW(AB396)&lt;=COUNTA(W:W)*2,IF(MOD(ROW(AB396),2)=1,INDEX(W:W,(ROW(AB396)+1)/2),INDEX(Y:Y,ROW(AB396)/2)),"")</f>
        <v>122.652175</v>
      </c>
    </row>
    <row r="397" spans="1:28" s="2" customFormat="1" x14ac:dyDescent="0.25">
      <c r="A397" s="19"/>
      <c r="B397" s="20"/>
      <c r="C397" s="21"/>
      <c r="D397" s="22"/>
      <c r="F397" s="20"/>
      <c r="G397" s="20"/>
      <c r="H397" s="20"/>
      <c r="I397" s="20"/>
      <c r="J397" s="20"/>
      <c r="K397" s="34">
        <f t="array" ref="K397">IF(ROW(K397)&lt;=COUNTA(F:F)*2,IF(MOD(ROW(K397),2)=1,INDEX(F:F,(ROW(K397)+1)/2),INDEX(H:H,ROW(K397)/2)),"")</f>
        <v>-442.8</v>
      </c>
      <c r="L397" s="34">
        <f t="array" ref="L397">IF(ROW(L397)&lt;=COUNTA(G:G)*2,IF(MOD(ROW(L397),2)=1,INDEX(G:G,(ROW(L397)+1)/2),INDEX(I:I,ROW(L397)/2)),"")</f>
        <v>112.4</v>
      </c>
      <c r="N397" s="21"/>
      <c r="O397" s="21"/>
      <c r="P397" s="21"/>
      <c r="Q397" s="21"/>
      <c r="R397" s="21"/>
      <c r="S397" s="21">
        <f t="array" ref="S397">IF(ROW(S397)&lt;=COUNTA(N:N)*2,IF(MOD(ROW(S397),2)=1,INDEX(N:N,(ROW(S397)+1)/2),INDEX(P:P,ROW(S397)/2)),"")</f>
        <v>-442.8</v>
      </c>
      <c r="T397" s="21">
        <f t="array" ref="T397">IF(ROW(T397)&lt;=COUNTA(O:O)*2,IF(MOD(ROW(T397),2)=1,INDEX(O:O,(ROW(T397)+1)/2),INDEX(Q:Q,ROW(T397)/2)),"")</f>
        <v>116.2</v>
      </c>
      <c r="V397" s="22"/>
      <c r="W397" s="22"/>
      <c r="X397" s="22"/>
      <c r="Y397" s="22"/>
      <c r="Z397" s="22"/>
      <c r="AA397" s="22">
        <f t="array" ref="AA397">IF(ROW(AA397)&lt;=COUNTA(V:V)*2,IF(MOD(ROW(AA397),2)=1,INDEX(V:V,(ROW(AA397)+1)/2),INDEX(X:X,ROW(AA397)/2)),"")</f>
        <v>-442.8</v>
      </c>
      <c r="AB397" s="22">
        <f t="array" ref="AB397">IF(ROW(AB397)&lt;=COUNTA(W:W)*2,IF(MOD(ROW(AB397),2)=1,INDEX(W:W,(ROW(AB397)+1)/2),INDEX(Y:Y,ROW(AB397)/2)),"")</f>
        <v>122.655975</v>
      </c>
    </row>
    <row r="398" spans="1:28" s="2" customFormat="1" x14ac:dyDescent="0.25">
      <c r="A398" s="19"/>
      <c r="B398" s="20"/>
      <c r="C398" s="21"/>
      <c r="D398" s="22"/>
      <c r="F398" s="20"/>
      <c r="G398" s="20"/>
      <c r="H398" s="20"/>
      <c r="I398" s="20"/>
      <c r="J398" s="20"/>
      <c r="K398" s="34">
        <f t="array" ref="K398">IF(ROW(K398)&lt;=COUNTA(F:F)*2,IF(MOD(ROW(K398),2)=1,INDEX(F:F,(ROW(K398)+1)/2),INDEX(H:H,ROW(K398)/2)),"")</f>
        <v>-444.3</v>
      </c>
      <c r="L398" s="34">
        <f t="array" ref="L398">IF(ROW(L398)&lt;=COUNTA(G:G)*2,IF(MOD(ROW(L398),2)=1,INDEX(G:G,(ROW(L398)+1)/2),INDEX(I:I,ROW(L398)/2)),"")</f>
        <v>112.4</v>
      </c>
      <c r="N398" s="21"/>
      <c r="O398" s="21"/>
      <c r="P398" s="21"/>
      <c r="Q398" s="21"/>
      <c r="R398" s="21"/>
      <c r="S398" s="21">
        <f t="array" ref="S398">IF(ROW(S398)&lt;=COUNTA(N:N)*2,IF(MOD(ROW(S398),2)=1,INDEX(N:N,(ROW(S398)+1)/2),INDEX(P:P,ROW(S398)/2)),"")</f>
        <v>-444.3</v>
      </c>
      <c r="T398" s="21">
        <f t="array" ref="T398">IF(ROW(T398)&lt;=COUNTA(O:O)*2,IF(MOD(ROW(T398),2)=1,INDEX(O:O,(ROW(T398)+1)/2),INDEX(Q:Q,ROW(T398)/2)),"")</f>
        <v>116.2</v>
      </c>
      <c r="V398" s="22"/>
      <c r="W398" s="22"/>
      <c r="X398" s="22"/>
      <c r="Y398" s="22"/>
      <c r="Z398" s="22"/>
      <c r="AA398" s="22">
        <f t="array" ref="AA398">IF(ROW(AA398)&lt;=COUNTA(V:V)*2,IF(MOD(ROW(AA398),2)=1,INDEX(V:V,(ROW(AA398)+1)/2),INDEX(X:X,ROW(AA398)/2)),"")</f>
        <v>-444.3</v>
      </c>
      <c r="AB398" s="22">
        <f t="array" ref="AB398">IF(ROW(AB398)&lt;=COUNTA(W:W)*2,IF(MOD(ROW(AB398),2)=1,INDEX(W:W,(ROW(AB398)+1)/2),INDEX(Y:Y,ROW(AB398)/2)),"")</f>
        <v>122.655975</v>
      </c>
    </row>
    <row r="399" spans="1:28" s="2" customFormat="1" x14ac:dyDescent="0.25">
      <c r="A399" s="19"/>
      <c r="B399" s="20"/>
      <c r="C399" s="21"/>
      <c r="D399" s="22"/>
      <c r="F399" s="20"/>
      <c r="G399" s="20"/>
      <c r="H399" s="20"/>
      <c r="I399" s="20"/>
      <c r="J399" s="20"/>
      <c r="K399" s="34">
        <f t="array" ref="K399">IF(ROW(K399)&lt;=COUNTA(F:F)*2,IF(MOD(ROW(K399),2)=1,INDEX(F:F,(ROW(K399)+1)/2),INDEX(H:H,ROW(K399)/2)),"")</f>
        <v>-444.3</v>
      </c>
      <c r="L399" s="34">
        <f t="array" ref="L399">IF(ROW(L399)&lt;=COUNTA(G:G)*2,IF(MOD(ROW(L399),2)=1,INDEX(G:G,(ROW(L399)+1)/2),INDEX(I:I,ROW(L399)/2)),"")</f>
        <v>112.4</v>
      </c>
      <c r="N399" s="21"/>
      <c r="O399" s="21"/>
      <c r="P399" s="21"/>
      <c r="Q399" s="21"/>
      <c r="R399" s="21"/>
      <c r="S399" s="21">
        <f t="array" ref="S399">IF(ROW(S399)&lt;=COUNTA(N:N)*2,IF(MOD(ROW(S399),2)=1,INDEX(N:N,(ROW(S399)+1)/2),INDEX(P:P,ROW(S399)/2)),"")</f>
        <v>-444.3</v>
      </c>
      <c r="T399" s="21">
        <f t="array" ref="T399">IF(ROW(T399)&lt;=COUNTA(O:O)*2,IF(MOD(ROW(T399),2)=1,INDEX(O:O,(ROW(T399)+1)/2),INDEX(Q:Q,ROW(T399)/2)),"")</f>
        <v>116.6</v>
      </c>
      <c r="V399" s="22"/>
      <c r="W399" s="22"/>
      <c r="X399" s="22"/>
      <c r="Y399" s="22"/>
      <c r="Z399" s="22"/>
      <c r="AA399" s="22">
        <f t="array" ref="AA399">IF(ROW(AA399)&lt;=COUNTA(V:V)*2,IF(MOD(ROW(AA399),2)=1,INDEX(V:V,(ROW(AA399)+1)/2),INDEX(X:X,ROW(AA399)/2)),"")</f>
        <v>-444.3</v>
      </c>
      <c r="AB399" s="22">
        <f t="array" ref="AB399">IF(ROW(AB399)&lt;=COUNTA(W:W)*2,IF(MOD(ROW(AB399),2)=1,INDEX(W:W,(ROW(AB399)+1)/2),INDEX(Y:Y,ROW(AB399)/2)),"")</f>
        <v>122.655975</v>
      </c>
    </row>
    <row r="400" spans="1:28" s="2" customFormat="1" x14ac:dyDescent="0.25">
      <c r="A400" s="19"/>
      <c r="B400" s="20"/>
      <c r="C400" s="21"/>
      <c r="D400" s="22"/>
      <c r="F400" s="20"/>
      <c r="G400" s="20"/>
      <c r="H400" s="20"/>
      <c r="I400" s="20"/>
      <c r="J400" s="20"/>
      <c r="K400" s="34">
        <f t="array" ref="K400">IF(ROW(K400)&lt;=COUNTA(F:F)*2,IF(MOD(ROW(K400),2)=1,INDEX(F:F,(ROW(K400)+1)/2),INDEX(H:H,ROW(K400)/2)),"")</f>
        <v>-447.3</v>
      </c>
      <c r="L400" s="34">
        <f t="array" ref="L400">IF(ROW(L400)&lt;=COUNTA(G:G)*2,IF(MOD(ROW(L400),2)=1,INDEX(G:G,(ROW(L400)+1)/2),INDEX(I:I,ROW(L400)/2)),"")</f>
        <v>112.4</v>
      </c>
      <c r="N400" s="21"/>
      <c r="O400" s="21"/>
      <c r="P400" s="21"/>
      <c r="Q400" s="21"/>
      <c r="R400" s="21"/>
      <c r="S400" s="21">
        <f t="array" ref="S400">IF(ROW(S400)&lt;=COUNTA(N:N)*2,IF(MOD(ROW(S400),2)=1,INDEX(N:N,(ROW(S400)+1)/2),INDEX(P:P,ROW(S400)/2)),"")</f>
        <v>-447.3</v>
      </c>
      <c r="T400" s="21">
        <f t="array" ref="T400">IF(ROW(T400)&lt;=COUNTA(O:O)*2,IF(MOD(ROW(T400),2)=1,INDEX(O:O,(ROW(T400)+1)/2),INDEX(Q:Q,ROW(T400)/2)),"")</f>
        <v>116.6</v>
      </c>
      <c r="V400" s="22"/>
      <c r="W400" s="22"/>
      <c r="X400" s="22"/>
      <c r="Y400" s="22"/>
      <c r="Z400" s="22"/>
      <c r="AA400" s="22">
        <f t="array" ref="AA400">IF(ROW(AA400)&lt;=COUNTA(V:V)*2,IF(MOD(ROW(AA400),2)=1,INDEX(V:V,(ROW(AA400)+1)/2),INDEX(X:X,ROW(AA400)/2)),"")</f>
        <v>-447.3</v>
      </c>
      <c r="AB400" s="22">
        <f t="array" ref="AB400">IF(ROW(AB400)&lt;=COUNTA(W:W)*2,IF(MOD(ROW(AB400),2)=1,INDEX(W:W,(ROW(AB400)+1)/2),INDEX(Y:Y,ROW(AB400)/2)),"")</f>
        <v>122.655975</v>
      </c>
    </row>
    <row r="401" spans="1:28" s="2" customFormat="1" x14ac:dyDescent="0.25">
      <c r="A401" s="19"/>
      <c r="B401" s="20"/>
      <c r="C401" s="21"/>
      <c r="D401" s="22"/>
      <c r="F401" s="20"/>
      <c r="G401" s="20"/>
      <c r="H401" s="20"/>
      <c r="I401" s="20"/>
      <c r="J401" s="20"/>
      <c r="K401" s="34">
        <f t="array" ref="K401">IF(ROW(K401)&lt;=COUNTA(F:F)*2,IF(MOD(ROW(K401),2)=1,INDEX(F:F,(ROW(K401)+1)/2),INDEX(H:H,ROW(K401)/2)),"")</f>
        <v>-447.3</v>
      </c>
      <c r="L401" s="34">
        <f t="array" ref="L401">IF(ROW(L401)&lt;=COUNTA(G:G)*2,IF(MOD(ROW(L401),2)=1,INDEX(G:G,(ROW(L401)+1)/2),INDEX(I:I,ROW(L401)/2)),"")</f>
        <v>112.4</v>
      </c>
      <c r="N401" s="21"/>
      <c r="O401" s="21"/>
      <c r="P401" s="21"/>
      <c r="Q401" s="21"/>
      <c r="R401" s="21"/>
      <c r="S401" s="21">
        <f t="array" ref="S401">IF(ROW(S401)&lt;=COUNTA(N:N)*2,IF(MOD(ROW(S401),2)=1,INDEX(N:N,(ROW(S401)+1)/2),INDEX(P:P,ROW(S401)/2)),"")</f>
        <v>-447.3</v>
      </c>
      <c r="T401" s="21">
        <f t="array" ref="T401">IF(ROW(T401)&lt;=COUNTA(O:O)*2,IF(MOD(ROW(T401),2)=1,INDEX(O:O,(ROW(T401)+1)/2),INDEX(Q:Q,ROW(T401)/2)),"")</f>
        <v>117.4</v>
      </c>
      <c r="V401" s="22"/>
      <c r="W401" s="22"/>
      <c r="X401" s="22"/>
      <c r="Y401" s="22"/>
      <c r="Z401" s="22"/>
      <c r="AA401" s="22">
        <f t="array" ref="AA401">IF(ROW(AA401)&lt;=COUNTA(V:V)*2,IF(MOD(ROW(AA401),2)=1,INDEX(V:V,(ROW(AA401)+1)/2),INDEX(X:X,ROW(AA401)/2)),"")</f>
        <v>-447.3</v>
      </c>
      <c r="AB401" s="22">
        <f t="array" ref="AB401">IF(ROW(AB401)&lt;=COUNTA(W:W)*2,IF(MOD(ROW(AB401),2)=1,INDEX(W:W,(ROW(AB401)+1)/2),INDEX(Y:Y,ROW(AB401)/2)),"")</f>
        <v>122.655975</v>
      </c>
    </row>
    <row r="402" spans="1:28" s="2" customFormat="1" x14ac:dyDescent="0.25">
      <c r="A402" s="19"/>
      <c r="B402" s="20"/>
      <c r="C402" s="21"/>
      <c r="D402" s="22"/>
      <c r="F402" s="20"/>
      <c r="G402" s="20"/>
      <c r="H402" s="20"/>
      <c r="I402" s="20"/>
      <c r="J402" s="20"/>
      <c r="K402" s="34">
        <f t="array" ref="K402">IF(ROW(K402)&lt;=COUNTA(F:F)*2,IF(MOD(ROW(K402),2)=1,INDEX(F:F,(ROW(K402)+1)/2),INDEX(H:H,ROW(K402)/2)),"")</f>
        <v>-450.3</v>
      </c>
      <c r="L402" s="34">
        <f t="array" ref="L402">IF(ROW(L402)&lt;=COUNTA(G:G)*2,IF(MOD(ROW(L402),2)=1,INDEX(G:G,(ROW(L402)+1)/2),INDEX(I:I,ROW(L402)/2)),"")</f>
        <v>112.4</v>
      </c>
      <c r="N402" s="21"/>
      <c r="O402" s="21"/>
      <c r="P402" s="21"/>
      <c r="Q402" s="21"/>
      <c r="R402" s="21"/>
      <c r="S402" s="21">
        <f t="array" ref="S402">IF(ROW(S402)&lt;=COUNTA(N:N)*2,IF(MOD(ROW(S402),2)=1,INDEX(N:N,(ROW(S402)+1)/2),INDEX(P:P,ROW(S402)/2)),"")</f>
        <v>-450.3</v>
      </c>
      <c r="T402" s="21">
        <f t="array" ref="T402">IF(ROW(T402)&lt;=COUNTA(O:O)*2,IF(MOD(ROW(T402),2)=1,INDEX(O:O,(ROW(T402)+1)/2),INDEX(Q:Q,ROW(T402)/2)),"")</f>
        <v>117.4</v>
      </c>
      <c r="V402" s="22"/>
      <c r="W402" s="22"/>
      <c r="X402" s="22"/>
      <c r="Y402" s="22"/>
      <c r="Z402" s="22"/>
      <c r="AA402" s="22">
        <f t="array" ref="AA402">IF(ROW(AA402)&lt;=COUNTA(V:V)*2,IF(MOD(ROW(AA402),2)=1,INDEX(V:V,(ROW(AA402)+1)/2),INDEX(X:X,ROW(AA402)/2)),"")</f>
        <v>-450.3</v>
      </c>
      <c r="AB402" s="22">
        <f t="array" ref="AB402">IF(ROW(AB402)&lt;=COUNTA(W:W)*2,IF(MOD(ROW(AB402),2)=1,INDEX(W:W,(ROW(AB402)+1)/2),INDEX(Y:Y,ROW(AB402)/2)),"")</f>
        <v>122.655975</v>
      </c>
    </row>
    <row r="403" spans="1:28" s="2" customFormat="1" x14ac:dyDescent="0.25">
      <c r="A403" s="19"/>
      <c r="B403" s="20"/>
      <c r="C403" s="21"/>
      <c r="D403" s="22"/>
      <c r="F403" s="20"/>
      <c r="G403" s="20"/>
      <c r="H403" s="20"/>
      <c r="I403" s="20"/>
      <c r="J403" s="20"/>
      <c r="K403" s="34">
        <f t="array" ref="K403">IF(ROW(K403)&lt;=COUNTA(F:F)*2,IF(MOD(ROW(K403),2)=1,INDEX(F:F,(ROW(K403)+1)/2),INDEX(H:H,ROW(K403)/2)),"")</f>
        <v>-450.3</v>
      </c>
      <c r="L403" s="34">
        <f t="array" ref="L403">IF(ROW(L403)&lt;=COUNTA(G:G)*2,IF(MOD(ROW(L403),2)=1,INDEX(G:G,(ROW(L403)+1)/2),INDEX(I:I,ROW(L403)/2)),"")</f>
        <v>112.5</v>
      </c>
      <c r="N403" s="21"/>
      <c r="O403" s="21"/>
      <c r="P403" s="21"/>
      <c r="Q403" s="21"/>
      <c r="R403" s="21"/>
      <c r="S403" s="21">
        <f t="array" ref="S403">IF(ROW(S403)&lt;=COUNTA(N:N)*2,IF(MOD(ROW(S403),2)=1,INDEX(N:N,(ROW(S403)+1)/2),INDEX(P:P,ROW(S403)/2)),"")</f>
        <v>-450.3</v>
      </c>
      <c r="T403" s="21">
        <f t="array" ref="T403">IF(ROW(T403)&lt;=COUNTA(O:O)*2,IF(MOD(ROW(T403),2)=1,INDEX(O:O,(ROW(T403)+1)/2),INDEX(Q:Q,ROW(T403)/2)),"")</f>
        <v>115.8</v>
      </c>
      <c r="V403" s="22"/>
      <c r="W403" s="22"/>
      <c r="X403" s="22"/>
      <c r="Y403" s="22"/>
      <c r="Z403" s="22"/>
      <c r="AA403" s="22">
        <f t="array" ref="AA403">IF(ROW(AA403)&lt;=COUNTA(V:V)*2,IF(MOD(ROW(AA403),2)=1,INDEX(V:V,(ROW(AA403)+1)/2),INDEX(X:X,ROW(AA403)/2)),"")</f>
        <v>-450.3</v>
      </c>
      <c r="AB403" s="22">
        <f t="array" ref="AB403">IF(ROW(AB403)&lt;=COUNTA(W:W)*2,IF(MOD(ROW(AB403),2)=1,INDEX(W:W,(ROW(AB403)+1)/2),INDEX(Y:Y,ROW(AB403)/2)),"")</f>
        <v>122.655975</v>
      </c>
    </row>
    <row r="404" spans="1:28" s="2" customFormat="1" x14ac:dyDescent="0.25">
      <c r="A404" s="19"/>
      <c r="B404" s="20"/>
      <c r="C404" s="21"/>
      <c r="D404" s="22"/>
      <c r="F404" s="20"/>
      <c r="G404" s="20"/>
      <c r="H404" s="20"/>
      <c r="I404" s="20"/>
      <c r="J404" s="20"/>
      <c r="K404" s="34">
        <f t="array" ref="K404">IF(ROW(K404)&lt;=COUNTA(F:F)*2,IF(MOD(ROW(K404),2)=1,INDEX(F:F,(ROW(K404)+1)/2),INDEX(H:H,ROW(K404)/2)),"")</f>
        <v>-453.3</v>
      </c>
      <c r="L404" s="34">
        <f t="array" ref="L404">IF(ROW(L404)&lt;=COUNTA(G:G)*2,IF(MOD(ROW(L404),2)=1,INDEX(G:G,(ROW(L404)+1)/2),INDEX(I:I,ROW(L404)/2)),"")</f>
        <v>112.5</v>
      </c>
      <c r="N404" s="21"/>
      <c r="O404" s="21"/>
      <c r="P404" s="21"/>
      <c r="Q404" s="21"/>
      <c r="R404" s="21"/>
      <c r="S404" s="21">
        <f t="array" ref="S404">IF(ROW(S404)&lt;=COUNTA(N:N)*2,IF(MOD(ROW(S404),2)=1,INDEX(N:N,(ROW(S404)+1)/2),INDEX(P:P,ROW(S404)/2)),"")</f>
        <v>-453.3</v>
      </c>
      <c r="T404" s="21">
        <f t="array" ref="T404">IF(ROW(T404)&lt;=COUNTA(O:O)*2,IF(MOD(ROW(T404),2)=1,INDEX(O:O,(ROW(T404)+1)/2),INDEX(Q:Q,ROW(T404)/2)),"")</f>
        <v>115.8</v>
      </c>
      <c r="V404" s="22"/>
      <c r="W404" s="22"/>
      <c r="X404" s="22"/>
      <c r="Y404" s="22"/>
      <c r="Z404" s="22"/>
      <c r="AA404" s="22">
        <f t="array" ref="AA404">IF(ROW(AA404)&lt;=COUNTA(V:V)*2,IF(MOD(ROW(AA404),2)=1,INDEX(V:V,(ROW(AA404)+1)/2),INDEX(X:X,ROW(AA404)/2)),"")</f>
        <v>-453.3</v>
      </c>
      <c r="AB404" s="22">
        <f t="array" ref="AB404">IF(ROW(AB404)&lt;=COUNTA(W:W)*2,IF(MOD(ROW(AB404),2)=1,INDEX(W:W,(ROW(AB404)+1)/2),INDEX(Y:Y,ROW(AB404)/2)),"")</f>
        <v>122.655975</v>
      </c>
    </row>
    <row r="405" spans="1:28" s="2" customFormat="1" x14ac:dyDescent="0.25">
      <c r="A405" s="19"/>
      <c r="B405" s="20"/>
      <c r="C405" s="21"/>
      <c r="D405" s="22"/>
      <c r="F405" s="20"/>
      <c r="G405" s="20"/>
      <c r="H405" s="20"/>
      <c r="I405" s="20"/>
      <c r="J405" s="20"/>
      <c r="K405" s="34">
        <f t="array" ref="K405">IF(ROW(K405)&lt;=COUNTA(F:F)*2,IF(MOD(ROW(K405),2)=1,INDEX(F:F,(ROW(K405)+1)/2),INDEX(H:H,ROW(K405)/2)),"")</f>
        <v>-453.3</v>
      </c>
      <c r="L405" s="34">
        <f t="array" ref="L405">IF(ROW(L405)&lt;=COUNTA(G:G)*2,IF(MOD(ROW(L405),2)=1,INDEX(G:G,(ROW(L405)+1)/2),INDEX(I:I,ROW(L405)/2)),"")</f>
        <v>112.5</v>
      </c>
      <c r="N405" s="21"/>
      <c r="O405" s="21"/>
      <c r="P405" s="21"/>
      <c r="Q405" s="21"/>
      <c r="R405" s="21"/>
      <c r="S405" s="21">
        <f t="array" ref="S405">IF(ROW(S405)&lt;=COUNTA(N:N)*2,IF(MOD(ROW(S405),2)=1,INDEX(N:N,(ROW(S405)+1)/2),INDEX(P:P,ROW(S405)/2)),"")</f>
        <v>-453.3</v>
      </c>
      <c r="T405" s="21">
        <f t="array" ref="T405">IF(ROW(T405)&lt;=COUNTA(O:O)*2,IF(MOD(ROW(T405),2)=1,INDEX(O:O,(ROW(T405)+1)/2),INDEX(Q:Q,ROW(T405)/2)),"")</f>
        <v>114.4</v>
      </c>
      <c r="V405" s="22"/>
      <c r="W405" s="22"/>
      <c r="X405" s="22"/>
      <c r="Y405" s="22"/>
      <c r="Z405" s="22"/>
      <c r="AA405" s="22">
        <f t="array" ref="AA405">IF(ROW(AA405)&lt;=COUNTA(V:V)*2,IF(MOD(ROW(AA405),2)=1,INDEX(V:V,(ROW(AA405)+1)/2),INDEX(X:X,ROW(AA405)/2)),"")</f>
        <v>-453.3</v>
      </c>
      <c r="AB405" s="22">
        <f t="array" ref="AB405">IF(ROW(AB405)&lt;=COUNTA(W:W)*2,IF(MOD(ROW(AB405),2)=1,INDEX(W:W,(ROW(AB405)+1)/2),INDEX(Y:Y,ROW(AB405)/2)),"")</f>
        <v>122.6564</v>
      </c>
    </row>
    <row r="406" spans="1:28" s="2" customFormat="1" x14ac:dyDescent="0.25">
      <c r="A406" s="19"/>
      <c r="B406" s="20"/>
      <c r="C406" s="21"/>
      <c r="D406" s="22"/>
      <c r="F406" s="20"/>
      <c r="G406" s="20"/>
      <c r="H406" s="20"/>
      <c r="I406" s="20"/>
      <c r="J406" s="20"/>
      <c r="K406" s="34">
        <f t="array" ref="K406">IF(ROW(K406)&lt;=COUNTA(F:F)*2,IF(MOD(ROW(K406),2)=1,INDEX(F:F,(ROW(K406)+1)/2),INDEX(H:H,ROW(K406)/2)),"")</f>
        <v>-456</v>
      </c>
      <c r="L406" s="34">
        <f t="array" ref="L406">IF(ROW(L406)&lt;=COUNTA(G:G)*2,IF(MOD(ROW(L406),2)=1,INDEX(G:G,(ROW(L406)+1)/2),INDEX(I:I,ROW(L406)/2)),"")</f>
        <v>112.5</v>
      </c>
      <c r="N406" s="21"/>
      <c r="O406" s="21"/>
      <c r="P406" s="21"/>
      <c r="Q406" s="21"/>
      <c r="R406" s="21"/>
      <c r="S406" s="21">
        <f t="array" ref="S406">IF(ROW(S406)&lt;=COUNTA(N:N)*2,IF(MOD(ROW(S406),2)=1,INDEX(N:N,(ROW(S406)+1)/2),INDEX(P:P,ROW(S406)/2)),"")</f>
        <v>-456</v>
      </c>
      <c r="T406" s="21">
        <f t="array" ref="T406">IF(ROW(T406)&lt;=COUNTA(O:O)*2,IF(MOD(ROW(T406),2)=1,INDEX(O:O,(ROW(T406)+1)/2),INDEX(Q:Q,ROW(T406)/2)),"")</f>
        <v>114.4</v>
      </c>
      <c r="V406" s="22"/>
      <c r="W406" s="22"/>
      <c r="X406" s="22"/>
      <c r="Y406" s="22"/>
      <c r="Z406" s="22"/>
      <c r="AA406" s="22">
        <f t="array" ref="AA406">IF(ROW(AA406)&lt;=COUNTA(V:V)*2,IF(MOD(ROW(AA406),2)=1,INDEX(V:V,(ROW(AA406)+1)/2),INDEX(X:X,ROW(AA406)/2)),"")</f>
        <v>-456</v>
      </c>
      <c r="AB406" s="22">
        <f t="array" ref="AB406">IF(ROW(AB406)&lt;=COUNTA(W:W)*2,IF(MOD(ROW(AB406),2)=1,INDEX(W:W,(ROW(AB406)+1)/2),INDEX(Y:Y,ROW(AB406)/2)),"")</f>
        <v>122.6564</v>
      </c>
    </row>
    <row r="407" spans="1:28" s="2" customFormat="1" x14ac:dyDescent="0.25">
      <c r="A407" s="19"/>
      <c r="B407" s="20"/>
      <c r="C407" s="21"/>
      <c r="D407" s="22"/>
      <c r="F407" s="20"/>
      <c r="G407" s="20"/>
      <c r="H407" s="20"/>
      <c r="I407" s="20"/>
      <c r="J407" s="20"/>
      <c r="K407" s="34">
        <f t="array" ref="K407">IF(ROW(K407)&lt;=COUNTA(F:F)*2,IF(MOD(ROW(K407),2)=1,INDEX(F:F,(ROW(K407)+1)/2),INDEX(H:H,ROW(K407)/2)),"")</f>
        <v>-456</v>
      </c>
      <c r="L407" s="34">
        <f t="array" ref="L407">IF(ROW(L407)&lt;=COUNTA(G:G)*2,IF(MOD(ROW(L407),2)=1,INDEX(G:G,(ROW(L407)+1)/2),INDEX(I:I,ROW(L407)/2)),"")</f>
        <v>112.4</v>
      </c>
      <c r="N407" s="21"/>
      <c r="O407" s="21"/>
      <c r="P407" s="21"/>
      <c r="Q407" s="21"/>
      <c r="R407" s="21"/>
      <c r="S407" s="21">
        <f t="array" ref="S407">IF(ROW(S407)&lt;=COUNTA(N:N)*2,IF(MOD(ROW(S407),2)=1,INDEX(N:N,(ROW(S407)+1)/2),INDEX(P:P,ROW(S407)/2)),"")</f>
        <v>-456</v>
      </c>
      <c r="T407" s="21">
        <f t="array" ref="T407">IF(ROW(T407)&lt;=COUNTA(O:O)*2,IF(MOD(ROW(T407),2)=1,INDEX(O:O,(ROW(T407)+1)/2),INDEX(Q:Q,ROW(T407)/2)),"")</f>
        <v>119.3</v>
      </c>
      <c r="V407" s="22"/>
      <c r="W407" s="22"/>
      <c r="X407" s="22"/>
      <c r="Y407" s="22"/>
      <c r="Z407" s="22"/>
      <c r="AA407" s="22">
        <f t="array" ref="AA407">IF(ROW(AA407)&lt;=COUNTA(V:V)*2,IF(MOD(ROW(AA407),2)=1,INDEX(V:V,(ROW(AA407)+1)/2),INDEX(X:X,ROW(AA407)/2)),"")</f>
        <v>-456</v>
      </c>
      <c r="AB407" s="22">
        <f t="array" ref="AB407">IF(ROW(AB407)&lt;=COUNTA(W:W)*2,IF(MOD(ROW(AB407),2)=1,INDEX(W:W,(ROW(AB407)+1)/2),INDEX(Y:Y,ROW(AB407)/2)),"")</f>
        <v>122.6582</v>
      </c>
    </row>
    <row r="408" spans="1:28" s="2" customFormat="1" x14ac:dyDescent="0.25">
      <c r="A408" s="19"/>
      <c r="B408" s="20"/>
      <c r="C408" s="21"/>
      <c r="D408" s="22"/>
      <c r="F408" s="20"/>
      <c r="G408" s="20"/>
      <c r="H408" s="20"/>
      <c r="I408" s="20"/>
      <c r="J408" s="20"/>
      <c r="K408" s="34">
        <f t="array" ref="K408">IF(ROW(K408)&lt;=COUNTA(F:F)*2,IF(MOD(ROW(K408),2)=1,INDEX(F:F,(ROW(K408)+1)/2),INDEX(H:H,ROW(K408)/2)),"")</f>
        <v>-457.8</v>
      </c>
      <c r="L408" s="34">
        <f t="array" ref="L408">IF(ROW(L408)&lt;=COUNTA(G:G)*2,IF(MOD(ROW(L408),2)=1,INDEX(G:G,(ROW(L408)+1)/2),INDEX(I:I,ROW(L408)/2)),"")</f>
        <v>112.4</v>
      </c>
      <c r="N408" s="21"/>
      <c r="O408" s="21"/>
      <c r="P408" s="21"/>
      <c r="Q408" s="21"/>
      <c r="R408" s="21"/>
      <c r="S408" s="21">
        <f t="array" ref="S408">IF(ROW(S408)&lt;=COUNTA(N:N)*2,IF(MOD(ROW(S408),2)=1,INDEX(N:N,(ROW(S408)+1)/2),INDEX(P:P,ROW(S408)/2)),"")</f>
        <v>-457.8</v>
      </c>
      <c r="T408" s="21">
        <f t="array" ref="T408">IF(ROW(T408)&lt;=COUNTA(O:O)*2,IF(MOD(ROW(T408),2)=1,INDEX(O:O,(ROW(T408)+1)/2),INDEX(Q:Q,ROW(T408)/2)),"")</f>
        <v>119.3</v>
      </c>
      <c r="V408" s="22"/>
      <c r="W408" s="22"/>
      <c r="X408" s="22"/>
      <c r="Y408" s="22"/>
      <c r="Z408" s="22"/>
      <c r="AA408" s="22">
        <f t="array" ref="AA408">IF(ROW(AA408)&lt;=COUNTA(V:V)*2,IF(MOD(ROW(AA408),2)=1,INDEX(V:V,(ROW(AA408)+1)/2),INDEX(X:X,ROW(AA408)/2)),"")</f>
        <v>-457.8</v>
      </c>
      <c r="AB408" s="22">
        <f t="array" ref="AB408">IF(ROW(AB408)&lt;=COUNTA(W:W)*2,IF(MOD(ROW(AB408),2)=1,INDEX(W:W,(ROW(AB408)+1)/2),INDEX(Y:Y,ROW(AB408)/2)),"")</f>
        <v>122.6582</v>
      </c>
    </row>
    <row r="409" spans="1:28" s="2" customFormat="1" x14ac:dyDescent="0.25">
      <c r="A409" s="19"/>
      <c r="B409" s="20"/>
      <c r="C409" s="21"/>
      <c r="D409" s="22"/>
      <c r="F409" s="20"/>
      <c r="G409" s="20"/>
      <c r="H409" s="20"/>
      <c r="I409" s="20"/>
      <c r="J409" s="20"/>
      <c r="K409" s="34">
        <f t="array" ref="K409">IF(ROW(K409)&lt;=COUNTA(F:F)*2,IF(MOD(ROW(K409),2)=1,INDEX(F:F,(ROW(K409)+1)/2),INDEX(H:H,ROW(K409)/2)),"")</f>
        <v>-457.8</v>
      </c>
      <c r="L409" s="34">
        <f t="array" ref="L409">IF(ROW(L409)&lt;=COUNTA(G:G)*2,IF(MOD(ROW(L409),2)=1,INDEX(G:G,(ROW(L409)+1)/2),INDEX(I:I,ROW(L409)/2)),"")</f>
        <v>112.4</v>
      </c>
      <c r="N409" s="21"/>
      <c r="O409" s="21"/>
      <c r="P409" s="21"/>
      <c r="Q409" s="21"/>
      <c r="R409" s="21"/>
      <c r="S409" s="21">
        <f t="array" ref="S409">IF(ROW(S409)&lt;=COUNTA(N:N)*2,IF(MOD(ROW(S409),2)=1,INDEX(N:N,(ROW(S409)+1)/2),INDEX(P:P,ROW(S409)/2)),"")</f>
        <v>-457.8</v>
      </c>
      <c r="T409" s="21">
        <f t="array" ref="T409">IF(ROW(T409)&lt;=COUNTA(O:O)*2,IF(MOD(ROW(T409),2)=1,INDEX(O:O,(ROW(T409)+1)/2),INDEX(Q:Q,ROW(T409)/2)),"")</f>
        <v>120.9</v>
      </c>
      <c r="V409" s="22"/>
      <c r="W409" s="22"/>
      <c r="X409" s="22"/>
      <c r="Y409" s="22"/>
      <c r="Z409" s="22"/>
      <c r="AA409" s="22">
        <f t="array" ref="AA409">IF(ROW(AA409)&lt;=COUNTA(V:V)*2,IF(MOD(ROW(AA409),2)=1,INDEX(V:V,(ROW(AA409)+1)/2),INDEX(X:X,ROW(AA409)/2)),"")</f>
        <v>-457.8</v>
      </c>
      <c r="AB409" s="22">
        <f t="array" ref="AB409">IF(ROW(AB409)&lt;=COUNTA(W:W)*2,IF(MOD(ROW(AB409),2)=1,INDEX(W:W,(ROW(AB409)+1)/2),INDEX(Y:Y,ROW(AB409)/2)),"")</f>
        <v>122.6524</v>
      </c>
    </row>
    <row r="410" spans="1:28" s="2" customFormat="1" x14ac:dyDescent="0.25">
      <c r="A410" s="19"/>
      <c r="B410" s="20"/>
      <c r="C410" s="21"/>
      <c r="D410" s="22"/>
      <c r="F410" s="20"/>
      <c r="G410" s="20"/>
      <c r="H410" s="20"/>
      <c r="I410" s="20"/>
      <c r="J410" s="20"/>
      <c r="K410" s="34">
        <f t="array" ref="K410">IF(ROW(K410)&lt;=COUNTA(F:F)*2,IF(MOD(ROW(K410),2)=1,INDEX(F:F,(ROW(K410)+1)/2),INDEX(H:H,ROW(K410)/2)),"")</f>
        <v>-459.3</v>
      </c>
      <c r="L410" s="34">
        <f t="array" ref="L410">IF(ROW(L410)&lt;=COUNTA(G:G)*2,IF(MOD(ROW(L410),2)=1,INDEX(G:G,(ROW(L410)+1)/2),INDEX(I:I,ROW(L410)/2)),"")</f>
        <v>112.4</v>
      </c>
      <c r="N410" s="21"/>
      <c r="O410" s="21"/>
      <c r="P410" s="21"/>
      <c r="Q410" s="21"/>
      <c r="R410" s="21"/>
      <c r="S410" s="21">
        <f t="array" ref="S410">IF(ROW(S410)&lt;=COUNTA(N:N)*2,IF(MOD(ROW(S410),2)=1,INDEX(N:N,(ROW(S410)+1)/2),INDEX(P:P,ROW(S410)/2)),"")</f>
        <v>-459.3</v>
      </c>
      <c r="T410" s="21">
        <f t="array" ref="T410">IF(ROW(T410)&lt;=COUNTA(O:O)*2,IF(MOD(ROW(T410),2)=1,INDEX(O:O,(ROW(T410)+1)/2),INDEX(Q:Q,ROW(T410)/2)),"")</f>
        <v>120.9</v>
      </c>
      <c r="V410" s="22"/>
      <c r="W410" s="22"/>
      <c r="X410" s="22"/>
      <c r="Y410" s="22"/>
      <c r="Z410" s="22"/>
      <c r="AA410" s="22">
        <f t="array" ref="AA410">IF(ROW(AA410)&lt;=COUNTA(V:V)*2,IF(MOD(ROW(AA410),2)=1,INDEX(V:V,(ROW(AA410)+1)/2),INDEX(X:X,ROW(AA410)/2)),"")</f>
        <v>-459.3</v>
      </c>
      <c r="AB410" s="22">
        <f t="array" ref="AB410">IF(ROW(AB410)&lt;=COUNTA(W:W)*2,IF(MOD(ROW(AB410),2)=1,INDEX(W:W,(ROW(AB410)+1)/2),INDEX(Y:Y,ROW(AB410)/2)),"")</f>
        <v>122.6524</v>
      </c>
    </row>
    <row r="411" spans="1:28" s="2" customFormat="1" x14ac:dyDescent="0.25">
      <c r="A411" s="19"/>
      <c r="B411" s="20"/>
      <c r="C411" s="21"/>
      <c r="D411" s="22"/>
      <c r="F411" s="20"/>
      <c r="G411" s="20"/>
      <c r="H411" s="20"/>
      <c r="I411" s="20"/>
      <c r="J411" s="20"/>
      <c r="K411" s="34">
        <f t="array" ref="K411">IF(ROW(K411)&lt;=COUNTA(F:F)*2,IF(MOD(ROW(K411),2)=1,INDEX(F:F,(ROW(K411)+1)/2),INDEX(H:H,ROW(K411)/2)),"")</f>
        <v>-459.3</v>
      </c>
      <c r="L411" s="34">
        <f t="array" ref="L411">IF(ROW(L411)&lt;=COUNTA(G:G)*2,IF(MOD(ROW(L411),2)=1,INDEX(G:G,(ROW(L411)+1)/2),INDEX(I:I,ROW(L411)/2)),"")</f>
        <v>112.3</v>
      </c>
      <c r="N411" s="21"/>
      <c r="O411" s="21"/>
      <c r="P411" s="21"/>
      <c r="Q411" s="21"/>
      <c r="R411" s="21"/>
      <c r="S411" s="21">
        <f t="array" ref="S411">IF(ROW(S411)&lt;=COUNTA(N:N)*2,IF(MOD(ROW(S411),2)=1,INDEX(N:N,(ROW(S411)+1)/2),INDEX(P:P,ROW(S411)/2)),"")</f>
        <v>-459.3</v>
      </c>
      <c r="T411" s="21">
        <f t="array" ref="T411">IF(ROW(T411)&lt;=COUNTA(O:O)*2,IF(MOD(ROW(T411),2)=1,INDEX(O:O,(ROW(T411)+1)/2),INDEX(Q:Q,ROW(T411)/2)),"")</f>
        <v>122</v>
      </c>
      <c r="V411" s="22"/>
      <c r="W411" s="22"/>
      <c r="X411" s="22"/>
      <c r="Y411" s="22"/>
      <c r="Z411" s="22"/>
      <c r="AA411" s="22">
        <f t="array" ref="AA411">IF(ROW(AA411)&lt;=COUNTA(V:V)*2,IF(MOD(ROW(AA411),2)=1,INDEX(V:V,(ROW(AA411)+1)/2),INDEX(X:X,ROW(AA411)/2)),"")</f>
        <v>-459.3</v>
      </c>
      <c r="AB411" s="22">
        <f t="array" ref="AB411">IF(ROW(AB411)&lt;=COUNTA(W:W)*2,IF(MOD(ROW(AB411),2)=1,INDEX(W:W,(ROW(AB411)+1)/2),INDEX(Y:Y,ROW(AB411)/2)),"")</f>
        <v>122.657075</v>
      </c>
    </row>
    <row r="412" spans="1:28" s="2" customFormat="1" x14ac:dyDescent="0.25">
      <c r="A412" s="19"/>
      <c r="B412" s="20"/>
      <c r="C412" s="21"/>
      <c r="D412" s="22"/>
      <c r="F412" s="20"/>
      <c r="G412" s="20"/>
      <c r="H412" s="20"/>
      <c r="I412" s="20"/>
      <c r="J412" s="20"/>
      <c r="K412" s="34">
        <f t="array" ref="K412">IF(ROW(K412)&lt;=COUNTA(F:F)*2,IF(MOD(ROW(K412),2)=1,INDEX(F:F,(ROW(K412)+1)/2),INDEX(H:H,ROW(K412)/2)),"")</f>
        <v>-462.3</v>
      </c>
      <c r="L412" s="34">
        <f t="array" ref="L412">IF(ROW(L412)&lt;=COUNTA(G:G)*2,IF(MOD(ROW(L412),2)=1,INDEX(G:G,(ROW(L412)+1)/2),INDEX(I:I,ROW(L412)/2)),"")</f>
        <v>112.3</v>
      </c>
      <c r="N412" s="21"/>
      <c r="O412" s="21"/>
      <c r="P412" s="21"/>
      <c r="Q412" s="21"/>
      <c r="R412" s="21"/>
      <c r="S412" s="21">
        <f t="array" ref="S412">IF(ROW(S412)&lt;=COUNTA(N:N)*2,IF(MOD(ROW(S412),2)=1,INDEX(N:N,(ROW(S412)+1)/2),INDEX(P:P,ROW(S412)/2)),"")</f>
        <v>-462.3</v>
      </c>
      <c r="T412" s="21">
        <f t="array" ref="T412">IF(ROW(T412)&lt;=COUNTA(O:O)*2,IF(MOD(ROW(T412),2)=1,INDEX(O:O,(ROW(T412)+1)/2),INDEX(Q:Q,ROW(T412)/2)),"")</f>
        <v>122</v>
      </c>
      <c r="V412" s="22"/>
      <c r="W412" s="22"/>
      <c r="X412" s="22"/>
      <c r="Y412" s="22"/>
      <c r="Z412" s="22"/>
      <c r="AA412" s="22">
        <f t="array" ref="AA412">IF(ROW(AA412)&lt;=COUNTA(V:V)*2,IF(MOD(ROW(AA412),2)=1,INDEX(V:V,(ROW(AA412)+1)/2),INDEX(X:X,ROW(AA412)/2)),"")</f>
        <v>-462.3</v>
      </c>
      <c r="AB412" s="22">
        <f t="array" ref="AB412">IF(ROW(AB412)&lt;=COUNTA(W:W)*2,IF(MOD(ROW(AB412),2)=1,INDEX(W:W,(ROW(AB412)+1)/2),INDEX(Y:Y,ROW(AB412)/2)),"")</f>
        <v>122.657075</v>
      </c>
    </row>
    <row r="413" spans="1:28" s="2" customFormat="1" x14ac:dyDescent="0.25">
      <c r="A413" s="19"/>
      <c r="B413" s="20"/>
      <c r="C413" s="21"/>
      <c r="D413" s="22"/>
      <c r="F413" s="20"/>
      <c r="G413" s="20"/>
      <c r="H413" s="20"/>
      <c r="I413" s="20"/>
      <c r="J413" s="20"/>
      <c r="K413" s="34">
        <f t="array" ref="K413">IF(ROW(K413)&lt;=COUNTA(F:F)*2,IF(MOD(ROW(K413),2)=1,INDEX(F:F,(ROW(K413)+1)/2),INDEX(H:H,ROW(K413)/2)),"")</f>
        <v>-462.3</v>
      </c>
      <c r="L413" s="34">
        <f t="array" ref="L413">IF(ROW(L413)&lt;=COUNTA(G:G)*2,IF(MOD(ROW(L413),2)=1,INDEX(G:G,(ROW(L413)+1)/2),INDEX(I:I,ROW(L413)/2)),"")</f>
        <v>112.4</v>
      </c>
      <c r="N413" s="21"/>
      <c r="O413" s="21"/>
      <c r="P413" s="21"/>
      <c r="Q413" s="21"/>
      <c r="R413" s="21"/>
      <c r="S413" s="21">
        <f t="array" ref="S413">IF(ROW(S413)&lt;=COUNTA(N:N)*2,IF(MOD(ROW(S413),2)=1,INDEX(N:N,(ROW(S413)+1)/2),INDEX(P:P,ROW(S413)/2)),"")</f>
        <v>-462.3</v>
      </c>
      <c r="T413" s="21">
        <f t="array" ref="T413">IF(ROW(T413)&lt;=COUNTA(O:O)*2,IF(MOD(ROW(T413),2)=1,INDEX(O:O,(ROW(T413)+1)/2),INDEX(Q:Q,ROW(T413)/2)),"")</f>
        <v>119.3</v>
      </c>
      <c r="V413" s="22"/>
      <c r="W413" s="22"/>
      <c r="X413" s="22"/>
      <c r="Y413" s="22"/>
      <c r="Z413" s="22"/>
      <c r="AA413" s="22">
        <f t="array" ref="AA413">IF(ROW(AA413)&lt;=COUNTA(V:V)*2,IF(MOD(ROW(AA413),2)=1,INDEX(V:V,(ROW(AA413)+1)/2),INDEX(X:X,ROW(AA413)/2)),"")</f>
        <v>-462.3</v>
      </c>
      <c r="AB413" s="22">
        <f t="array" ref="AB413">IF(ROW(AB413)&lt;=COUNTA(W:W)*2,IF(MOD(ROW(AB413),2)=1,INDEX(W:W,(ROW(AB413)+1)/2),INDEX(Y:Y,ROW(AB413)/2)),"")</f>
        <v>122.654025</v>
      </c>
    </row>
    <row r="414" spans="1:28" s="2" customFormat="1" x14ac:dyDescent="0.25">
      <c r="A414" s="19"/>
      <c r="B414" s="20"/>
      <c r="C414" s="21"/>
      <c r="D414" s="22"/>
      <c r="F414" s="20"/>
      <c r="G414" s="20"/>
      <c r="H414" s="20"/>
      <c r="I414" s="20"/>
      <c r="J414" s="20"/>
      <c r="K414" s="34">
        <f t="array" ref="K414">IF(ROW(K414)&lt;=COUNTA(F:F)*2,IF(MOD(ROW(K414),2)=1,INDEX(F:F,(ROW(K414)+1)/2),INDEX(H:H,ROW(K414)/2)),"")</f>
        <v>-465.3</v>
      </c>
      <c r="L414" s="34">
        <f t="array" ref="L414">IF(ROW(L414)&lt;=COUNTA(G:G)*2,IF(MOD(ROW(L414),2)=1,INDEX(G:G,(ROW(L414)+1)/2),INDEX(I:I,ROW(L414)/2)),"")</f>
        <v>112.4</v>
      </c>
      <c r="N414" s="21"/>
      <c r="O414" s="21"/>
      <c r="P414" s="21"/>
      <c r="Q414" s="21"/>
      <c r="R414" s="21"/>
      <c r="S414" s="21">
        <f t="array" ref="S414">IF(ROW(S414)&lt;=COUNTA(N:N)*2,IF(MOD(ROW(S414),2)=1,INDEX(N:N,(ROW(S414)+1)/2),INDEX(P:P,ROW(S414)/2)),"")</f>
        <v>-465.3</v>
      </c>
      <c r="T414" s="21">
        <f t="array" ref="T414">IF(ROW(T414)&lt;=COUNTA(O:O)*2,IF(MOD(ROW(T414),2)=1,INDEX(O:O,(ROW(T414)+1)/2),INDEX(Q:Q,ROW(T414)/2)),"")</f>
        <v>119.3</v>
      </c>
      <c r="V414" s="22"/>
      <c r="W414" s="22"/>
      <c r="X414" s="22"/>
      <c r="Y414" s="22"/>
      <c r="Z414" s="22"/>
      <c r="AA414" s="22">
        <f t="array" ref="AA414">IF(ROW(AA414)&lt;=COUNTA(V:V)*2,IF(MOD(ROW(AA414),2)=1,INDEX(V:V,(ROW(AA414)+1)/2),INDEX(X:X,ROW(AA414)/2)),"")</f>
        <v>-465.3</v>
      </c>
      <c r="AB414" s="22">
        <f t="array" ref="AB414">IF(ROW(AB414)&lt;=COUNTA(W:W)*2,IF(MOD(ROW(AB414),2)=1,INDEX(W:W,(ROW(AB414)+1)/2),INDEX(Y:Y,ROW(AB414)/2)),"")</f>
        <v>122.654025</v>
      </c>
    </row>
    <row r="415" spans="1:28" s="2" customFormat="1" x14ac:dyDescent="0.25">
      <c r="A415" s="19"/>
      <c r="B415" s="20"/>
      <c r="C415" s="21"/>
      <c r="D415" s="22"/>
      <c r="F415" s="20"/>
      <c r="G415" s="20"/>
      <c r="H415" s="20"/>
      <c r="I415" s="20"/>
      <c r="J415" s="20"/>
      <c r="K415" s="34">
        <f t="array" ref="K415">IF(ROW(K415)&lt;=COUNTA(F:F)*2,IF(MOD(ROW(K415),2)=1,INDEX(F:F,(ROW(K415)+1)/2),INDEX(H:H,ROW(K415)/2)),"")</f>
        <v>-465.3</v>
      </c>
      <c r="L415" s="34">
        <f t="array" ref="L415">IF(ROW(L415)&lt;=COUNTA(G:G)*2,IF(MOD(ROW(L415),2)=1,INDEX(G:G,(ROW(L415)+1)/2),INDEX(I:I,ROW(L415)/2)),"")</f>
        <v>112.3</v>
      </c>
      <c r="N415" s="21"/>
      <c r="O415" s="21"/>
      <c r="P415" s="21"/>
      <c r="Q415" s="21"/>
      <c r="R415" s="21"/>
      <c r="S415" s="21">
        <f t="array" ref="S415">IF(ROW(S415)&lt;=COUNTA(N:N)*2,IF(MOD(ROW(S415),2)=1,INDEX(N:N,(ROW(S415)+1)/2),INDEX(P:P,ROW(S415)/2)),"")</f>
        <v>-465.3</v>
      </c>
      <c r="T415" s="21">
        <f t="array" ref="T415">IF(ROW(T415)&lt;=COUNTA(O:O)*2,IF(MOD(ROW(T415),2)=1,INDEX(O:O,(ROW(T415)+1)/2),INDEX(Q:Q,ROW(T415)/2)),"")</f>
        <v>121.5</v>
      </c>
      <c r="V415" s="22"/>
      <c r="W415" s="22"/>
      <c r="X415" s="22"/>
      <c r="Y415" s="22"/>
      <c r="Z415" s="22"/>
      <c r="AA415" s="22">
        <f t="array" ref="AA415">IF(ROW(AA415)&lt;=COUNTA(V:V)*2,IF(MOD(ROW(AA415),2)=1,INDEX(V:V,(ROW(AA415)+1)/2),INDEX(X:X,ROW(AA415)/2)),"")</f>
        <v>-465.3</v>
      </c>
      <c r="AB415" s="22">
        <f t="array" ref="AB415">IF(ROW(AB415)&lt;=COUNTA(W:W)*2,IF(MOD(ROW(AB415),2)=1,INDEX(W:W,(ROW(AB415)+1)/2),INDEX(Y:Y,ROW(AB415)/2)),"")</f>
        <v>122.651775</v>
      </c>
    </row>
    <row r="416" spans="1:28" s="2" customFormat="1" x14ac:dyDescent="0.25">
      <c r="A416" s="19"/>
      <c r="B416" s="20"/>
      <c r="C416" s="21"/>
      <c r="D416" s="22"/>
      <c r="F416" s="20"/>
      <c r="G416" s="20"/>
      <c r="H416" s="20"/>
      <c r="I416" s="20"/>
      <c r="J416" s="20"/>
      <c r="K416" s="34">
        <f t="array" ref="K416">IF(ROW(K416)&lt;=COUNTA(F:F)*2,IF(MOD(ROW(K416),2)=1,INDEX(F:F,(ROW(K416)+1)/2),INDEX(H:H,ROW(K416)/2)),"")</f>
        <v>-468.3</v>
      </c>
      <c r="L416" s="34">
        <f t="array" ref="L416">IF(ROW(L416)&lt;=COUNTA(G:G)*2,IF(MOD(ROW(L416),2)=1,INDEX(G:G,(ROW(L416)+1)/2),INDEX(I:I,ROW(L416)/2)),"")</f>
        <v>112.3</v>
      </c>
      <c r="N416" s="21"/>
      <c r="O416" s="21"/>
      <c r="P416" s="21"/>
      <c r="Q416" s="21"/>
      <c r="R416" s="21"/>
      <c r="S416" s="21">
        <f t="array" ref="S416">IF(ROW(S416)&lt;=COUNTA(N:N)*2,IF(MOD(ROW(S416),2)=1,INDEX(N:N,(ROW(S416)+1)/2),INDEX(P:P,ROW(S416)/2)),"")</f>
        <v>-468.3</v>
      </c>
      <c r="T416" s="21">
        <f t="array" ref="T416">IF(ROW(T416)&lt;=COUNTA(O:O)*2,IF(MOD(ROW(T416),2)=1,INDEX(O:O,(ROW(T416)+1)/2),INDEX(Q:Q,ROW(T416)/2)),"")</f>
        <v>121.5</v>
      </c>
      <c r="V416" s="22"/>
      <c r="W416" s="22"/>
      <c r="X416" s="22"/>
      <c r="Y416" s="22"/>
      <c r="Z416" s="22"/>
      <c r="AA416" s="22">
        <f t="array" ref="AA416">IF(ROW(AA416)&lt;=COUNTA(V:V)*2,IF(MOD(ROW(AA416),2)=1,INDEX(V:V,(ROW(AA416)+1)/2),INDEX(X:X,ROW(AA416)/2)),"")</f>
        <v>-468.3</v>
      </c>
      <c r="AB416" s="22">
        <f t="array" ref="AB416">IF(ROW(AB416)&lt;=COUNTA(W:W)*2,IF(MOD(ROW(AB416),2)=1,INDEX(W:W,(ROW(AB416)+1)/2),INDEX(Y:Y,ROW(AB416)/2)),"")</f>
        <v>122.651775</v>
      </c>
    </row>
    <row r="417" spans="1:28" s="2" customFormat="1" x14ac:dyDescent="0.25">
      <c r="A417" s="19"/>
      <c r="B417" s="20"/>
      <c r="C417" s="21"/>
      <c r="D417" s="22"/>
      <c r="F417" s="20"/>
      <c r="G417" s="20"/>
      <c r="H417" s="20"/>
      <c r="I417" s="20"/>
      <c r="J417" s="20"/>
      <c r="K417" s="34">
        <f t="array" ref="K417">IF(ROW(K417)&lt;=COUNTA(F:F)*2,IF(MOD(ROW(K417),2)=1,INDEX(F:F,(ROW(K417)+1)/2),INDEX(H:H,ROW(K417)/2)),"")</f>
        <v>-468.3</v>
      </c>
      <c r="L417" s="34">
        <f t="array" ref="L417">IF(ROW(L417)&lt;=COUNTA(G:G)*2,IF(MOD(ROW(L417),2)=1,INDEX(G:G,(ROW(L417)+1)/2),INDEX(I:I,ROW(L417)/2)),"")</f>
        <v>112.5</v>
      </c>
      <c r="N417" s="21"/>
      <c r="O417" s="21"/>
      <c r="P417" s="21"/>
      <c r="Q417" s="21"/>
      <c r="R417" s="21"/>
      <c r="S417" s="21">
        <f t="array" ref="S417">IF(ROW(S417)&lt;=COUNTA(N:N)*2,IF(MOD(ROW(S417),2)=1,INDEX(N:N,(ROW(S417)+1)/2),INDEX(P:P,ROW(S417)/2)),"")</f>
        <v>-468.3</v>
      </c>
      <c r="T417" s="21">
        <f t="array" ref="T417">IF(ROW(T417)&lt;=COUNTA(O:O)*2,IF(MOD(ROW(T417),2)=1,INDEX(O:O,(ROW(T417)+1)/2),INDEX(Q:Q,ROW(T417)/2)),"")</f>
        <v>113.3</v>
      </c>
      <c r="V417" s="22"/>
      <c r="W417" s="22"/>
      <c r="X417" s="22"/>
      <c r="Y417" s="22"/>
      <c r="Z417" s="22"/>
      <c r="AA417" s="22">
        <f t="array" ref="AA417">IF(ROW(AA417)&lt;=COUNTA(V:V)*2,IF(MOD(ROW(AA417),2)=1,INDEX(V:V,(ROW(AA417)+1)/2),INDEX(X:X,ROW(AA417)/2)),"")</f>
        <v>-468.3</v>
      </c>
      <c r="AB417" s="22">
        <f t="array" ref="AB417">IF(ROW(AB417)&lt;=COUNTA(W:W)*2,IF(MOD(ROW(AB417),2)=1,INDEX(W:W,(ROW(AB417)+1)/2),INDEX(Y:Y,ROW(AB417)/2)),"")</f>
        <v>122.655975</v>
      </c>
    </row>
    <row r="418" spans="1:28" s="2" customFormat="1" x14ac:dyDescent="0.25">
      <c r="A418" s="19"/>
      <c r="B418" s="20"/>
      <c r="C418" s="21"/>
      <c r="D418" s="22"/>
      <c r="F418" s="20"/>
      <c r="G418" s="20"/>
      <c r="H418" s="20"/>
      <c r="I418" s="20"/>
      <c r="J418" s="20"/>
      <c r="K418" s="34">
        <f t="array" ref="K418">IF(ROW(K418)&lt;=COUNTA(F:F)*2,IF(MOD(ROW(K418),2)=1,INDEX(F:F,(ROW(K418)+1)/2),INDEX(H:H,ROW(K418)/2)),"")</f>
        <v>-471.3</v>
      </c>
      <c r="L418" s="34">
        <f t="array" ref="L418">IF(ROW(L418)&lt;=COUNTA(G:G)*2,IF(MOD(ROW(L418),2)=1,INDEX(G:G,(ROW(L418)+1)/2),INDEX(I:I,ROW(L418)/2)),"")</f>
        <v>112.5</v>
      </c>
      <c r="N418" s="21"/>
      <c r="O418" s="21"/>
      <c r="P418" s="21"/>
      <c r="Q418" s="21"/>
      <c r="R418" s="21"/>
      <c r="S418" s="21">
        <f t="array" ref="S418">IF(ROW(S418)&lt;=COUNTA(N:N)*2,IF(MOD(ROW(S418),2)=1,INDEX(N:N,(ROW(S418)+1)/2),INDEX(P:P,ROW(S418)/2)),"")</f>
        <v>-471.3</v>
      </c>
      <c r="T418" s="21">
        <f t="array" ref="T418">IF(ROW(T418)&lt;=COUNTA(O:O)*2,IF(MOD(ROW(T418),2)=1,INDEX(O:O,(ROW(T418)+1)/2),INDEX(Q:Q,ROW(T418)/2)),"")</f>
        <v>113.3</v>
      </c>
      <c r="V418" s="22"/>
      <c r="W418" s="22"/>
      <c r="X418" s="22"/>
      <c r="Y418" s="22"/>
      <c r="Z418" s="22"/>
      <c r="AA418" s="22">
        <f t="array" ref="AA418">IF(ROW(AA418)&lt;=COUNTA(V:V)*2,IF(MOD(ROW(AA418),2)=1,INDEX(V:V,(ROW(AA418)+1)/2),INDEX(X:X,ROW(AA418)/2)),"")</f>
        <v>-471.3</v>
      </c>
      <c r="AB418" s="22">
        <f t="array" ref="AB418">IF(ROW(AB418)&lt;=COUNTA(W:W)*2,IF(MOD(ROW(AB418),2)=1,INDEX(W:W,(ROW(AB418)+1)/2),INDEX(Y:Y,ROW(AB418)/2)),"")</f>
        <v>122.655975</v>
      </c>
    </row>
    <row r="419" spans="1:28" s="2" customFormat="1" x14ac:dyDescent="0.25">
      <c r="A419" s="19"/>
      <c r="B419" s="20"/>
      <c r="C419" s="21"/>
      <c r="D419" s="22"/>
      <c r="F419" s="20"/>
      <c r="G419" s="20"/>
      <c r="H419" s="20"/>
      <c r="I419" s="20"/>
      <c r="J419" s="20"/>
      <c r="K419" s="34">
        <f t="array" ref="K419">IF(ROW(K419)&lt;=COUNTA(F:F)*2,IF(MOD(ROW(K419),2)=1,INDEX(F:F,(ROW(K419)+1)/2),INDEX(H:H,ROW(K419)/2)),"")</f>
        <v>-471.3</v>
      </c>
      <c r="L419" s="34">
        <f t="array" ref="L419">IF(ROW(L419)&lt;=COUNTA(G:G)*2,IF(MOD(ROW(L419),2)=1,INDEX(G:G,(ROW(L419)+1)/2),INDEX(I:I,ROW(L419)/2)),"")</f>
        <v>112.3</v>
      </c>
      <c r="N419" s="21"/>
      <c r="O419" s="21"/>
      <c r="P419" s="21"/>
      <c r="Q419" s="21"/>
      <c r="R419" s="21"/>
      <c r="S419" s="21">
        <f t="array" ref="S419">IF(ROW(S419)&lt;=COUNTA(N:N)*2,IF(MOD(ROW(S419),2)=1,INDEX(N:N,(ROW(S419)+1)/2),INDEX(P:P,ROW(S419)/2)),"")</f>
        <v>-471.3</v>
      </c>
      <c r="T419" s="21">
        <f t="array" ref="T419">IF(ROW(T419)&lt;=COUNTA(O:O)*2,IF(MOD(ROW(T419),2)=1,INDEX(O:O,(ROW(T419)+1)/2),INDEX(Q:Q,ROW(T419)/2)),"")</f>
        <v>117.4</v>
      </c>
      <c r="V419" s="22"/>
      <c r="W419" s="22"/>
      <c r="X419" s="22"/>
      <c r="Y419" s="22"/>
      <c r="Z419" s="22"/>
      <c r="AA419" s="22">
        <f t="array" ref="AA419">IF(ROW(AA419)&lt;=COUNTA(V:V)*2,IF(MOD(ROW(AA419),2)=1,INDEX(V:V,(ROW(AA419)+1)/2),INDEX(X:X,ROW(AA419)/2)),"")</f>
        <v>-471.3</v>
      </c>
      <c r="AB419" s="22">
        <f t="array" ref="AB419">IF(ROW(AB419)&lt;=COUNTA(W:W)*2,IF(MOD(ROW(AB419),2)=1,INDEX(W:W,(ROW(AB419)+1)/2),INDEX(Y:Y,ROW(AB419)/2)),"")</f>
        <v>122.655925</v>
      </c>
    </row>
    <row r="420" spans="1:28" s="2" customFormat="1" x14ac:dyDescent="0.25">
      <c r="A420" s="19"/>
      <c r="B420" s="20"/>
      <c r="C420" s="21"/>
      <c r="D420" s="22"/>
      <c r="F420" s="20"/>
      <c r="G420" s="20"/>
      <c r="H420" s="20"/>
      <c r="I420" s="20"/>
      <c r="J420" s="20"/>
      <c r="K420" s="34">
        <f t="array" ref="K420">IF(ROW(K420)&lt;=COUNTA(F:F)*2,IF(MOD(ROW(K420),2)=1,INDEX(F:F,(ROW(K420)+1)/2),INDEX(H:H,ROW(K420)/2)),"")</f>
        <v>-473.2</v>
      </c>
      <c r="L420" s="34">
        <f t="array" ref="L420">IF(ROW(L420)&lt;=COUNTA(G:G)*2,IF(MOD(ROW(L420),2)=1,INDEX(G:G,(ROW(L420)+1)/2),INDEX(I:I,ROW(L420)/2)),"")</f>
        <v>112.3</v>
      </c>
      <c r="N420" s="21"/>
      <c r="O420" s="21"/>
      <c r="P420" s="21"/>
      <c r="Q420" s="21"/>
      <c r="R420" s="21"/>
      <c r="S420" s="21">
        <f t="array" ref="S420">IF(ROW(S420)&lt;=COUNTA(N:N)*2,IF(MOD(ROW(S420),2)=1,INDEX(N:N,(ROW(S420)+1)/2),INDEX(P:P,ROW(S420)/2)),"")</f>
        <v>-473.2</v>
      </c>
      <c r="T420" s="21">
        <f t="array" ref="T420">IF(ROW(T420)&lt;=COUNTA(O:O)*2,IF(MOD(ROW(T420),2)=1,INDEX(O:O,(ROW(T420)+1)/2),INDEX(Q:Q,ROW(T420)/2)),"")</f>
        <v>117.4</v>
      </c>
      <c r="V420" s="22"/>
      <c r="W420" s="22"/>
      <c r="X420" s="22"/>
      <c r="Y420" s="22"/>
      <c r="Z420" s="22"/>
      <c r="AA420" s="22">
        <f t="array" ref="AA420">IF(ROW(AA420)&lt;=COUNTA(V:V)*2,IF(MOD(ROW(AA420),2)=1,INDEX(V:V,(ROW(AA420)+1)/2),INDEX(X:X,ROW(AA420)/2)),"")</f>
        <v>-473.2</v>
      </c>
      <c r="AB420" s="22">
        <f t="array" ref="AB420">IF(ROW(AB420)&lt;=COUNTA(W:W)*2,IF(MOD(ROW(AB420),2)=1,INDEX(W:W,(ROW(AB420)+1)/2),INDEX(Y:Y,ROW(AB420)/2)),"")</f>
        <v>122.655925</v>
      </c>
    </row>
    <row r="421" spans="1:28" s="2" customFormat="1" x14ac:dyDescent="0.25">
      <c r="A421" s="19"/>
      <c r="B421" s="20"/>
      <c r="C421" s="21"/>
      <c r="D421" s="22"/>
      <c r="F421" s="20"/>
      <c r="G421" s="20"/>
      <c r="H421" s="20"/>
      <c r="I421" s="20"/>
      <c r="J421" s="20"/>
      <c r="K421" s="34">
        <f t="array" ref="K421">IF(ROW(K421)&lt;=COUNTA(F:F)*2,IF(MOD(ROW(K421),2)=1,INDEX(F:F,(ROW(K421)+1)/2),INDEX(H:H,ROW(K421)/2)),"")</f>
        <v>-473.2</v>
      </c>
      <c r="L421" s="34">
        <f t="array" ref="L421">IF(ROW(L421)&lt;=COUNTA(G:G)*2,IF(MOD(ROW(L421),2)=1,INDEX(G:G,(ROW(L421)+1)/2),INDEX(I:I,ROW(L421)/2)),"")</f>
        <v>112.1</v>
      </c>
      <c r="N421" s="21"/>
      <c r="O421" s="21"/>
      <c r="P421" s="21"/>
      <c r="Q421" s="21"/>
      <c r="R421" s="21"/>
      <c r="S421" s="21">
        <f t="array" ref="S421">IF(ROW(S421)&lt;=COUNTA(N:N)*2,IF(MOD(ROW(S421),2)=1,INDEX(N:N,(ROW(S421)+1)/2),INDEX(P:P,ROW(S421)/2)),"")</f>
        <v>-473.2</v>
      </c>
      <c r="T421" s="21">
        <f t="array" ref="T421">IF(ROW(T421)&lt;=COUNTA(O:O)*2,IF(MOD(ROW(T421),2)=1,INDEX(O:O,(ROW(T421)+1)/2),INDEX(Q:Q,ROW(T421)/2)),"")</f>
        <v>119.6</v>
      </c>
      <c r="V421" s="22"/>
      <c r="W421" s="22"/>
      <c r="X421" s="22"/>
      <c r="Y421" s="22"/>
      <c r="Z421" s="22"/>
      <c r="AA421" s="22">
        <f t="array" ref="AA421">IF(ROW(AA421)&lt;=COUNTA(V:V)*2,IF(MOD(ROW(AA421),2)=1,INDEX(V:V,(ROW(AA421)+1)/2),INDEX(X:X,ROW(AA421)/2)),"")</f>
        <v>-473.2</v>
      </c>
      <c r="AB421" s="22">
        <f t="array" ref="AB421">IF(ROW(AB421)&lt;=COUNTA(W:W)*2,IF(MOD(ROW(AB421),2)=1,INDEX(W:W,(ROW(AB421)+1)/2),INDEX(Y:Y,ROW(AB421)/2)),"")</f>
        <v>122.655975</v>
      </c>
    </row>
    <row r="422" spans="1:28" s="2" customFormat="1" x14ac:dyDescent="0.25">
      <c r="A422" s="19"/>
      <c r="B422" s="20"/>
      <c r="C422" s="21"/>
      <c r="D422" s="22"/>
      <c r="F422" s="20"/>
      <c r="G422" s="20"/>
      <c r="H422" s="20"/>
      <c r="I422" s="20"/>
      <c r="J422" s="20"/>
      <c r="K422" s="34">
        <f t="array" ref="K422">IF(ROW(K422)&lt;=COUNTA(F:F)*2,IF(MOD(ROW(K422),2)=1,INDEX(F:F,(ROW(K422)+1)/2),INDEX(H:H,ROW(K422)/2)),"")</f>
        <v>-475.5</v>
      </c>
      <c r="L422" s="34">
        <f t="array" ref="L422">IF(ROW(L422)&lt;=COUNTA(G:G)*2,IF(MOD(ROW(L422),2)=1,INDEX(G:G,(ROW(L422)+1)/2),INDEX(I:I,ROW(L422)/2)),"")</f>
        <v>112.1</v>
      </c>
      <c r="N422" s="21"/>
      <c r="O422" s="21"/>
      <c r="P422" s="21"/>
      <c r="Q422" s="21"/>
      <c r="R422" s="21"/>
      <c r="S422" s="21">
        <f t="array" ref="S422">IF(ROW(S422)&lt;=COUNTA(N:N)*2,IF(MOD(ROW(S422),2)=1,INDEX(N:N,(ROW(S422)+1)/2),INDEX(P:P,ROW(S422)/2)),"")</f>
        <v>-475.5</v>
      </c>
      <c r="T422" s="21">
        <f t="array" ref="T422">IF(ROW(T422)&lt;=COUNTA(O:O)*2,IF(MOD(ROW(T422),2)=1,INDEX(O:O,(ROW(T422)+1)/2),INDEX(Q:Q,ROW(T422)/2)),"")</f>
        <v>119.6</v>
      </c>
      <c r="V422" s="22"/>
      <c r="W422" s="22"/>
      <c r="X422" s="22"/>
      <c r="Y422" s="22"/>
      <c r="Z422" s="22"/>
      <c r="AA422" s="22">
        <f t="array" ref="AA422">IF(ROW(AA422)&lt;=COUNTA(V:V)*2,IF(MOD(ROW(AA422),2)=1,INDEX(V:V,(ROW(AA422)+1)/2),INDEX(X:X,ROW(AA422)/2)),"")</f>
        <v>-475.5</v>
      </c>
      <c r="AB422" s="22">
        <f t="array" ref="AB422">IF(ROW(AB422)&lt;=COUNTA(W:W)*2,IF(MOD(ROW(AB422),2)=1,INDEX(W:W,(ROW(AB422)+1)/2),INDEX(Y:Y,ROW(AB422)/2)),"")</f>
        <v>122.655975</v>
      </c>
    </row>
    <row r="423" spans="1:28" s="2" customFormat="1" x14ac:dyDescent="0.25">
      <c r="A423" s="19"/>
      <c r="B423" s="20"/>
      <c r="C423" s="21"/>
      <c r="D423" s="22"/>
      <c r="F423" s="20"/>
      <c r="G423" s="20"/>
      <c r="H423" s="20"/>
      <c r="I423" s="20"/>
      <c r="J423" s="20"/>
      <c r="K423" s="34">
        <f t="array" ref="K423">IF(ROW(K423)&lt;=COUNTA(F:F)*2,IF(MOD(ROW(K423),2)=1,INDEX(F:F,(ROW(K423)+1)/2),INDEX(H:H,ROW(K423)/2)),"")</f>
        <v>-475.5</v>
      </c>
      <c r="L423" s="34">
        <f t="array" ref="L423">IF(ROW(L423)&lt;=COUNTA(G:G)*2,IF(MOD(ROW(L423),2)=1,INDEX(G:G,(ROW(L423)+1)/2),INDEX(I:I,ROW(L423)/2)),"")</f>
        <v>111.9</v>
      </c>
      <c r="N423" s="21"/>
      <c r="O423" s="21"/>
      <c r="P423" s="21"/>
      <c r="Q423" s="21"/>
      <c r="R423" s="21"/>
      <c r="S423" s="21">
        <f t="array" ref="S423">IF(ROW(S423)&lt;=COUNTA(N:N)*2,IF(MOD(ROW(S423),2)=1,INDEX(N:N,(ROW(S423)+1)/2),INDEX(P:P,ROW(S423)/2)),"")</f>
        <v>-475.5</v>
      </c>
      <c r="T423" s="21">
        <f t="array" ref="T423">IF(ROW(T423)&lt;=COUNTA(O:O)*2,IF(MOD(ROW(T423),2)=1,INDEX(O:O,(ROW(T423)+1)/2),INDEX(Q:Q,ROW(T423)/2)),"")</f>
        <v>120.3</v>
      </c>
      <c r="V423" s="22"/>
      <c r="W423" s="22"/>
      <c r="X423" s="22"/>
      <c r="Y423" s="22"/>
      <c r="Z423" s="22"/>
      <c r="AA423" s="22">
        <f t="array" ref="AA423">IF(ROW(AA423)&lt;=COUNTA(V:V)*2,IF(MOD(ROW(AA423),2)=1,INDEX(V:V,(ROW(AA423)+1)/2),INDEX(X:X,ROW(AA423)/2)),"")</f>
        <v>-475.5</v>
      </c>
      <c r="AB423" s="22">
        <f t="array" ref="AB423">IF(ROW(AB423)&lt;=COUNTA(W:W)*2,IF(MOD(ROW(AB423),2)=1,INDEX(W:W,(ROW(AB423)+1)/2),INDEX(Y:Y,ROW(AB423)/2)),"")</f>
        <v>122.657075</v>
      </c>
    </row>
    <row r="424" spans="1:28" s="2" customFormat="1" x14ac:dyDescent="0.25">
      <c r="A424" s="19"/>
      <c r="B424" s="20"/>
      <c r="C424" s="21"/>
      <c r="D424" s="22"/>
      <c r="F424" s="20"/>
      <c r="G424" s="20"/>
      <c r="H424" s="20"/>
      <c r="I424" s="20"/>
      <c r="J424" s="20"/>
      <c r="K424" s="34">
        <f t="array" ref="K424">IF(ROW(K424)&lt;=COUNTA(F:F)*2,IF(MOD(ROW(K424),2)=1,INDEX(F:F,(ROW(K424)+1)/2),INDEX(H:H,ROW(K424)/2)),"")</f>
        <v>-478.5</v>
      </c>
      <c r="L424" s="34">
        <f t="array" ref="L424">IF(ROW(L424)&lt;=COUNTA(G:G)*2,IF(MOD(ROW(L424),2)=1,INDEX(G:G,(ROW(L424)+1)/2),INDEX(I:I,ROW(L424)/2)),"")</f>
        <v>111.9</v>
      </c>
      <c r="N424" s="21"/>
      <c r="O424" s="21"/>
      <c r="P424" s="21"/>
      <c r="Q424" s="21"/>
      <c r="R424" s="21"/>
      <c r="S424" s="21">
        <f t="array" ref="S424">IF(ROW(S424)&lt;=COUNTA(N:N)*2,IF(MOD(ROW(S424),2)=1,INDEX(N:N,(ROW(S424)+1)/2),INDEX(P:P,ROW(S424)/2)),"")</f>
        <v>-478.5</v>
      </c>
      <c r="T424" s="21">
        <f t="array" ref="T424">IF(ROW(T424)&lt;=COUNTA(O:O)*2,IF(MOD(ROW(T424),2)=1,INDEX(O:O,(ROW(T424)+1)/2),INDEX(Q:Q,ROW(T424)/2)),"")</f>
        <v>120.3</v>
      </c>
      <c r="V424" s="22"/>
      <c r="W424" s="22"/>
      <c r="X424" s="22"/>
      <c r="Y424" s="22"/>
      <c r="Z424" s="22"/>
      <c r="AA424" s="22">
        <f t="array" ref="AA424">IF(ROW(AA424)&lt;=COUNTA(V:V)*2,IF(MOD(ROW(AA424),2)=1,INDEX(V:V,(ROW(AA424)+1)/2),INDEX(X:X,ROW(AA424)/2)),"")</f>
        <v>-478.5</v>
      </c>
      <c r="AB424" s="22">
        <f t="array" ref="AB424">IF(ROW(AB424)&lt;=COUNTA(W:W)*2,IF(MOD(ROW(AB424),2)=1,INDEX(W:W,(ROW(AB424)+1)/2),INDEX(Y:Y,ROW(AB424)/2)),"")</f>
        <v>122.657075</v>
      </c>
    </row>
    <row r="425" spans="1:28" s="2" customFormat="1" x14ac:dyDescent="0.25">
      <c r="A425" s="19"/>
      <c r="B425" s="20"/>
      <c r="C425" s="21"/>
      <c r="D425" s="22"/>
      <c r="F425" s="20"/>
      <c r="G425" s="20"/>
      <c r="H425" s="20"/>
      <c r="I425" s="20"/>
      <c r="J425" s="20"/>
      <c r="K425" s="34">
        <f t="array" ref="K425">IF(ROW(K425)&lt;=COUNTA(F:F)*2,IF(MOD(ROW(K425),2)=1,INDEX(F:F,(ROW(K425)+1)/2),INDEX(H:H,ROW(K425)/2)),"")</f>
        <v>-478.5</v>
      </c>
      <c r="L425" s="34">
        <f t="array" ref="L425">IF(ROW(L425)&lt;=COUNTA(G:G)*2,IF(MOD(ROW(L425),2)=1,INDEX(G:G,(ROW(L425)+1)/2),INDEX(I:I,ROW(L425)/2)),"")</f>
        <v>112.4</v>
      </c>
      <c r="N425" s="21"/>
      <c r="O425" s="21"/>
      <c r="P425" s="21"/>
      <c r="Q425" s="21"/>
      <c r="R425" s="21"/>
      <c r="S425" s="21">
        <f t="array" ref="S425">IF(ROW(S425)&lt;=COUNTA(N:N)*2,IF(MOD(ROW(S425),2)=1,INDEX(N:N,(ROW(S425)+1)/2),INDEX(P:P,ROW(S425)/2)),"")</f>
        <v>-478.5</v>
      </c>
      <c r="T425" s="21">
        <f t="array" ref="T425">IF(ROW(T425)&lt;=COUNTA(O:O)*2,IF(MOD(ROW(T425),2)=1,INDEX(O:O,(ROW(T425)+1)/2),INDEX(Q:Q,ROW(T425)/2)),"")</f>
        <v>118.9</v>
      </c>
      <c r="V425" s="22"/>
      <c r="W425" s="22"/>
      <c r="X425" s="22"/>
      <c r="Y425" s="22"/>
      <c r="Z425" s="22"/>
      <c r="AA425" s="22">
        <f t="array" ref="AA425">IF(ROW(AA425)&lt;=COUNTA(V:V)*2,IF(MOD(ROW(AA425),2)=1,INDEX(V:V,(ROW(AA425)+1)/2),INDEX(X:X,ROW(AA425)/2)),"")</f>
        <v>-478.5</v>
      </c>
      <c r="AB425" s="22">
        <f t="array" ref="AB425">IF(ROW(AB425)&lt;=COUNTA(W:W)*2,IF(MOD(ROW(AB425),2)=1,INDEX(W:W,(ROW(AB425)+1)/2),INDEX(Y:Y,ROW(AB425)/2)),"")</f>
        <v>122.65865</v>
      </c>
    </row>
    <row r="426" spans="1:28" s="2" customFormat="1" x14ac:dyDescent="0.25">
      <c r="A426" s="19"/>
      <c r="B426" s="20"/>
      <c r="C426" s="21"/>
      <c r="D426" s="22"/>
      <c r="F426" s="20"/>
      <c r="G426" s="20"/>
      <c r="H426" s="20"/>
      <c r="I426" s="20"/>
      <c r="J426" s="20"/>
      <c r="K426" s="34">
        <f t="array" ref="K426">IF(ROW(K426)&lt;=COUNTA(F:F)*2,IF(MOD(ROW(K426),2)=1,INDEX(F:F,(ROW(K426)+1)/2),INDEX(H:H,ROW(K426)/2)),"")</f>
        <v>-481.5</v>
      </c>
      <c r="L426" s="34">
        <f t="array" ref="L426">IF(ROW(L426)&lt;=COUNTA(G:G)*2,IF(MOD(ROW(L426),2)=1,INDEX(G:G,(ROW(L426)+1)/2),INDEX(I:I,ROW(L426)/2)),"")</f>
        <v>112.4</v>
      </c>
      <c r="N426" s="21"/>
      <c r="O426" s="21"/>
      <c r="P426" s="21"/>
      <c r="Q426" s="21"/>
      <c r="R426" s="21"/>
      <c r="S426" s="21">
        <f t="array" ref="S426">IF(ROW(S426)&lt;=COUNTA(N:N)*2,IF(MOD(ROW(S426),2)=1,INDEX(N:N,(ROW(S426)+1)/2),INDEX(P:P,ROW(S426)/2)),"")</f>
        <v>-481.5</v>
      </c>
      <c r="T426" s="21">
        <f t="array" ref="T426">IF(ROW(T426)&lt;=COUNTA(O:O)*2,IF(MOD(ROW(T426),2)=1,INDEX(O:O,(ROW(T426)+1)/2),INDEX(Q:Q,ROW(T426)/2)),"")</f>
        <v>118.9</v>
      </c>
      <c r="V426" s="22"/>
      <c r="W426" s="22"/>
      <c r="X426" s="22"/>
      <c r="Y426" s="22"/>
      <c r="Z426" s="22"/>
      <c r="AA426" s="22">
        <f t="array" ref="AA426">IF(ROW(AA426)&lt;=COUNTA(V:V)*2,IF(MOD(ROW(AA426),2)=1,INDEX(V:V,(ROW(AA426)+1)/2),INDEX(X:X,ROW(AA426)/2)),"")</f>
        <v>-481.5</v>
      </c>
      <c r="AB426" s="22">
        <f t="array" ref="AB426">IF(ROW(AB426)&lt;=COUNTA(W:W)*2,IF(MOD(ROW(AB426),2)=1,INDEX(W:W,(ROW(AB426)+1)/2),INDEX(Y:Y,ROW(AB426)/2)),"")</f>
        <v>122.65865</v>
      </c>
    </row>
    <row r="427" spans="1:28" s="2" customFormat="1" x14ac:dyDescent="0.25">
      <c r="A427" s="19"/>
      <c r="B427" s="20"/>
      <c r="C427" s="21"/>
      <c r="D427" s="22"/>
      <c r="F427" s="20"/>
      <c r="G427" s="20"/>
      <c r="H427" s="20"/>
      <c r="I427" s="20"/>
      <c r="J427" s="20"/>
      <c r="K427" s="34">
        <f t="array" ref="K427">IF(ROW(K427)&lt;=COUNTA(F:F)*2,IF(MOD(ROW(K427),2)=1,INDEX(F:F,(ROW(K427)+1)/2),INDEX(H:H,ROW(K427)/2)),"")</f>
        <v>-481.5</v>
      </c>
      <c r="L427" s="34">
        <f t="array" ref="L427">IF(ROW(L427)&lt;=COUNTA(G:G)*2,IF(MOD(ROW(L427),2)=1,INDEX(G:G,(ROW(L427)+1)/2),INDEX(I:I,ROW(L427)/2)),"")</f>
        <v>112.5</v>
      </c>
      <c r="N427" s="21"/>
      <c r="O427" s="21"/>
      <c r="P427" s="21"/>
      <c r="Q427" s="21"/>
      <c r="R427" s="21"/>
      <c r="S427" s="21">
        <f t="array" ref="S427">IF(ROW(S427)&lt;=COUNTA(N:N)*2,IF(MOD(ROW(S427),2)=1,INDEX(N:N,(ROW(S427)+1)/2),INDEX(P:P,ROW(S427)/2)),"")</f>
        <v>-481.5</v>
      </c>
      <c r="T427" s="21">
        <f t="array" ref="T427">IF(ROW(T427)&lt;=COUNTA(O:O)*2,IF(MOD(ROW(T427),2)=1,INDEX(O:O,(ROW(T427)+1)/2),INDEX(Q:Q,ROW(T427)/2)),"")</f>
        <v>119.6</v>
      </c>
      <c r="V427" s="22"/>
      <c r="W427" s="22"/>
      <c r="X427" s="22"/>
      <c r="Y427" s="22"/>
      <c r="Z427" s="22"/>
      <c r="AA427" s="22">
        <f t="array" ref="AA427">IF(ROW(AA427)&lt;=COUNTA(V:V)*2,IF(MOD(ROW(AA427),2)=1,INDEX(V:V,(ROW(AA427)+1)/2),INDEX(X:X,ROW(AA427)/2)),"")</f>
        <v>-481.5</v>
      </c>
      <c r="AB427" s="22">
        <f t="array" ref="AB427">IF(ROW(AB427)&lt;=COUNTA(W:W)*2,IF(MOD(ROW(AB427),2)=1,INDEX(W:W,(ROW(AB427)+1)/2),INDEX(Y:Y,ROW(AB427)/2)),"")</f>
        <v>122.65445</v>
      </c>
    </row>
    <row r="428" spans="1:28" s="2" customFormat="1" x14ac:dyDescent="0.25">
      <c r="A428" s="19"/>
      <c r="B428" s="20"/>
      <c r="C428" s="21"/>
      <c r="D428" s="22"/>
      <c r="F428" s="20"/>
      <c r="G428" s="20"/>
      <c r="H428" s="20"/>
      <c r="I428" s="20"/>
      <c r="J428" s="20"/>
      <c r="K428" s="34">
        <f t="array" ref="K428">IF(ROW(K428)&lt;=COUNTA(F:F)*2,IF(MOD(ROW(K428),2)=1,INDEX(F:F,(ROW(K428)+1)/2),INDEX(H:H,ROW(K428)/2)),"")</f>
        <v>-483.7</v>
      </c>
      <c r="L428" s="34">
        <f t="array" ref="L428">IF(ROW(L428)&lt;=COUNTA(G:G)*2,IF(MOD(ROW(L428),2)=1,INDEX(G:G,(ROW(L428)+1)/2),INDEX(I:I,ROW(L428)/2)),"")</f>
        <v>112.5</v>
      </c>
      <c r="N428" s="21"/>
      <c r="O428" s="21"/>
      <c r="P428" s="21"/>
      <c r="Q428" s="21"/>
      <c r="R428" s="21"/>
      <c r="S428" s="21">
        <f t="array" ref="S428">IF(ROW(S428)&lt;=COUNTA(N:N)*2,IF(MOD(ROW(S428),2)=1,INDEX(N:N,(ROW(S428)+1)/2),INDEX(P:P,ROW(S428)/2)),"")</f>
        <v>-483.7</v>
      </c>
      <c r="T428" s="21">
        <f t="array" ref="T428">IF(ROW(T428)&lt;=COUNTA(O:O)*2,IF(MOD(ROW(T428),2)=1,INDEX(O:O,(ROW(T428)+1)/2),INDEX(Q:Q,ROW(T428)/2)),"")</f>
        <v>119.6</v>
      </c>
      <c r="V428" s="22"/>
      <c r="W428" s="22"/>
      <c r="X428" s="22"/>
      <c r="Y428" s="22"/>
      <c r="Z428" s="22"/>
      <c r="AA428" s="22">
        <f t="array" ref="AA428">IF(ROW(AA428)&lt;=COUNTA(V:V)*2,IF(MOD(ROW(AA428),2)=1,INDEX(V:V,(ROW(AA428)+1)/2),INDEX(X:X,ROW(AA428)/2)),"")</f>
        <v>-483.7</v>
      </c>
      <c r="AB428" s="22">
        <f t="array" ref="AB428">IF(ROW(AB428)&lt;=COUNTA(W:W)*2,IF(MOD(ROW(AB428),2)=1,INDEX(W:W,(ROW(AB428)+1)/2),INDEX(Y:Y,ROW(AB428)/2)),"")</f>
        <v>122.65445</v>
      </c>
    </row>
    <row r="429" spans="1:28" s="2" customFormat="1" x14ac:dyDescent="0.25">
      <c r="A429" s="19"/>
      <c r="B429" s="20"/>
      <c r="C429" s="21"/>
      <c r="D429" s="22"/>
      <c r="F429" s="20"/>
      <c r="G429" s="20"/>
      <c r="H429" s="20"/>
      <c r="I429" s="20"/>
      <c r="J429" s="20"/>
      <c r="K429" s="34">
        <f t="array" ref="K429">IF(ROW(K429)&lt;=COUNTA(F:F)*2,IF(MOD(ROW(K429),2)=1,INDEX(F:F,(ROW(K429)+1)/2),INDEX(H:H,ROW(K429)/2)),"")</f>
        <v>-483.7</v>
      </c>
      <c r="L429" s="34">
        <f t="array" ref="L429">IF(ROW(L429)&lt;=COUNTA(G:G)*2,IF(MOD(ROW(L429),2)=1,INDEX(G:G,(ROW(L429)+1)/2),INDEX(I:I,ROW(L429)/2)),"")</f>
        <v>112.5</v>
      </c>
      <c r="N429" s="21"/>
      <c r="O429" s="21"/>
      <c r="P429" s="21"/>
      <c r="Q429" s="21"/>
      <c r="R429" s="21"/>
      <c r="S429" s="21">
        <f t="array" ref="S429">IF(ROW(S429)&lt;=COUNTA(N:N)*2,IF(MOD(ROW(S429),2)=1,INDEX(N:N,(ROW(S429)+1)/2),INDEX(P:P,ROW(S429)/2)),"")</f>
        <v>-483.7</v>
      </c>
      <c r="T429" s="21">
        <f t="array" ref="T429">IF(ROW(T429)&lt;=COUNTA(O:O)*2,IF(MOD(ROW(T429),2)=1,INDEX(O:O,(ROW(T429)+1)/2),INDEX(Q:Q,ROW(T429)/2)),"")</f>
        <v>115.7</v>
      </c>
      <c r="V429" s="22"/>
      <c r="W429" s="22"/>
      <c r="X429" s="22"/>
      <c r="Y429" s="22"/>
      <c r="Z429" s="22"/>
      <c r="AA429" s="22">
        <f t="array" ref="AA429">IF(ROW(AA429)&lt;=COUNTA(V:V)*2,IF(MOD(ROW(AA429),2)=1,INDEX(V:V,(ROW(AA429)+1)/2),INDEX(X:X,ROW(AA429)/2)),"")</f>
        <v>-483.7</v>
      </c>
      <c r="AB429" s="22">
        <f t="array" ref="AB429">IF(ROW(AB429)&lt;=COUNTA(W:W)*2,IF(MOD(ROW(AB429),2)=1,INDEX(W:W,(ROW(AB429)+1)/2),INDEX(Y:Y,ROW(AB429)/2)),"")</f>
        <v>122.65865</v>
      </c>
    </row>
    <row r="430" spans="1:28" s="2" customFormat="1" x14ac:dyDescent="0.25">
      <c r="A430" s="19"/>
      <c r="B430" s="20"/>
      <c r="C430" s="21"/>
      <c r="D430" s="22"/>
      <c r="F430" s="20"/>
      <c r="G430" s="20"/>
      <c r="H430" s="20"/>
      <c r="I430" s="20"/>
      <c r="J430" s="20"/>
      <c r="K430" s="34">
        <f t="array" ref="K430">IF(ROW(K430)&lt;=COUNTA(F:F)*2,IF(MOD(ROW(K430),2)=1,INDEX(F:F,(ROW(K430)+1)/2),INDEX(H:H,ROW(K430)/2)),"")</f>
        <v>-486.7</v>
      </c>
      <c r="L430" s="34">
        <f t="array" ref="L430">IF(ROW(L430)&lt;=COUNTA(G:G)*2,IF(MOD(ROW(L430),2)=1,INDEX(G:G,(ROW(L430)+1)/2),INDEX(I:I,ROW(L430)/2)),"")</f>
        <v>112.5</v>
      </c>
      <c r="N430" s="21"/>
      <c r="O430" s="21"/>
      <c r="P430" s="21"/>
      <c r="Q430" s="21"/>
      <c r="R430" s="21"/>
      <c r="S430" s="21">
        <f t="array" ref="S430">IF(ROW(S430)&lt;=COUNTA(N:N)*2,IF(MOD(ROW(S430),2)=1,INDEX(N:N,(ROW(S430)+1)/2),INDEX(P:P,ROW(S430)/2)),"")</f>
        <v>-486.7</v>
      </c>
      <c r="T430" s="21">
        <f t="array" ref="T430">IF(ROW(T430)&lt;=COUNTA(O:O)*2,IF(MOD(ROW(T430),2)=1,INDEX(O:O,(ROW(T430)+1)/2),INDEX(Q:Q,ROW(T430)/2)),"")</f>
        <v>115.7</v>
      </c>
      <c r="V430" s="22"/>
      <c r="W430" s="22"/>
      <c r="X430" s="22"/>
      <c r="Y430" s="22"/>
      <c r="Z430" s="22"/>
      <c r="AA430" s="22">
        <f t="array" ref="AA430">IF(ROW(AA430)&lt;=COUNTA(V:V)*2,IF(MOD(ROW(AA430),2)=1,INDEX(V:V,(ROW(AA430)+1)/2),INDEX(X:X,ROW(AA430)/2)),"")</f>
        <v>-486.7</v>
      </c>
      <c r="AB430" s="22">
        <f t="array" ref="AB430">IF(ROW(AB430)&lt;=COUNTA(W:W)*2,IF(MOD(ROW(AB430),2)=1,INDEX(W:W,(ROW(AB430)+1)/2),INDEX(Y:Y,ROW(AB430)/2)),"")</f>
        <v>122.65865</v>
      </c>
    </row>
    <row r="431" spans="1:28" s="2" customFormat="1" x14ac:dyDescent="0.25">
      <c r="A431" s="19"/>
      <c r="B431" s="20"/>
      <c r="C431" s="21"/>
      <c r="D431" s="22"/>
      <c r="F431" s="20"/>
      <c r="G431" s="20"/>
      <c r="H431" s="20"/>
      <c r="I431" s="20"/>
      <c r="J431" s="20"/>
      <c r="K431" s="34">
        <f t="array" ref="K431">IF(ROW(K431)&lt;=COUNTA(F:F)*2,IF(MOD(ROW(K431),2)=1,INDEX(F:F,(ROW(K431)+1)/2),INDEX(H:H,ROW(K431)/2)),"")</f>
        <v>-486.7</v>
      </c>
      <c r="L431" s="34">
        <f t="array" ref="L431">IF(ROW(L431)&lt;=COUNTA(G:G)*2,IF(MOD(ROW(L431),2)=1,INDEX(G:G,(ROW(L431)+1)/2),INDEX(I:I,ROW(L431)/2)),"")</f>
        <v>112.5</v>
      </c>
      <c r="N431" s="21"/>
      <c r="O431" s="21"/>
      <c r="P431" s="21"/>
      <c r="Q431" s="21"/>
      <c r="R431" s="21"/>
      <c r="S431" s="21">
        <f t="array" ref="S431">IF(ROW(S431)&lt;=COUNTA(N:N)*2,IF(MOD(ROW(S431),2)=1,INDEX(N:N,(ROW(S431)+1)/2),INDEX(P:P,ROW(S431)/2)),"")</f>
        <v>-486.7</v>
      </c>
      <c r="T431" s="21">
        <f t="array" ref="T431">IF(ROW(T431)&lt;=COUNTA(O:O)*2,IF(MOD(ROW(T431),2)=1,INDEX(O:O,(ROW(T431)+1)/2),INDEX(Q:Q,ROW(T431)/2)),"")</f>
        <v>117.4</v>
      </c>
      <c r="V431" s="22"/>
      <c r="W431" s="22"/>
      <c r="X431" s="22"/>
      <c r="Y431" s="22"/>
      <c r="Z431" s="22"/>
      <c r="AA431" s="22">
        <f t="array" ref="AA431">IF(ROW(AA431)&lt;=COUNTA(V:V)*2,IF(MOD(ROW(AA431),2)=1,INDEX(V:V,(ROW(AA431)+1)/2),INDEX(X:X,ROW(AA431)/2)),"")</f>
        <v>-486.7</v>
      </c>
      <c r="AB431" s="22">
        <f t="array" ref="AB431">IF(ROW(AB431)&lt;=COUNTA(W:W)*2,IF(MOD(ROW(AB431),2)=1,INDEX(W:W,(ROW(AB431)+1)/2),INDEX(Y:Y,ROW(AB431)/2)),"")</f>
        <v>122.65865</v>
      </c>
    </row>
    <row r="432" spans="1:28" s="2" customFormat="1" x14ac:dyDescent="0.25">
      <c r="A432" s="19"/>
      <c r="B432" s="20"/>
      <c r="C432" s="21"/>
      <c r="D432" s="22"/>
      <c r="F432" s="20"/>
      <c r="G432" s="20"/>
      <c r="H432" s="20"/>
      <c r="I432" s="20"/>
      <c r="J432" s="20"/>
      <c r="K432" s="34">
        <f t="array" ref="K432">IF(ROW(K432)&lt;=COUNTA(F:F)*2,IF(MOD(ROW(K432),2)=1,INDEX(F:F,(ROW(K432)+1)/2),INDEX(H:H,ROW(K432)/2)),"")</f>
        <v>-489.3</v>
      </c>
      <c r="L432" s="34">
        <f t="array" ref="L432">IF(ROW(L432)&lt;=COUNTA(G:G)*2,IF(MOD(ROW(L432),2)=1,INDEX(G:G,(ROW(L432)+1)/2),INDEX(I:I,ROW(L432)/2)),"")</f>
        <v>112.5</v>
      </c>
      <c r="N432" s="21"/>
      <c r="O432" s="21"/>
      <c r="P432" s="21"/>
      <c r="Q432" s="21"/>
      <c r="R432" s="21"/>
      <c r="S432" s="21">
        <f t="array" ref="S432">IF(ROW(S432)&lt;=COUNTA(N:N)*2,IF(MOD(ROW(S432),2)=1,INDEX(N:N,(ROW(S432)+1)/2),INDEX(P:P,ROW(S432)/2)),"")</f>
        <v>-489.3</v>
      </c>
      <c r="T432" s="21">
        <f t="array" ref="T432">IF(ROW(T432)&lt;=COUNTA(O:O)*2,IF(MOD(ROW(T432),2)=1,INDEX(O:O,(ROW(T432)+1)/2),INDEX(Q:Q,ROW(T432)/2)),"")</f>
        <v>117.4</v>
      </c>
      <c r="V432" s="22"/>
      <c r="W432" s="22"/>
      <c r="X432" s="22"/>
      <c r="Y432" s="22"/>
      <c r="Z432" s="22"/>
      <c r="AA432" s="22">
        <f t="array" ref="AA432">IF(ROW(AA432)&lt;=COUNTA(V:V)*2,IF(MOD(ROW(AA432),2)=1,INDEX(V:V,(ROW(AA432)+1)/2),INDEX(X:X,ROW(AA432)/2)),"")</f>
        <v>-489.3</v>
      </c>
      <c r="AB432" s="22">
        <f t="array" ref="AB432">IF(ROW(AB432)&lt;=COUNTA(W:W)*2,IF(MOD(ROW(AB432),2)=1,INDEX(W:W,(ROW(AB432)+1)/2),INDEX(Y:Y,ROW(AB432)/2)),"")</f>
        <v>122.65865</v>
      </c>
    </row>
    <row r="433" spans="1:28" s="2" customFormat="1" x14ac:dyDescent="0.25">
      <c r="A433" s="19"/>
      <c r="B433" s="20"/>
      <c r="C433" s="21"/>
      <c r="D433" s="22"/>
      <c r="F433" s="20"/>
      <c r="G433" s="20"/>
      <c r="H433" s="20"/>
      <c r="I433" s="20"/>
      <c r="J433" s="20"/>
      <c r="K433" s="34">
        <f t="array" ref="K433">IF(ROW(K433)&lt;=COUNTA(F:F)*2,IF(MOD(ROW(K433),2)=1,INDEX(F:F,(ROW(K433)+1)/2),INDEX(H:H,ROW(K433)/2)),"")</f>
        <v>-489.3</v>
      </c>
      <c r="L433" s="34">
        <f t="array" ref="L433">IF(ROW(L433)&lt;=COUNTA(G:G)*2,IF(MOD(ROW(L433),2)=1,INDEX(G:G,(ROW(L433)+1)/2),INDEX(I:I,ROW(L433)/2)),"")</f>
        <v>112.4</v>
      </c>
      <c r="N433" s="21"/>
      <c r="O433" s="21"/>
      <c r="P433" s="21"/>
      <c r="Q433" s="21"/>
      <c r="R433" s="21"/>
      <c r="S433" s="21">
        <f t="array" ref="S433">IF(ROW(S433)&lt;=COUNTA(N:N)*2,IF(MOD(ROW(S433),2)=1,INDEX(N:N,(ROW(S433)+1)/2),INDEX(P:P,ROW(S433)/2)),"")</f>
        <v>-489.3</v>
      </c>
      <c r="T433" s="21">
        <f t="array" ref="T433">IF(ROW(T433)&lt;=COUNTA(O:O)*2,IF(MOD(ROW(T433),2)=1,INDEX(O:O,(ROW(T433)+1)/2),INDEX(Q:Q,ROW(T433)/2)),"")</f>
        <v>119.2</v>
      </c>
      <c r="V433" s="22"/>
      <c r="W433" s="22"/>
      <c r="X433" s="22"/>
      <c r="Y433" s="22"/>
      <c r="Z433" s="22"/>
      <c r="AA433" s="22">
        <f t="array" ref="AA433">IF(ROW(AA433)&lt;=COUNTA(V:V)*2,IF(MOD(ROW(AA433),2)=1,INDEX(V:V,(ROW(AA433)+1)/2),INDEX(X:X,ROW(AA433)/2)),"")</f>
        <v>-489.3</v>
      </c>
      <c r="AB433" s="22">
        <f t="array" ref="AB433">IF(ROW(AB433)&lt;=COUNTA(W:W)*2,IF(MOD(ROW(AB433),2)=1,INDEX(W:W,(ROW(AB433)+1)/2),INDEX(Y:Y,ROW(AB433)/2)),"")</f>
        <v>122.65865</v>
      </c>
    </row>
    <row r="434" spans="1:28" s="2" customFormat="1" x14ac:dyDescent="0.25">
      <c r="A434" s="19"/>
      <c r="B434" s="20"/>
      <c r="C434" s="21"/>
      <c r="D434" s="22"/>
      <c r="F434" s="20"/>
      <c r="G434" s="20"/>
      <c r="H434" s="20"/>
      <c r="I434" s="20"/>
      <c r="J434" s="20"/>
      <c r="K434" s="34">
        <f t="array" ref="K434">IF(ROW(K434)&lt;=COUNTA(F:F)*2,IF(MOD(ROW(K434),2)=1,INDEX(F:F,(ROW(K434)+1)/2),INDEX(H:H,ROW(K434)/2)),"")</f>
        <v>-492.3</v>
      </c>
      <c r="L434" s="34">
        <f t="array" ref="L434">IF(ROW(L434)&lt;=COUNTA(G:G)*2,IF(MOD(ROW(L434),2)=1,INDEX(G:G,(ROW(L434)+1)/2),INDEX(I:I,ROW(L434)/2)),"")</f>
        <v>112.4</v>
      </c>
      <c r="N434" s="21"/>
      <c r="O434" s="21"/>
      <c r="P434" s="21"/>
      <c r="Q434" s="21"/>
      <c r="R434" s="21"/>
      <c r="S434" s="21">
        <f t="array" ref="S434">IF(ROW(S434)&lt;=COUNTA(N:N)*2,IF(MOD(ROW(S434),2)=1,INDEX(N:N,(ROW(S434)+1)/2),INDEX(P:P,ROW(S434)/2)),"")</f>
        <v>-492.3</v>
      </c>
      <c r="T434" s="21">
        <f t="array" ref="T434">IF(ROW(T434)&lt;=COUNTA(O:O)*2,IF(MOD(ROW(T434),2)=1,INDEX(O:O,(ROW(T434)+1)/2),INDEX(Q:Q,ROW(T434)/2)),"")</f>
        <v>119.2</v>
      </c>
      <c r="V434" s="22"/>
      <c r="W434" s="22"/>
      <c r="X434" s="22"/>
      <c r="Y434" s="22"/>
      <c r="Z434" s="22"/>
      <c r="AA434" s="22">
        <f t="array" ref="AA434">IF(ROW(AA434)&lt;=COUNTA(V:V)*2,IF(MOD(ROW(AA434),2)=1,INDEX(V:V,(ROW(AA434)+1)/2),INDEX(X:X,ROW(AA434)/2)),"")</f>
        <v>-492.3</v>
      </c>
      <c r="AB434" s="22">
        <f t="array" ref="AB434">IF(ROW(AB434)&lt;=COUNTA(W:W)*2,IF(MOD(ROW(AB434),2)=1,INDEX(W:W,(ROW(AB434)+1)/2),INDEX(Y:Y,ROW(AB434)/2)),"")</f>
        <v>122.65865</v>
      </c>
    </row>
    <row r="435" spans="1:28" s="2" customFormat="1" x14ac:dyDescent="0.25">
      <c r="A435" s="19"/>
      <c r="B435" s="20"/>
      <c r="C435" s="21"/>
      <c r="D435" s="22"/>
      <c r="F435" s="20"/>
      <c r="G435" s="20"/>
      <c r="H435" s="20"/>
      <c r="I435" s="20"/>
      <c r="J435" s="20"/>
      <c r="K435" s="34">
        <f t="array" ref="K435">IF(ROW(K435)&lt;=COUNTA(F:F)*2,IF(MOD(ROW(K435),2)=1,INDEX(F:F,(ROW(K435)+1)/2),INDEX(H:H,ROW(K435)/2)),"")</f>
        <v>-492.3</v>
      </c>
      <c r="L435" s="34">
        <f t="array" ref="L435">IF(ROW(L435)&lt;=COUNTA(G:G)*2,IF(MOD(ROW(L435),2)=1,INDEX(G:G,(ROW(L435)+1)/2),INDEX(I:I,ROW(L435)/2)),"")</f>
        <v>112.5</v>
      </c>
      <c r="N435" s="21"/>
      <c r="O435" s="21"/>
      <c r="P435" s="21"/>
      <c r="Q435" s="21"/>
      <c r="R435" s="21"/>
      <c r="S435" s="21">
        <f t="array" ref="S435">IF(ROW(S435)&lt;=COUNTA(N:N)*2,IF(MOD(ROW(S435),2)=1,INDEX(N:N,(ROW(S435)+1)/2),INDEX(P:P,ROW(S435)/2)),"")</f>
        <v>-492.3</v>
      </c>
      <c r="T435" s="21">
        <f t="array" ref="T435">IF(ROW(T435)&lt;=COUNTA(O:O)*2,IF(MOD(ROW(T435),2)=1,INDEX(O:O,(ROW(T435)+1)/2),INDEX(Q:Q,ROW(T435)/2)),"")</f>
        <v>120.6</v>
      </c>
      <c r="V435" s="22"/>
      <c r="W435" s="22"/>
      <c r="X435" s="22"/>
      <c r="Y435" s="22"/>
      <c r="Z435" s="22"/>
      <c r="AA435" s="22">
        <f t="array" ref="AA435">IF(ROW(AA435)&lt;=COUNTA(V:V)*2,IF(MOD(ROW(AA435),2)=1,INDEX(V:V,(ROW(AA435)+1)/2),INDEX(X:X,ROW(AA435)/2)),"")</f>
        <v>-492.3</v>
      </c>
      <c r="AB435" s="22">
        <f t="array" ref="AB435">IF(ROW(AB435)&lt;=COUNTA(W:W)*2,IF(MOD(ROW(AB435),2)=1,INDEX(W:W,(ROW(AB435)+1)/2),INDEX(Y:Y,ROW(AB435)/2)),"")</f>
        <v>122.65445</v>
      </c>
    </row>
    <row r="436" spans="1:28" s="2" customFormat="1" x14ac:dyDescent="0.25">
      <c r="A436" s="19"/>
      <c r="B436" s="20"/>
      <c r="C436" s="21"/>
      <c r="D436" s="22"/>
      <c r="F436" s="20"/>
      <c r="G436" s="20"/>
      <c r="H436" s="20"/>
      <c r="I436" s="20"/>
      <c r="J436" s="20"/>
      <c r="K436" s="34">
        <f t="array" ref="K436">IF(ROW(K436)&lt;=COUNTA(F:F)*2,IF(MOD(ROW(K436),2)=1,INDEX(F:F,(ROW(K436)+1)/2),INDEX(H:H,ROW(K436)/2)),"")</f>
        <v>-495.3</v>
      </c>
      <c r="L436" s="34">
        <f t="array" ref="L436">IF(ROW(L436)&lt;=COUNTA(G:G)*2,IF(MOD(ROW(L436),2)=1,INDEX(G:G,(ROW(L436)+1)/2),INDEX(I:I,ROW(L436)/2)),"")</f>
        <v>112.5</v>
      </c>
      <c r="N436" s="21"/>
      <c r="O436" s="21"/>
      <c r="P436" s="21"/>
      <c r="Q436" s="21"/>
      <c r="R436" s="21"/>
      <c r="S436" s="21">
        <f t="array" ref="S436">IF(ROW(S436)&lt;=COUNTA(N:N)*2,IF(MOD(ROW(S436),2)=1,INDEX(N:N,(ROW(S436)+1)/2),INDEX(P:P,ROW(S436)/2)),"")</f>
        <v>-495.3</v>
      </c>
      <c r="T436" s="21">
        <f t="array" ref="T436">IF(ROW(T436)&lt;=COUNTA(O:O)*2,IF(MOD(ROW(T436),2)=1,INDEX(O:O,(ROW(T436)+1)/2),INDEX(Q:Q,ROW(T436)/2)),"")</f>
        <v>120.6</v>
      </c>
      <c r="V436" s="22"/>
      <c r="W436" s="22"/>
      <c r="X436" s="22"/>
      <c r="Y436" s="22"/>
      <c r="Z436" s="22"/>
      <c r="AA436" s="22">
        <f t="array" ref="AA436">IF(ROW(AA436)&lt;=COUNTA(V:V)*2,IF(MOD(ROW(AA436),2)=1,INDEX(V:V,(ROW(AA436)+1)/2),INDEX(X:X,ROW(AA436)/2)),"")</f>
        <v>-495.3</v>
      </c>
      <c r="AB436" s="22">
        <f t="array" ref="AB436">IF(ROW(AB436)&lt;=COUNTA(W:W)*2,IF(MOD(ROW(AB436),2)=1,INDEX(W:W,(ROW(AB436)+1)/2),INDEX(Y:Y,ROW(AB436)/2)),"")</f>
        <v>122.65445</v>
      </c>
    </row>
    <row r="437" spans="1:28" s="2" customFormat="1" x14ac:dyDescent="0.25">
      <c r="A437" s="19"/>
      <c r="B437" s="20"/>
      <c r="C437" s="21"/>
      <c r="D437" s="22"/>
      <c r="F437" s="20"/>
      <c r="G437" s="20"/>
      <c r="H437" s="20"/>
      <c r="I437" s="20"/>
      <c r="J437" s="20"/>
      <c r="K437" s="34">
        <f t="array" ref="K437">IF(ROW(K437)&lt;=COUNTA(F:F)*2,IF(MOD(ROW(K437),2)=1,INDEX(F:F,(ROW(K437)+1)/2),INDEX(H:H,ROW(K437)/2)),"")</f>
        <v>-495.3</v>
      </c>
      <c r="L437" s="34">
        <f t="array" ref="L437">IF(ROW(L437)&lt;=COUNTA(G:G)*2,IF(MOD(ROW(L437),2)=1,INDEX(G:G,(ROW(L437)+1)/2),INDEX(I:I,ROW(L437)/2)),"")</f>
        <v>112.4</v>
      </c>
      <c r="N437" s="21"/>
      <c r="O437" s="21"/>
      <c r="P437" s="21"/>
      <c r="Q437" s="21"/>
      <c r="R437" s="21"/>
      <c r="S437" s="21">
        <f t="array" ref="S437">IF(ROW(S437)&lt;=COUNTA(N:N)*2,IF(MOD(ROW(S437),2)=1,INDEX(N:N,(ROW(S437)+1)/2),INDEX(P:P,ROW(S437)/2)),"")</f>
        <v>-495.3</v>
      </c>
      <c r="T437" s="21">
        <f t="array" ref="T437">IF(ROW(T437)&lt;=COUNTA(O:O)*2,IF(MOD(ROW(T437),2)=1,INDEX(O:O,(ROW(T437)+1)/2),INDEX(Q:Q,ROW(T437)/2)),"")</f>
        <v>119</v>
      </c>
      <c r="V437" s="22"/>
      <c r="W437" s="22"/>
      <c r="X437" s="22"/>
      <c r="Y437" s="22"/>
      <c r="Z437" s="22"/>
      <c r="AA437" s="22">
        <f t="array" ref="AA437">IF(ROW(AA437)&lt;=COUNTA(V:V)*2,IF(MOD(ROW(AA437),2)=1,INDEX(V:V,(ROW(AA437)+1)/2),INDEX(X:X,ROW(AA437)/2)),"")</f>
        <v>-495.3</v>
      </c>
      <c r="AB437" s="22">
        <f t="array" ref="AB437">IF(ROW(AB437)&lt;=COUNTA(W:W)*2,IF(MOD(ROW(AB437),2)=1,INDEX(W:W,(ROW(AB437)+1)/2),INDEX(Y:Y,ROW(AB437)/2)),"")</f>
        <v>122.65445</v>
      </c>
    </row>
    <row r="438" spans="1:28" s="2" customFormat="1" x14ac:dyDescent="0.25">
      <c r="A438" s="19"/>
      <c r="B438" s="20"/>
      <c r="C438" s="21"/>
      <c r="D438" s="22"/>
      <c r="F438" s="20"/>
      <c r="G438" s="20"/>
      <c r="H438" s="20"/>
      <c r="I438" s="20"/>
      <c r="J438" s="20"/>
      <c r="K438" s="34">
        <f t="array" ref="K438">IF(ROW(K438)&lt;=COUNTA(F:F)*2,IF(MOD(ROW(K438),2)=1,INDEX(F:F,(ROW(K438)+1)/2),INDEX(H:H,ROW(K438)/2)),"")</f>
        <v>-498.3</v>
      </c>
      <c r="L438" s="34">
        <f t="array" ref="L438">IF(ROW(L438)&lt;=COUNTA(G:G)*2,IF(MOD(ROW(L438),2)=1,INDEX(G:G,(ROW(L438)+1)/2),INDEX(I:I,ROW(L438)/2)),"")</f>
        <v>112.4</v>
      </c>
      <c r="N438" s="21"/>
      <c r="O438" s="21"/>
      <c r="P438" s="21"/>
      <c r="Q438" s="21"/>
      <c r="R438" s="21"/>
      <c r="S438" s="21">
        <f t="array" ref="S438">IF(ROW(S438)&lt;=COUNTA(N:N)*2,IF(MOD(ROW(S438),2)=1,INDEX(N:N,(ROW(S438)+1)/2),INDEX(P:P,ROW(S438)/2)),"")</f>
        <v>-498.3</v>
      </c>
      <c r="T438" s="21">
        <f t="array" ref="T438">IF(ROW(T438)&lt;=COUNTA(O:O)*2,IF(MOD(ROW(T438),2)=1,INDEX(O:O,(ROW(T438)+1)/2),INDEX(Q:Q,ROW(T438)/2)),"")</f>
        <v>119</v>
      </c>
      <c r="V438" s="22"/>
      <c r="W438" s="22"/>
      <c r="X438" s="22"/>
      <c r="Y438" s="22"/>
      <c r="Z438" s="22"/>
      <c r="AA438" s="22">
        <f t="array" ref="AA438">IF(ROW(AA438)&lt;=COUNTA(V:V)*2,IF(MOD(ROW(AA438),2)=1,INDEX(V:V,(ROW(AA438)+1)/2),INDEX(X:X,ROW(AA438)/2)),"")</f>
        <v>-498.3</v>
      </c>
      <c r="AB438" s="22">
        <f t="array" ref="AB438">IF(ROW(AB438)&lt;=COUNTA(W:W)*2,IF(MOD(ROW(AB438),2)=1,INDEX(W:W,(ROW(AB438)+1)/2),INDEX(Y:Y,ROW(AB438)/2)),"")</f>
        <v>122.65445</v>
      </c>
    </row>
    <row r="439" spans="1:28" s="2" customFormat="1" x14ac:dyDescent="0.25">
      <c r="A439" s="19"/>
      <c r="B439" s="20"/>
      <c r="C439" s="21"/>
      <c r="D439" s="22"/>
      <c r="F439" s="20"/>
      <c r="G439" s="20"/>
      <c r="H439" s="20"/>
      <c r="I439" s="20"/>
      <c r="J439" s="20"/>
      <c r="K439" s="34">
        <f t="array" ref="K439">IF(ROW(K439)&lt;=COUNTA(F:F)*2,IF(MOD(ROW(K439),2)=1,INDEX(F:F,(ROW(K439)+1)/2),INDEX(H:H,ROW(K439)/2)),"")</f>
        <v>-498.3</v>
      </c>
      <c r="L439" s="34">
        <f t="array" ref="L439">IF(ROW(L439)&lt;=COUNTA(G:G)*2,IF(MOD(ROW(L439),2)=1,INDEX(G:G,(ROW(L439)+1)/2),INDEX(I:I,ROW(L439)/2)),"")</f>
        <v>112.5</v>
      </c>
      <c r="N439" s="21"/>
      <c r="O439" s="21"/>
      <c r="P439" s="21"/>
      <c r="Q439" s="21"/>
      <c r="R439" s="21"/>
      <c r="S439" s="21">
        <f t="array" ref="S439">IF(ROW(S439)&lt;=COUNTA(N:N)*2,IF(MOD(ROW(S439),2)=1,INDEX(N:N,(ROW(S439)+1)/2),INDEX(P:P,ROW(S439)/2)),"")</f>
        <v>-498.3</v>
      </c>
      <c r="T439" s="21">
        <f t="array" ref="T439">IF(ROW(T439)&lt;=COUNTA(O:O)*2,IF(MOD(ROW(T439),2)=1,INDEX(O:O,(ROW(T439)+1)/2),INDEX(Q:Q,ROW(T439)/2)),"")</f>
        <v>119.9</v>
      </c>
      <c r="V439" s="22"/>
      <c r="W439" s="22"/>
      <c r="X439" s="22"/>
      <c r="Y439" s="22"/>
      <c r="Z439" s="22"/>
      <c r="AA439" s="22">
        <f t="array" ref="AA439">IF(ROW(AA439)&lt;=COUNTA(V:V)*2,IF(MOD(ROW(AA439),2)=1,INDEX(V:V,(ROW(AA439)+1)/2),INDEX(X:X,ROW(AA439)/2)),"")</f>
        <v>-498.3</v>
      </c>
      <c r="AB439" s="22">
        <f t="array" ref="AB439">IF(ROW(AB439)&lt;=COUNTA(W:W)*2,IF(MOD(ROW(AB439),2)=1,INDEX(W:W,(ROW(AB439)+1)/2),INDEX(Y:Y,ROW(AB439)/2)),"")</f>
        <v>122.6515</v>
      </c>
    </row>
    <row r="440" spans="1:28" s="2" customFormat="1" x14ac:dyDescent="0.25">
      <c r="A440" s="19"/>
      <c r="B440" s="20"/>
      <c r="C440" s="21"/>
      <c r="D440" s="22"/>
      <c r="F440" s="20"/>
      <c r="G440" s="20"/>
      <c r="H440" s="20"/>
      <c r="I440" s="20"/>
      <c r="J440" s="20"/>
      <c r="K440" s="34">
        <f t="array" ref="K440">IF(ROW(K440)&lt;=COUNTA(F:F)*2,IF(MOD(ROW(K440),2)=1,INDEX(F:F,(ROW(K440)+1)/2),INDEX(H:H,ROW(K440)/2)),"")</f>
        <v>-501.3</v>
      </c>
      <c r="L440" s="34">
        <f t="array" ref="L440">IF(ROW(L440)&lt;=COUNTA(G:G)*2,IF(MOD(ROW(L440),2)=1,INDEX(G:G,(ROW(L440)+1)/2),INDEX(I:I,ROW(L440)/2)),"")</f>
        <v>112.5</v>
      </c>
      <c r="N440" s="21"/>
      <c r="O440" s="21"/>
      <c r="P440" s="21"/>
      <c r="Q440" s="21"/>
      <c r="R440" s="21"/>
      <c r="S440" s="21">
        <f t="array" ref="S440">IF(ROW(S440)&lt;=COUNTA(N:N)*2,IF(MOD(ROW(S440),2)=1,INDEX(N:N,(ROW(S440)+1)/2),INDEX(P:P,ROW(S440)/2)),"")</f>
        <v>-501.3</v>
      </c>
      <c r="T440" s="21">
        <f t="array" ref="T440">IF(ROW(T440)&lt;=COUNTA(O:O)*2,IF(MOD(ROW(T440),2)=1,INDEX(O:O,(ROW(T440)+1)/2),INDEX(Q:Q,ROW(T440)/2)),"")</f>
        <v>119.9</v>
      </c>
      <c r="V440" s="22"/>
      <c r="W440" s="22"/>
      <c r="X440" s="22"/>
      <c r="Y440" s="22"/>
      <c r="Z440" s="22"/>
      <c r="AA440" s="22">
        <f t="array" ref="AA440">IF(ROW(AA440)&lt;=COUNTA(V:V)*2,IF(MOD(ROW(AA440),2)=1,INDEX(V:V,(ROW(AA440)+1)/2),INDEX(X:X,ROW(AA440)/2)),"")</f>
        <v>-501.3</v>
      </c>
      <c r="AB440" s="22">
        <f t="array" ref="AB440">IF(ROW(AB440)&lt;=COUNTA(W:W)*2,IF(MOD(ROW(AB440),2)=1,INDEX(W:W,(ROW(AB440)+1)/2),INDEX(Y:Y,ROW(AB440)/2)),"")</f>
        <v>122.6515</v>
      </c>
    </row>
    <row r="441" spans="1:28" s="2" customFormat="1" x14ac:dyDescent="0.25">
      <c r="A441" s="19"/>
      <c r="B441" s="20"/>
      <c r="C441" s="21"/>
      <c r="D441" s="22"/>
      <c r="F441" s="20"/>
      <c r="G441" s="20"/>
      <c r="H441" s="20"/>
      <c r="I441" s="20"/>
      <c r="J441" s="20"/>
      <c r="K441" s="34">
        <f t="array" ref="K441">IF(ROW(K441)&lt;=COUNTA(F:F)*2,IF(MOD(ROW(K441),2)=1,INDEX(F:F,(ROW(K441)+1)/2),INDEX(H:H,ROW(K441)/2)),"")</f>
        <v>-501.3</v>
      </c>
      <c r="L441" s="34">
        <f t="array" ref="L441">IF(ROW(L441)&lt;=COUNTA(G:G)*2,IF(MOD(ROW(L441),2)=1,INDEX(G:G,(ROW(L441)+1)/2),INDEX(I:I,ROW(L441)/2)),"")</f>
        <v>112.4</v>
      </c>
      <c r="N441" s="21"/>
      <c r="O441" s="21"/>
      <c r="P441" s="21"/>
      <c r="Q441" s="21"/>
      <c r="R441" s="21"/>
      <c r="S441" s="21">
        <f t="array" ref="S441">IF(ROW(S441)&lt;=COUNTA(N:N)*2,IF(MOD(ROW(S441),2)=1,INDEX(N:N,(ROW(S441)+1)/2),INDEX(P:P,ROW(S441)/2)),"")</f>
        <v>-501.3</v>
      </c>
      <c r="T441" s="21">
        <f t="array" ref="T441">IF(ROW(T441)&lt;=COUNTA(O:O)*2,IF(MOD(ROW(T441),2)=1,INDEX(O:O,(ROW(T441)+1)/2),INDEX(Q:Q,ROW(T441)/2)),"")</f>
        <v>120.6</v>
      </c>
      <c r="V441" s="22"/>
      <c r="W441" s="22"/>
      <c r="X441" s="22"/>
      <c r="Y441" s="22"/>
      <c r="Z441" s="22"/>
      <c r="AA441" s="22">
        <f t="array" ref="AA441">IF(ROW(AA441)&lt;=COUNTA(V:V)*2,IF(MOD(ROW(AA441),2)=1,INDEX(V:V,(ROW(AA441)+1)/2),INDEX(X:X,ROW(AA441)/2)),"")</f>
        <v>-501.3</v>
      </c>
      <c r="AB441" s="22">
        <f t="array" ref="AB441">IF(ROW(AB441)&lt;=COUNTA(W:W)*2,IF(MOD(ROW(AB441),2)=1,INDEX(W:W,(ROW(AB441)+1)/2),INDEX(Y:Y,ROW(AB441)/2)),"")</f>
        <v>122.65865</v>
      </c>
    </row>
    <row r="442" spans="1:28" s="2" customFormat="1" x14ac:dyDescent="0.25">
      <c r="A442" s="19"/>
      <c r="B442" s="20"/>
      <c r="C442" s="21"/>
      <c r="D442" s="22"/>
      <c r="F442" s="20"/>
      <c r="G442" s="20"/>
      <c r="H442" s="20"/>
      <c r="I442" s="20"/>
      <c r="J442" s="20"/>
      <c r="K442" s="34">
        <f t="array" ref="K442">IF(ROW(K442)&lt;=COUNTA(F:F)*2,IF(MOD(ROW(K442),2)=1,INDEX(F:F,(ROW(K442)+1)/2),INDEX(H:H,ROW(K442)/2)),"")</f>
        <v>-504.3</v>
      </c>
      <c r="L442" s="34">
        <f t="array" ref="L442">IF(ROW(L442)&lt;=COUNTA(G:G)*2,IF(MOD(ROW(L442),2)=1,INDEX(G:G,(ROW(L442)+1)/2),INDEX(I:I,ROW(L442)/2)),"")</f>
        <v>112.4</v>
      </c>
      <c r="N442" s="21"/>
      <c r="O442" s="21"/>
      <c r="P442" s="21"/>
      <c r="Q442" s="21"/>
      <c r="R442" s="21"/>
      <c r="S442" s="21">
        <f t="array" ref="S442">IF(ROW(S442)&lt;=COUNTA(N:N)*2,IF(MOD(ROW(S442),2)=1,INDEX(N:N,(ROW(S442)+1)/2),INDEX(P:P,ROW(S442)/2)),"")</f>
        <v>-504.3</v>
      </c>
      <c r="T442" s="21">
        <f t="array" ref="T442">IF(ROW(T442)&lt;=COUNTA(O:O)*2,IF(MOD(ROW(T442),2)=1,INDEX(O:O,(ROW(T442)+1)/2),INDEX(Q:Q,ROW(T442)/2)),"")</f>
        <v>120.6</v>
      </c>
      <c r="V442" s="22"/>
      <c r="W442" s="22"/>
      <c r="X442" s="22"/>
      <c r="Y442" s="22"/>
      <c r="Z442" s="22"/>
      <c r="AA442" s="22">
        <f t="array" ref="AA442">IF(ROW(AA442)&lt;=COUNTA(V:V)*2,IF(MOD(ROW(AA442),2)=1,INDEX(V:V,(ROW(AA442)+1)/2),INDEX(X:X,ROW(AA442)/2)),"")</f>
        <v>-504.3</v>
      </c>
      <c r="AB442" s="22">
        <f t="array" ref="AB442">IF(ROW(AB442)&lt;=COUNTA(W:W)*2,IF(MOD(ROW(AB442),2)=1,INDEX(W:W,(ROW(AB442)+1)/2),INDEX(Y:Y,ROW(AB442)/2)),"")</f>
        <v>122.65865</v>
      </c>
    </row>
    <row r="443" spans="1:28" s="2" customFormat="1" x14ac:dyDescent="0.25">
      <c r="A443" s="19"/>
      <c r="B443" s="20"/>
      <c r="C443" s="21"/>
      <c r="D443" s="22"/>
      <c r="F443" s="20"/>
      <c r="G443" s="20"/>
      <c r="H443" s="20"/>
      <c r="I443" s="20"/>
      <c r="J443" s="20"/>
      <c r="K443" s="34">
        <f t="array" ref="K443">IF(ROW(K443)&lt;=COUNTA(F:F)*2,IF(MOD(ROW(K443),2)=1,INDEX(F:F,(ROW(K443)+1)/2),INDEX(H:H,ROW(K443)/2)),"")</f>
        <v>-504.3</v>
      </c>
      <c r="L443" s="34">
        <f t="array" ref="L443">IF(ROW(L443)&lt;=COUNTA(G:G)*2,IF(MOD(ROW(L443),2)=1,INDEX(G:G,(ROW(L443)+1)/2),INDEX(I:I,ROW(L443)/2)),"")</f>
        <v>112.5</v>
      </c>
      <c r="N443" s="21"/>
      <c r="O443" s="21"/>
      <c r="P443" s="21"/>
      <c r="Q443" s="21"/>
      <c r="R443" s="21"/>
      <c r="S443" s="21">
        <f t="array" ref="S443">IF(ROW(S443)&lt;=COUNTA(N:N)*2,IF(MOD(ROW(S443),2)=1,INDEX(N:N,(ROW(S443)+1)/2),INDEX(P:P,ROW(S443)/2)),"")</f>
        <v>-504.3</v>
      </c>
      <c r="T443" s="21">
        <f t="array" ref="T443">IF(ROW(T443)&lt;=COUNTA(O:O)*2,IF(MOD(ROW(T443),2)=1,INDEX(O:O,(ROW(T443)+1)/2),INDEX(Q:Q,ROW(T443)/2)),"")</f>
        <v>120.6</v>
      </c>
      <c r="V443" s="22"/>
      <c r="W443" s="22"/>
      <c r="X443" s="22"/>
      <c r="Y443" s="22"/>
      <c r="Z443" s="22"/>
      <c r="AA443" s="22">
        <f t="array" ref="AA443">IF(ROW(AA443)&lt;=COUNTA(V:V)*2,IF(MOD(ROW(AA443),2)=1,INDEX(V:V,(ROW(AA443)+1)/2),INDEX(X:X,ROW(AA443)/2)),"")</f>
        <v>-504.3</v>
      </c>
      <c r="AB443" s="22">
        <f t="array" ref="AB443">IF(ROW(AB443)&lt;=COUNTA(W:W)*2,IF(MOD(ROW(AB443),2)=1,INDEX(W:W,(ROW(AB443)+1)/2),INDEX(Y:Y,ROW(AB443)/2)),"")</f>
        <v>122.66085</v>
      </c>
    </row>
    <row r="444" spans="1:28" s="2" customFormat="1" x14ac:dyDescent="0.25">
      <c r="A444" s="19"/>
      <c r="B444" s="20"/>
      <c r="C444" s="21"/>
      <c r="D444" s="22"/>
      <c r="F444" s="20"/>
      <c r="G444" s="20"/>
      <c r="H444" s="20"/>
      <c r="I444" s="20"/>
      <c r="J444" s="20"/>
      <c r="K444" s="34">
        <f t="array" ref="K444">IF(ROW(K444)&lt;=COUNTA(F:F)*2,IF(MOD(ROW(K444),2)=1,INDEX(F:F,(ROW(K444)+1)/2),INDEX(H:H,ROW(K444)/2)),"")</f>
        <v>-507.3</v>
      </c>
      <c r="L444" s="34">
        <f t="array" ref="L444">IF(ROW(L444)&lt;=COUNTA(G:G)*2,IF(MOD(ROW(L444),2)=1,INDEX(G:G,(ROW(L444)+1)/2),INDEX(I:I,ROW(L444)/2)),"")</f>
        <v>112.5</v>
      </c>
      <c r="N444" s="21"/>
      <c r="O444" s="21"/>
      <c r="P444" s="21"/>
      <c r="Q444" s="21"/>
      <c r="R444" s="21"/>
      <c r="S444" s="21">
        <f t="array" ref="S444">IF(ROW(S444)&lt;=COUNTA(N:N)*2,IF(MOD(ROW(S444),2)=1,INDEX(N:N,(ROW(S444)+1)/2),INDEX(P:P,ROW(S444)/2)),"")</f>
        <v>-507.3</v>
      </c>
      <c r="T444" s="21">
        <f t="array" ref="T444">IF(ROW(T444)&lt;=COUNTA(O:O)*2,IF(MOD(ROW(T444),2)=1,INDEX(O:O,(ROW(T444)+1)/2),INDEX(Q:Q,ROW(T444)/2)),"")</f>
        <v>120.6</v>
      </c>
      <c r="V444" s="22"/>
      <c r="W444" s="22"/>
      <c r="X444" s="22"/>
      <c r="Y444" s="22"/>
      <c r="Z444" s="22"/>
      <c r="AA444" s="22">
        <f t="array" ref="AA444">IF(ROW(AA444)&lt;=COUNTA(V:V)*2,IF(MOD(ROW(AA444),2)=1,INDEX(V:V,(ROW(AA444)+1)/2),INDEX(X:X,ROW(AA444)/2)),"")</f>
        <v>-507.3</v>
      </c>
      <c r="AB444" s="22">
        <f t="array" ref="AB444">IF(ROW(AB444)&lt;=COUNTA(W:W)*2,IF(MOD(ROW(AB444),2)=1,INDEX(W:W,(ROW(AB444)+1)/2),INDEX(Y:Y,ROW(AB444)/2)),"")</f>
        <v>122.66085</v>
      </c>
    </row>
    <row r="445" spans="1:28" s="2" customFormat="1" x14ac:dyDescent="0.25">
      <c r="A445" s="19"/>
      <c r="B445" s="20"/>
      <c r="C445" s="21"/>
      <c r="D445" s="22"/>
      <c r="F445" s="20"/>
      <c r="G445" s="20"/>
      <c r="H445" s="20"/>
      <c r="I445" s="20"/>
      <c r="J445" s="20"/>
      <c r="K445" s="34">
        <f t="array" ref="K445">IF(ROW(K445)&lt;=COUNTA(F:F)*2,IF(MOD(ROW(K445),2)=1,INDEX(F:F,(ROW(K445)+1)/2),INDEX(H:H,ROW(K445)/2)),"")</f>
        <v>-507.3</v>
      </c>
      <c r="L445" s="34">
        <f t="array" ref="L445">IF(ROW(L445)&lt;=COUNTA(G:G)*2,IF(MOD(ROW(L445),2)=1,INDEX(G:G,(ROW(L445)+1)/2),INDEX(I:I,ROW(L445)/2)),"")</f>
        <v>112.4</v>
      </c>
      <c r="N445" s="21"/>
      <c r="O445" s="21"/>
      <c r="P445" s="21"/>
      <c r="Q445" s="21"/>
      <c r="R445" s="21"/>
      <c r="S445" s="21">
        <f t="array" ref="S445">IF(ROW(S445)&lt;=COUNTA(N:N)*2,IF(MOD(ROW(S445),2)=1,INDEX(N:N,(ROW(S445)+1)/2),INDEX(P:P,ROW(S445)/2)),"")</f>
        <v>-507.3</v>
      </c>
      <c r="T445" s="21">
        <f t="array" ref="T445">IF(ROW(T445)&lt;=COUNTA(O:O)*2,IF(MOD(ROW(T445),2)=1,INDEX(O:O,(ROW(T445)+1)/2),INDEX(Q:Q,ROW(T445)/2)),"")</f>
        <v>120.4</v>
      </c>
      <c r="V445" s="22"/>
      <c r="W445" s="22"/>
      <c r="X445" s="22"/>
      <c r="Y445" s="22"/>
      <c r="Z445" s="22"/>
      <c r="AA445" s="22">
        <f t="array" ref="AA445">IF(ROW(AA445)&lt;=COUNTA(V:V)*2,IF(MOD(ROW(AA445),2)=1,INDEX(V:V,(ROW(AA445)+1)/2),INDEX(X:X,ROW(AA445)/2)),"")</f>
        <v>-507.3</v>
      </c>
      <c r="AB445" s="22">
        <f t="array" ref="AB445">IF(ROW(AB445)&lt;=COUNTA(W:W)*2,IF(MOD(ROW(AB445),2)=1,INDEX(W:W,(ROW(AB445)+1)/2),INDEX(Y:Y,ROW(AB445)/2)),"")</f>
        <v>122.6515</v>
      </c>
    </row>
    <row r="446" spans="1:28" s="2" customFormat="1" x14ac:dyDescent="0.25">
      <c r="A446" s="19"/>
      <c r="B446" s="20"/>
      <c r="C446" s="21"/>
      <c r="D446" s="22"/>
      <c r="F446" s="20"/>
      <c r="G446" s="20"/>
      <c r="H446" s="20"/>
      <c r="I446" s="20"/>
      <c r="J446" s="20"/>
      <c r="K446" s="34">
        <f t="array" ref="K446">IF(ROW(K446)&lt;=COUNTA(F:F)*2,IF(MOD(ROW(K446),2)=1,INDEX(F:F,(ROW(K446)+1)/2),INDEX(H:H,ROW(K446)/2)),"")</f>
        <v>-510.3</v>
      </c>
      <c r="L446" s="34">
        <f t="array" ref="L446">IF(ROW(L446)&lt;=COUNTA(G:G)*2,IF(MOD(ROW(L446),2)=1,INDEX(G:G,(ROW(L446)+1)/2),INDEX(I:I,ROW(L446)/2)),"")</f>
        <v>112.4</v>
      </c>
      <c r="N446" s="21"/>
      <c r="O446" s="21"/>
      <c r="P446" s="21"/>
      <c r="Q446" s="21"/>
      <c r="R446" s="21"/>
      <c r="S446" s="21">
        <f t="array" ref="S446">IF(ROW(S446)&lt;=COUNTA(N:N)*2,IF(MOD(ROW(S446),2)=1,INDEX(N:N,(ROW(S446)+1)/2),INDEX(P:P,ROW(S446)/2)),"")</f>
        <v>-510.3</v>
      </c>
      <c r="T446" s="21">
        <f t="array" ref="T446">IF(ROW(T446)&lt;=COUNTA(O:O)*2,IF(MOD(ROW(T446),2)=1,INDEX(O:O,(ROW(T446)+1)/2),INDEX(Q:Q,ROW(T446)/2)),"")</f>
        <v>120.4</v>
      </c>
      <c r="V446" s="22"/>
      <c r="W446" s="22"/>
      <c r="X446" s="22"/>
      <c r="Y446" s="22"/>
      <c r="Z446" s="22"/>
      <c r="AA446" s="22">
        <f t="array" ref="AA446">IF(ROW(AA446)&lt;=COUNTA(V:V)*2,IF(MOD(ROW(AA446),2)=1,INDEX(V:V,(ROW(AA446)+1)/2),INDEX(X:X,ROW(AA446)/2)),"")</f>
        <v>-510.3</v>
      </c>
      <c r="AB446" s="22">
        <f t="array" ref="AB446">IF(ROW(AB446)&lt;=COUNTA(W:W)*2,IF(MOD(ROW(AB446),2)=1,INDEX(W:W,(ROW(AB446)+1)/2),INDEX(Y:Y,ROW(AB446)/2)),"")</f>
        <v>122.6515</v>
      </c>
    </row>
    <row r="447" spans="1:28" s="2" customFormat="1" x14ac:dyDescent="0.25">
      <c r="A447" s="19"/>
      <c r="B447" s="20"/>
      <c r="C447" s="21"/>
      <c r="D447" s="22"/>
      <c r="F447" s="20"/>
      <c r="G447" s="20"/>
      <c r="H447" s="20"/>
      <c r="I447" s="20"/>
      <c r="J447" s="20"/>
      <c r="K447" s="34">
        <f t="array" ref="K447">IF(ROW(K447)&lt;=COUNTA(F:F)*2,IF(MOD(ROW(K447),2)=1,INDEX(F:F,(ROW(K447)+1)/2),INDEX(H:H,ROW(K447)/2)),"")</f>
        <v>-510.3</v>
      </c>
      <c r="L447" s="34">
        <f t="array" ref="L447">IF(ROW(L447)&lt;=COUNTA(G:G)*2,IF(MOD(ROW(L447),2)=1,INDEX(G:G,(ROW(L447)+1)/2),INDEX(I:I,ROW(L447)/2)),"")</f>
        <v>112.4</v>
      </c>
      <c r="N447" s="21"/>
      <c r="O447" s="21"/>
      <c r="P447" s="21"/>
      <c r="Q447" s="21"/>
      <c r="R447" s="21"/>
      <c r="S447" s="21">
        <f t="array" ref="S447">IF(ROW(S447)&lt;=COUNTA(N:N)*2,IF(MOD(ROW(S447),2)=1,INDEX(N:N,(ROW(S447)+1)/2),INDEX(P:P,ROW(S447)/2)),"")</f>
        <v>-510.3</v>
      </c>
      <c r="T447" s="21">
        <f t="array" ref="T447">IF(ROW(T447)&lt;=COUNTA(O:O)*2,IF(MOD(ROW(T447),2)=1,INDEX(O:O,(ROW(T447)+1)/2),INDEX(Q:Q,ROW(T447)/2)),"")</f>
        <v>120.9</v>
      </c>
      <c r="V447" s="22"/>
      <c r="W447" s="22"/>
      <c r="X447" s="22"/>
      <c r="Y447" s="22"/>
      <c r="Z447" s="22"/>
      <c r="AA447" s="22">
        <f t="array" ref="AA447">IF(ROW(AA447)&lt;=COUNTA(V:V)*2,IF(MOD(ROW(AA447),2)=1,INDEX(V:V,(ROW(AA447)+1)/2),INDEX(X:X,ROW(AA447)/2)),"")</f>
        <v>-510.3</v>
      </c>
      <c r="AB447" s="22">
        <f t="array" ref="AB447">IF(ROW(AB447)&lt;=COUNTA(W:W)*2,IF(MOD(ROW(AB447),2)=1,INDEX(W:W,(ROW(AB447)+1)/2),INDEX(Y:Y,ROW(AB447)/2)),"")</f>
        <v>122.65445</v>
      </c>
    </row>
    <row r="448" spans="1:28" s="2" customFormat="1" x14ac:dyDescent="0.25">
      <c r="A448" s="19"/>
      <c r="B448" s="20"/>
      <c r="C448" s="21"/>
      <c r="D448" s="22"/>
      <c r="F448" s="20"/>
      <c r="G448" s="20"/>
      <c r="H448" s="20"/>
      <c r="I448" s="20"/>
      <c r="J448" s="20"/>
      <c r="K448" s="34">
        <f t="array" ref="K448">IF(ROW(K448)&lt;=COUNTA(F:F)*2,IF(MOD(ROW(K448),2)=1,INDEX(F:F,(ROW(K448)+1)/2),INDEX(H:H,ROW(K448)/2)),"")</f>
        <v>-513.3</v>
      </c>
      <c r="L448" s="34">
        <f t="array" ref="L448">IF(ROW(L448)&lt;=COUNTA(G:G)*2,IF(MOD(ROW(L448),2)=1,INDEX(G:G,(ROW(L448)+1)/2),INDEX(I:I,ROW(L448)/2)),"")</f>
        <v>112.4</v>
      </c>
      <c r="N448" s="21"/>
      <c r="O448" s="21"/>
      <c r="P448" s="21"/>
      <c r="Q448" s="21"/>
      <c r="R448" s="21"/>
      <c r="S448" s="21">
        <f t="array" ref="S448">IF(ROW(S448)&lt;=COUNTA(N:N)*2,IF(MOD(ROW(S448),2)=1,INDEX(N:N,(ROW(S448)+1)/2),INDEX(P:P,ROW(S448)/2)),"")</f>
        <v>-513.3</v>
      </c>
      <c r="T448" s="21">
        <f t="array" ref="T448">IF(ROW(T448)&lt;=COUNTA(O:O)*2,IF(MOD(ROW(T448),2)=1,INDEX(O:O,(ROW(T448)+1)/2),INDEX(Q:Q,ROW(T448)/2)),"")</f>
        <v>120.9</v>
      </c>
      <c r="V448" s="22"/>
      <c r="W448" s="22"/>
      <c r="X448" s="22"/>
      <c r="Y448" s="22"/>
      <c r="Z448" s="22"/>
      <c r="AA448" s="22">
        <f t="array" ref="AA448">IF(ROW(AA448)&lt;=COUNTA(V:V)*2,IF(MOD(ROW(AA448),2)=1,INDEX(V:V,(ROW(AA448)+1)/2),INDEX(X:X,ROW(AA448)/2)),"")</f>
        <v>-513.3</v>
      </c>
      <c r="AB448" s="22">
        <f t="array" ref="AB448">IF(ROW(AB448)&lt;=COUNTA(W:W)*2,IF(MOD(ROW(AB448),2)=1,INDEX(W:W,(ROW(AB448)+1)/2),INDEX(Y:Y,ROW(AB448)/2)),"")</f>
        <v>122.65445</v>
      </c>
    </row>
    <row r="449" spans="1:28" s="2" customFormat="1" x14ac:dyDescent="0.25">
      <c r="A449" s="19"/>
      <c r="B449" s="20"/>
      <c r="C449" s="21"/>
      <c r="D449" s="22"/>
      <c r="F449" s="20"/>
      <c r="G449" s="20"/>
      <c r="H449" s="20"/>
      <c r="I449" s="20"/>
      <c r="J449" s="20"/>
      <c r="K449" s="34">
        <f t="array" ref="K449">IF(ROW(K449)&lt;=COUNTA(F:F)*2,IF(MOD(ROW(K449),2)=1,INDEX(F:F,(ROW(K449)+1)/2),INDEX(H:H,ROW(K449)/2)),"")</f>
        <v>-513.3</v>
      </c>
      <c r="L449" s="34">
        <f t="array" ref="L449">IF(ROW(L449)&lt;=COUNTA(G:G)*2,IF(MOD(ROW(L449),2)=1,INDEX(G:G,(ROW(L449)+1)/2),INDEX(I:I,ROW(L449)/2)),"")</f>
        <v>112.4</v>
      </c>
      <c r="N449" s="21"/>
      <c r="O449" s="21"/>
      <c r="P449" s="21"/>
      <c r="Q449" s="21"/>
      <c r="R449" s="21"/>
      <c r="S449" s="21">
        <f t="array" ref="S449">IF(ROW(S449)&lt;=COUNTA(N:N)*2,IF(MOD(ROW(S449),2)=1,INDEX(N:N,(ROW(S449)+1)/2),INDEX(P:P,ROW(S449)/2)),"")</f>
        <v>-513.3</v>
      </c>
      <c r="T449" s="21">
        <f t="array" ref="T449">IF(ROW(T449)&lt;=COUNTA(O:O)*2,IF(MOD(ROW(T449),2)=1,INDEX(O:O,(ROW(T449)+1)/2),INDEX(Q:Q,ROW(T449)/2)),"")</f>
        <v>119.5</v>
      </c>
      <c r="V449" s="22"/>
      <c r="W449" s="22"/>
      <c r="X449" s="22"/>
      <c r="Y449" s="22"/>
      <c r="Z449" s="22"/>
      <c r="AA449" s="22">
        <f t="array" ref="AA449">IF(ROW(AA449)&lt;=COUNTA(V:V)*2,IF(MOD(ROW(AA449),2)=1,INDEX(V:V,(ROW(AA449)+1)/2),INDEX(X:X,ROW(AA449)/2)),"")</f>
        <v>-513.3</v>
      </c>
      <c r="AB449" s="22">
        <f t="array" ref="AB449">IF(ROW(AB449)&lt;=COUNTA(W:W)*2,IF(MOD(ROW(AB449),2)=1,INDEX(W:W,(ROW(AB449)+1)/2),INDEX(Y:Y,ROW(AB449)/2)),"")</f>
        <v>122.65045</v>
      </c>
    </row>
    <row r="450" spans="1:28" s="2" customFormat="1" x14ac:dyDescent="0.25">
      <c r="A450" s="19"/>
      <c r="B450" s="20"/>
      <c r="C450" s="21"/>
      <c r="D450" s="22"/>
      <c r="F450" s="20"/>
      <c r="G450" s="20"/>
      <c r="H450" s="20"/>
      <c r="I450" s="20"/>
      <c r="J450" s="20"/>
      <c r="K450" s="34">
        <f t="array" ref="K450">IF(ROW(K450)&lt;=COUNTA(F:F)*2,IF(MOD(ROW(K450),2)=1,INDEX(F:F,(ROW(K450)+1)/2),INDEX(H:H,ROW(K450)/2)),"")</f>
        <v>-516.3</v>
      </c>
      <c r="L450" s="34">
        <f t="array" ref="L450">IF(ROW(L450)&lt;=COUNTA(G:G)*2,IF(MOD(ROW(L450),2)=1,INDEX(G:G,(ROW(L450)+1)/2),INDEX(I:I,ROW(L450)/2)),"")</f>
        <v>112.4</v>
      </c>
      <c r="N450" s="21"/>
      <c r="O450" s="21"/>
      <c r="P450" s="21"/>
      <c r="Q450" s="21"/>
      <c r="R450" s="21"/>
      <c r="S450" s="21">
        <f t="array" ref="S450">IF(ROW(S450)&lt;=COUNTA(N:N)*2,IF(MOD(ROW(S450),2)=1,INDEX(N:N,(ROW(S450)+1)/2),INDEX(P:P,ROW(S450)/2)),"")</f>
        <v>-516.3</v>
      </c>
      <c r="T450" s="21">
        <f t="array" ref="T450">IF(ROW(T450)&lt;=COUNTA(O:O)*2,IF(MOD(ROW(T450),2)=1,INDEX(O:O,(ROW(T450)+1)/2),INDEX(Q:Q,ROW(T450)/2)),"")</f>
        <v>119.5</v>
      </c>
      <c r="V450" s="22"/>
      <c r="W450" s="22"/>
      <c r="X450" s="22"/>
      <c r="Y450" s="22"/>
      <c r="Z450" s="22"/>
      <c r="AA450" s="22">
        <f t="array" ref="AA450">IF(ROW(AA450)&lt;=COUNTA(V:V)*2,IF(MOD(ROW(AA450),2)=1,INDEX(V:V,(ROW(AA450)+1)/2),INDEX(X:X,ROW(AA450)/2)),"")</f>
        <v>-516.3</v>
      </c>
      <c r="AB450" s="22">
        <f t="array" ref="AB450">IF(ROW(AB450)&lt;=COUNTA(W:W)*2,IF(MOD(ROW(AB450),2)=1,INDEX(W:W,(ROW(AB450)+1)/2),INDEX(Y:Y,ROW(AB450)/2)),"")</f>
        <v>122.65045</v>
      </c>
    </row>
    <row r="451" spans="1:28" s="2" customFormat="1" x14ac:dyDescent="0.25">
      <c r="A451" s="19"/>
      <c r="B451" s="20"/>
      <c r="C451" s="21"/>
      <c r="D451" s="22"/>
      <c r="F451" s="20"/>
      <c r="G451" s="20"/>
      <c r="H451" s="20"/>
      <c r="I451" s="20"/>
      <c r="J451" s="20"/>
      <c r="K451" s="34">
        <f t="array" ref="K451">IF(ROW(K451)&lt;=COUNTA(F:F)*2,IF(MOD(ROW(K451),2)=1,INDEX(F:F,(ROW(K451)+1)/2),INDEX(H:H,ROW(K451)/2)),"")</f>
        <v>-516.3</v>
      </c>
      <c r="L451" s="34">
        <f t="array" ref="L451">IF(ROW(L451)&lt;=COUNTA(G:G)*2,IF(MOD(ROW(L451),2)=1,INDEX(G:G,(ROW(L451)+1)/2),INDEX(I:I,ROW(L451)/2)),"")</f>
        <v>112.4</v>
      </c>
      <c r="N451" s="21"/>
      <c r="O451" s="21"/>
      <c r="P451" s="21"/>
      <c r="Q451" s="21"/>
      <c r="R451" s="21"/>
      <c r="S451" s="21">
        <f t="array" ref="S451">IF(ROW(S451)&lt;=COUNTA(N:N)*2,IF(MOD(ROW(S451),2)=1,INDEX(N:N,(ROW(S451)+1)/2),INDEX(P:P,ROW(S451)/2)),"")</f>
        <v>-516.3</v>
      </c>
      <c r="T451" s="21">
        <f t="array" ref="T451">IF(ROW(T451)&lt;=COUNTA(O:O)*2,IF(MOD(ROW(T451),2)=1,INDEX(O:O,(ROW(T451)+1)/2),INDEX(Q:Q,ROW(T451)/2)),"")</f>
        <v>118.6</v>
      </c>
      <c r="V451" s="22"/>
      <c r="W451" s="22"/>
      <c r="X451" s="22"/>
      <c r="Y451" s="22"/>
      <c r="Z451" s="22"/>
      <c r="AA451" s="22">
        <f t="array" ref="AA451">IF(ROW(AA451)&lt;=COUNTA(V:V)*2,IF(MOD(ROW(AA451),2)=1,INDEX(V:V,(ROW(AA451)+1)/2),INDEX(X:X,ROW(AA451)/2)),"")</f>
        <v>-516.3</v>
      </c>
      <c r="AB451" s="22">
        <f t="array" ref="AB451">IF(ROW(AB451)&lt;=COUNTA(W:W)*2,IF(MOD(ROW(AB451),2)=1,INDEX(W:W,(ROW(AB451)+1)/2),INDEX(Y:Y,ROW(AB451)/2)),"")</f>
        <v>122.6582</v>
      </c>
    </row>
    <row r="452" spans="1:28" s="2" customFormat="1" x14ac:dyDescent="0.25">
      <c r="A452" s="19"/>
      <c r="B452" s="20"/>
      <c r="C452" s="21"/>
      <c r="D452" s="22"/>
      <c r="F452" s="20"/>
      <c r="G452" s="20"/>
      <c r="H452" s="20"/>
      <c r="I452" s="20"/>
      <c r="J452" s="20"/>
      <c r="K452" s="34">
        <f t="array" ref="K452">IF(ROW(K452)&lt;=COUNTA(F:F)*2,IF(MOD(ROW(K452),2)=1,INDEX(F:F,(ROW(K452)+1)/2),INDEX(H:H,ROW(K452)/2)),"")</f>
        <v>-517.8</v>
      </c>
      <c r="L452" s="34">
        <f t="array" ref="L452">IF(ROW(L452)&lt;=COUNTA(G:G)*2,IF(MOD(ROW(L452),2)=1,INDEX(G:G,(ROW(L452)+1)/2),INDEX(I:I,ROW(L452)/2)),"")</f>
        <v>112.4</v>
      </c>
      <c r="N452" s="21"/>
      <c r="O452" s="21"/>
      <c r="P452" s="21"/>
      <c r="Q452" s="21"/>
      <c r="R452" s="21"/>
      <c r="S452" s="21">
        <f t="array" ref="S452">IF(ROW(S452)&lt;=COUNTA(N:N)*2,IF(MOD(ROW(S452),2)=1,INDEX(N:N,(ROW(S452)+1)/2),INDEX(P:P,ROW(S452)/2)),"")</f>
        <v>-517.8</v>
      </c>
      <c r="T452" s="21">
        <f t="array" ref="T452">IF(ROW(T452)&lt;=COUNTA(O:O)*2,IF(MOD(ROW(T452),2)=1,INDEX(O:O,(ROW(T452)+1)/2),INDEX(Q:Q,ROW(T452)/2)),"")</f>
        <v>118.6</v>
      </c>
      <c r="V452" s="22"/>
      <c r="W452" s="22"/>
      <c r="X452" s="22"/>
      <c r="Y452" s="22"/>
      <c r="Z452" s="22"/>
      <c r="AA452" s="22">
        <f t="array" ref="AA452">IF(ROW(AA452)&lt;=COUNTA(V:V)*2,IF(MOD(ROW(AA452),2)=1,INDEX(V:V,(ROW(AA452)+1)/2),INDEX(X:X,ROW(AA452)/2)),"")</f>
        <v>-517.8</v>
      </c>
      <c r="AB452" s="22">
        <f t="array" ref="AB452">IF(ROW(AB452)&lt;=COUNTA(W:W)*2,IF(MOD(ROW(AB452),2)=1,INDEX(W:W,(ROW(AB452)+1)/2),INDEX(Y:Y,ROW(AB452)/2)),"")</f>
        <v>122.6582</v>
      </c>
    </row>
    <row r="453" spans="1:28" s="2" customFormat="1" x14ac:dyDescent="0.25">
      <c r="A453" s="19"/>
      <c r="B453" s="20"/>
      <c r="C453" s="21"/>
      <c r="D453" s="22"/>
      <c r="F453" s="20"/>
      <c r="G453" s="20"/>
      <c r="H453" s="20"/>
      <c r="I453" s="20"/>
      <c r="J453" s="20"/>
      <c r="K453" s="34">
        <f t="array" ref="K453">IF(ROW(K453)&lt;=COUNTA(F:F)*2,IF(MOD(ROW(K453),2)=1,INDEX(F:F,(ROW(K453)+1)/2),INDEX(H:H,ROW(K453)/2)),"")</f>
        <v>-517.8</v>
      </c>
      <c r="L453" s="34">
        <f t="array" ref="L453">IF(ROW(L453)&lt;=COUNTA(G:G)*2,IF(MOD(ROW(L453),2)=1,INDEX(G:G,(ROW(L453)+1)/2),INDEX(I:I,ROW(L453)/2)),"")</f>
        <v>112.4</v>
      </c>
      <c r="N453" s="21"/>
      <c r="O453" s="21"/>
      <c r="P453" s="21"/>
      <c r="Q453" s="21"/>
      <c r="R453" s="21"/>
      <c r="S453" s="21">
        <f t="array" ref="S453">IF(ROW(S453)&lt;=COUNTA(N:N)*2,IF(MOD(ROW(S453),2)=1,INDEX(N:N,(ROW(S453)+1)/2),INDEX(P:P,ROW(S453)/2)),"")</f>
        <v>-517.8</v>
      </c>
      <c r="T453" s="21">
        <f t="array" ref="T453">IF(ROW(T453)&lt;=COUNTA(O:O)*2,IF(MOD(ROW(T453),2)=1,INDEX(O:O,(ROW(T453)+1)/2),INDEX(Q:Q,ROW(T453)/2)),"")</f>
        <v>119</v>
      </c>
      <c r="V453" s="22"/>
      <c r="W453" s="22"/>
      <c r="X453" s="22"/>
      <c r="Y453" s="22"/>
      <c r="Z453" s="22"/>
      <c r="AA453" s="22">
        <f t="array" ref="AA453">IF(ROW(AA453)&lt;=COUNTA(V:V)*2,IF(MOD(ROW(AA453),2)=1,INDEX(V:V,(ROW(AA453)+1)/2),INDEX(X:X,ROW(AA453)/2)),"")</f>
        <v>-517.8</v>
      </c>
      <c r="AB453" s="22">
        <f t="array" ref="AB453">IF(ROW(AB453)&lt;=COUNTA(W:W)*2,IF(MOD(ROW(AB453),2)=1,INDEX(W:W,(ROW(AB453)+1)/2),INDEX(Y:Y,ROW(AB453)/2)),"")</f>
        <v>122.660725</v>
      </c>
    </row>
    <row r="454" spans="1:28" s="2" customFormat="1" x14ac:dyDescent="0.25">
      <c r="A454" s="19"/>
      <c r="B454" s="20"/>
      <c r="C454" s="21"/>
      <c r="D454" s="22"/>
      <c r="F454" s="20"/>
      <c r="G454" s="20"/>
      <c r="H454" s="20"/>
      <c r="I454" s="20"/>
      <c r="J454" s="20"/>
      <c r="K454" s="34">
        <f t="array" ref="K454">IF(ROW(K454)&lt;=COUNTA(F:F)*2,IF(MOD(ROW(K454),2)=1,INDEX(F:F,(ROW(K454)+1)/2),INDEX(H:H,ROW(K454)/2)),"")</f>
        <v>-520.8</v>
      </c>
      <c r="L454" s="34">
        <f t="array" ref="L454">IF(ROW(L454)&lt;=COUNTA(G:G)*2,IF(MOD(ROW(L454),2)=1,INDEX(G:G,(ROW(L454)+1)/2),INDEX(I:I,ROW(L454)/2)),"")</f>
        <v>112.4</v>
      </c>
      <c r="N454" s="21"/>
      <c r="O454" s="21"/>
      <c r="P454" s="21"/>
      <c r="Q454" s="21"/>
      <c r="R454" s="21"/>
      <c r="S454" s="21">
        <f t="array" ref="S454">IF(ROW(S454)&lt;=COUNTA(N:N)*2,IF(MOD(ROW(S454),2)=1,INDEX(N:N,(ROW(S454)+1)/2),INDEX(P:P,ROW(S454)/2)),"")</f>
        <v>-520.8</v>
      </c>
      <c r="T454" s="21">
        <f t="array" ref="T454">IF(ROW(T454)&lt;=COUNTA(O:O)*2,IF(MOD(ROW(T454),2)=1,INDEX(O:O,(ROW(T454)+1)/2),INDEX(Q:Q,ROW(T454)/2)),"")</f>
        <v>119</v>
      </c>
      <c r="V454" s="22"/>
      <c r="W454" s="22"/>
      <c r="X454" s="22"/>
      <c r="Y454" s="22"/>
      <c r="Z454" s="22"/>
      <c r="AA454" s="22">
        <f t="array" ref="AA454">IF(ROW(AA454)&lt;=COUNTA(V:V)*2,IF(MOD(ROW(AA454),2)=1,INDEX(V:V,(ROW(AA454)+1)/2),INDEX(X:X,ROW(AA454)/2)),"")</f>
        <v>-520.8</v>
      </c>
      <c r="AB454" s="22">
        <f t="array" ref="AB454">IF(ROW(AB454)&lt;=COUNTA(W:W)*2,IF(MOD(ROW(AB454),2)=1,INDEX(W:W,(ROW(AB454)+1)/2),INDEX(Y:Y,ROW(AB454)/2)),"")</f>
        <v>122.660725</v>
      </c>
    </row>
    <row r="455" spans="1:28" s="2" customFormat="1" x14ac:dyDescent="0.25">
      <c r="A455" s="19"/>
      <c r="B455" s="20"/>
      <c r="C455" s="21"/>
      <c r="D455" s="22"/>
      <c r="F455" s="20"/>
      <c r="G455" s="20"/>
      <c r="H455" s="20"/>
      <c r="I455" s="20"/>
      <c r="J455" s="20"/>
      <c r="K455" s="34">
        <f t="array" ref="K455">IF(ROW(K455)&lt;=COUNTA(F:F)*2,IF(MOD(ROW(K455),2)=1,INDEX(F:F,(ROW(K455)+1)/2),INDEX(H:H,ROW(K455)/2)),"")</f>
        <v>-520.8</v>
      </c>
      <c r="L455" s="34">
        <f t="array" ref="L455">IF(ROW(L455)&lt;=COUNTA(G:G)*2,IF(MOD(ROW(L455),2)=1,INDEX(G:G,(ROW(L455)+1)/2),INDEX(I:I,ROW(L455)/2)),"")</f>
        <v>111.7</v>
      </c>
      <c r="N455" s="21"/>
      <c r="O455" s="21"/>
      <c r="P455" s="21"/>
      <c r="Q455" s="21"/>
      <c r="R455" s="21"/>
      <c r="S455" s="21">
        <f t="array" ref="S455">IF(ROW(S455)&lt;=COUNTA(N:N)*2,IF(MOD(ROW(S455),2)=1,INDEX(N:N,(ROW(S455)+1)/2),INDEX(P:P,ROW(S455)/2)),"")</f>
        <v>-520.8</v>
      </c>
      <c r="T455" s="21">
        <f t="array" ref="T455">IF(ROW(T455)&lt;=COUNTA(O:O)*2,IF(MOD(ROW(T455),2)=1,INDEX(O:O,(ROW(T455)+1)/2),INDEX(Q:Q,ROW(T455)/2)),"")</f>
        <v>120.7</v>
      </c>
      <c r="V455" s="22"/>
      <c r="W455" s="22"/>
      <c r="X455" s="22"/>
      <c r="Y455" s="22"/>
      <c r="Z455" s="22"/>
      <c r="AA455" s="22">
        <f t="array" ref="AA455">IF(ROW(AA455)&lt;=COUNTA(V:V)*2,IF(MOD(ROW(AA455),2)=1,INDEX(V:V,(ROW(AA455)+1)/2),INDEX(X:X,ROW(AA455)/2)),"")</f>
        <v>-520.8</v>
      </c>
      <c r="AB455" s="22">
        <f t="array" ref="AB455">IF(ROW(AB455)&lt;=COUNTA(W:W)*2,IF(MOD(ROW(AB455),2)=1,INDEX(W:W,(ROW(AB455)+1)/2),INDEX(Y:Y,ROW(AB455)/2)),"")</f>
        <v>122.6582</v>
      </c>
    </row>
    <row r="456" spans="1:28" s="2" customFormat="1" x14ac:dyDescent="0.25">
      <c r="A456" s="19"/>
      <c r="B456" s="20"/>
      <c r="C456" s="21"/>
      <c r="D456" s="22"/>
      <c r="F456" s="20"/>
      <c r="G456" s="20"/>
      <c r="H456" s="20"/>
      <c r="I456" s="20"/>
      <c r="J456" s="20"/>
      <c r="K456" s="34">
        <f t="array" ref="K456">IF(ROW(K456)&lt;=COUNTA(F:F)*2,IF(MOD(ROW(K456),2)=1,INDEX(F:F,(ROW(K456)+1)/2),INDEX(H:H,ROW(K456)/2)),"")</f>
        <v>-523.8</v>
      </c>
      <c r="L456" s="34">
        <f t="array" ref="L456">IF(ROW(L456)&lt;=COUNTA(G:G)*2,IF(MOD(ROW(L456),2)=1,INDEX(G:G,(ROW(L456)+1)/2),INDEX(I:I,ROW(L456)/2)),"")</f>
        <v>111.7</v>
      </c>
      <c r="N456" s="21"/>
      <c r="O456" s="21"/>
      <c r="P456" s="21"/>
      <c r="Q456" s="21"/>
      <c r="R456" s="21"/>
      <c r="S456" s="21">
        <f t="array" ref="S456">IF(ROW(S456)&lt;=COUNTA(N:N)*2,IF(MOD(ROW(S456),2)=1,INDEX(N:N,(ROW(S456)+1)/2),INDEX(P:P,ROW(S456)/2)),"")</f>
        <v>-523.8</v>
      </c>
      <c r="T456" s="21">
        <f t="array" ref="T456">IF(ROW(T456)&lt;=COUNTA(O:O)*2,IF(MOD(ROW(T456),2)=1,INDEX(O:O,(ROW(T456)+1)/2),INDEX(Q:Q,ROW(T456)/2)),"")</f>
        <v>120.7</v>
      </c>
      <c r="V456" s="22"/>
      <c r="W456" s="22"/>
      <c r="X456" s="22"/>
      <c r="Y456" s="22"/>
      <c r="Z456" s="22"/>
      <c r="AA456" s="22">
        <f t="array" ref="AA456">IF(ROW(AA456)&lt;=COUNTA(V:V)*2,IF(MOD(ROW(AA456),2)=1,INDEX(V:V,(ROW(AA456)+1)/2),INDEX(X:X,ROW(AA456)/2)),"")</f>
        <v>-523.8</v>
      </c>
      <c r="AB456" s="22">
        <f t="array" ref="AB456">IF(ROW(AB456)&lt;=COUNTA(W:W)*2,IF(MOD(ROW(AB456),2)=1,INDEX(W:W,(ROW(AB456)+1)/2),INDEX(Y:Y,ROW(AB456)/2)),"")</f>
        <v>122.6582</v>
      </c>
    </row>
    <row r="457" spans="1:28" s="2" customFormat="1" x14ac:dyDescent="0.25">
      <c r="A457" s="19"/>
      <c r="B457" s="20"/>
      <c r="C457" s="21"/>
      <c r="D457" s="22"/>
      <c r="F457" s="20"/>
      <c r="G457" s="20"/>
      <c r="H457" s="20"/>
      <c r="I457" s="20"/>
      <c r="J457" s="20"/>
      <c r="K457" s="34">
        <f t="array" ref="K457">IF(ROW(K457)&lt;=COUNTA(F:F)*2,IF(MOD(ROW(K457),2)=1,INDEX(F:F,(ROW(K457)+1)/2),INDEX(H:H,ROW(K457)/2)),"")</f>
        <v>-523.8</v>
      </c>
      <c r="L457" s="34">
        <f t="array" ref="L457">IF(ROW(L457)&lt;=COUNTA(G:G)*2,IF(MOD(ROW(L457),2)=1,INDEX(G:G,(ROW(L457)+1)/2),INDEX(I:I,ROW(L457)/2)),"")</f>
        <v>112.3</v>
      </c>
      <c r="N457" s="21"/>
      <c r="O457" s="21"/>
      <c r="P457" s="21"/>
      <c r="Q457" s="21"/>
      <c r="R457" s="21"/>
      <c r="S457" s="21">
        <f t="array" ref="S457">IF(ROW(S457)&lt;=COUNTA(N:N)*2,IF(MOD(ROW(S457),2)=1,INDEX(N:N,(ROW(S457)+1)/2),INDEX(P:P,ROW(S457)/2)),"")</f>
        <v>-523.8</v>
      </c>
      <c r="T457" s="21">
        <f t="array" ref="T457">IF(ROW(T457)&lt;=COUNTA(O:O)*2,IF(MOD(ROW(T457),2)=1,INDEX(O:O,(ROW(T457)+1)/2),INDEX(Q:Q,ROW(T457)/2)),"")</f>
        <v>119.6</v>
      </c>
      <c r="V457" s="22"/>
      <c r="W457" s="22"/>
      <c r="X457" s="22"/>
      <c r="Y457" s="22"/>
      <c r="Z457" s="22"/>
      <c r="AA457" s="22">
        <f t="array" ref="AA457">IF(ROW(AA457)&lt;=COUNTA(V:V)*2,IF(MOD(ROW(AA457),2)=1,INDEX(V:V,(ROW(AA457)+1)/2),INDEX(X:X,ROW(AA457)/2)),"")</f>
        <v>-523.8</v>
      </c>
      <c r="AB457" s="22">
        <f t="array" ref="AB457">IF(ROW(AB457)&lt;=COUNTA(W:W)*2,IF(MOD(ROW(AB457),2)=1,INDEX(W:W,(ROW(AB457)+1)/2),INDEX(Y:Y,ROW(AB457)/2)),"")</f>
        <v>122.6579</v>
      </c>
    </row>
    <row r="458" spans="1:28" s="2" customFormat="1" x14ac:dyDescent="0.25">
      <c r="A458" s="19"/>
      <c r="B458" s="20"/>
      <c r="C458" s="21"/>
      <c r="D458" s="22"/>
      <c r="F458" s="20"/>
      <c r="G458" s="20"/>
      <c r="H458" s="20"/>
      <c r="I458" s="20"/>
      <c r="J458" s="20"/>
      <c r="K458" s="34">
        <f t="array" ref="K458">IF(ROW(K458)&lt;=COUNTA(F:F)*2,IF(MOD(ROW(K458),2)=1,INDEX(F:F,(ROW(K458)+1)/2),INDEX(H:H,ROW(K458)/2)),"")</f>
        <v>-526.8</v>
      </c>
      <c r="L458" s="34">
        <f t="array" ref="L458">IF(ROW(L458)&lt;=COUNTA(G:G)*2,IF(MOD(ROW(L458),2)=1,INDEX(G:G,(ROW(L458)+1)/2),INDEX(I:I,ROW(L458)/2)),"")</f>
        <v>112.3</v>
      </c>
      <c r="N458" s="21"/>
      <c r="O458" s="21"/>
      <c r="P458" s="21"/>
      <c r="Q458" s="21"/>
      <c r="R458" s="21"/>
      <c r="S458" s="21">
        <f t="array" ref="S458">IF(ROW(S458)&lt;=COUNTA(N:N)*2,IF(MOD(ROW(S458),2)=1,INDEX(N:N,(ROW(S458)+1)/2),INDEX(P:P,ROW(S458)/2)),"")</f>
        <v>-526.8</v>
      </c>
      <c r="T458" s="21">
        <f t="array" ref="T458">IF(ROW(T458)&lt;=COUNTA(O:O)*2,IF(MOD(ROW(T458),2)=1,INDEX(O:O,(ROW(T458)+1)/2),INDEX(Q:Q,ROW(T458)/2)),"")</f>
        <v>119.6</v>
      </c>
      <c r="V458" s="22"/>
      <c r="W458" s="22"/>
      <c r="X458" s="22"/>
      <c r="Y458" s="22"/>
      <c r="Z458" s="22"/>
      <c r="AA458" s="22">
        <f t="array" ref="AA458">IF(ROW(AA458)&lt;=COUNTA(V:V)*2,IF(MOD(ROW(AA458),2)=1,INDEX(V:V,(ROW(AA458)+1)/2),INDEX(X:X,ROW(AA458)/2)),"")</f>
        <v>-526.8</v>
      </c>
      <c r="AB458" s="22">
        <f t="array" ref="AB458">IF(ROW(AB458)&lt;=COUNTA(W:W)*2,IF(MOD(ROW(AB458),2)=1,INDEX(W:W,(ROW(AB458)+1)/2),INDEX(Y:Y,ROW(AB458)/2)),"")</f>
        <v>122.6579</v>
      </c>
    </row>
    <row r="459" spans="1:28" s="2" customFormat="1" x14ac:dyDescent="0.25">
      <c r="A459" s="19"/>
      <c r="B459" s="20"/>
      <c r="C459" s="21"/>
      <c r="D459" s="22"/>
      <c r="F459" s="20"/>
      <c r="G459" s="20"/>
      <c r="H459" s="20"/>
      <c r="I459" s="20"/>
      <c r="J459" s="20"/>
      <c r="K459" s="34">
        <f t="array" ref="K459">IF(ROW(K459)&lt;=COUNTA(F:F)*2,IF(MOD(ROW(K459),2)=1,INDEX(F:F,(ROW(K459)+1)/2),INDEX(H:H,ROW(K459)/2)),"")</f>
        <v>-526.8</v>
      </c>
      <c r="L459" s="34">
        <f t="array" ref="L459">IF(ROW(L459)&lt;=COUNTA(G:G)*2,IF(MOD(ROW(L459),2)=1,INDEX(G:G,(ROW(L459)+1)/2),INDEX(I:I,ROW(L459)/2)),"")</f>
        <v>112.5</v>
      </c>
      <c r="N459" s="21"/>
      <c r="O459" s="21"/>
      <c r="P459" s="21"/>
      <c r="Q459" s="21"/>
      <c r="R459" s="21"/>
      <c r="S459" s="21">
        <f t="array" ref="S459">IF(ROW(S459)&lt;=COUNTA(N:N)*2,IF(MOD(ROW(S459),2)=1,INDEX(N:N,(ROW(S459)+1)/2),INDEX(P:P,ROW(S459)/2)),"")</f>
        <v>-526.8</v>
      </c>
      <c r="T459" s="21">
        <f t="array" ref="T459">IF(ROW(T459)&lt;=COUNTA(O:O)*2,IF(MOD(ROW(T459),2)=1,INDEX(O:O,(ROW(T459)+1)/2),INDEX(Q:Q,ROW(T459)/2)),"")</f>
        <v>119.2</v>
      </c>
      <c r="V459" s="22"/>
      <c r="W459" s="22"/>
      <c r="X459" s="22"/>
      <c r="Y459" s="22"/>
      <c r="Z459" s="22"/>
      <c r="AA459" s="22">
        <f t="array" ref="AA459">IF(ROW(AA459)&lt;=COUNTA(V:V)*2,IF(MOD(ROW(AA459),2)=1,INDEX(V:V,(ROW(AA459)+1)/2),INDEX(X:X,ROW(AA459)/2)),"")</f>
        <v>-526.8</v>
      </c>
      <c r="AB459" s="22">
        <f t="array" ref="AB459">IF(ROW(AB459)&lt;=COUNTA(W:W)*2,IF(MOD(ROW(AB459),2)=1,INDEX(W:W,(ROW(AB459)+1)/2),INDEX(Y:Y,ROW(AB459)/2)),"")</f>
        <v>122.660725</v>
      </c>
    </row>
    <row r="460" spans="1:28" s="2" customFormat="1" x14ac:dyDescent="0.25">
      <c r="A460" s="19"/>
      <c r="B460" s="20"/>
      <c r="C460" s="21"/>
      <c r="D460" s="22"/>
      <c r="F460" s="20"/>
      <c r="G460" s="20"/>
      <c r="H460" s="20"/>
      <c r="I460" s="20"/>
      <c r="J460" s="20"/>
      <c r="K460" s="34">
        <f t="array" ref="K460">IF(ROW(K460)&lt;=COUNTA(F:F)*2,IF(MOD(ROW(K460),2)=1,INDEX(F:F,(ROW(K460)+1)/2),INDEX(H:H,ROW(K460)/2)),"")</f>
        <v>-529.8</v>
      </c>
      <c r="L460" s="34">
        <f t="array" ref="L460">IF(ROW(L460)&lt;=COUNTA(G:G)*2,IF(MOD(ROW(L460),2)=1,INDEX(G:G,(ROW(L460)+1)/2),INDEX(I:I,ROW(L460)/2)),"")</f>
        <v>112.5</v>
      </c>
      <c r="N460" s="21"/>
      <c r="O460" s="21"/>
      <c r="P460" s="21"/>
      <c r="Q460" s="21"/>
      <c r="R460" s="21"/>
      <c r="S460" s="21">
        <f t="array" ref="S460">IF(ROW(S460)&lt;=COUNTA(N:N)*2,IF(MOD(ROW(S460),2)=1,INDEX(N:N,(ROW(S460)+1)/2),INDEX(P:P,ROW(S460)/2)),"")</f>
        <v>-529.8</v>
      </c>
      <c r="T460" s="21">
        <f t="array" ref="T460">IF(ROW(T460)&lt;=COUNTA(O:O)*2,IF(MOD(ROW(T460),2)=1,INDEX(O:O,(ROW(T460)+1)/2),INDEX(Q:Q,ROW(T460)/2)),"")</f>
        <v>119.2</v>
      </c>
      <c r="V460" s="22"/>
      <c r="W460" s="22"/>
      <c r="X460" s="22"/>
      <c r="Y460" s="22"/>
      <c r="Z460" s="22"/>
      <c r="AA460" s="22">
        <f t="array" ref="AA460">IF(ROW(AA460)&lt;=COUNTA(V:V)*2,IF(MOD(ROW(AA460),2)=1,INDEX(V:V,(ROW(AA460)+1)/2),INDEX(X:X,ROW(AA460)/2)),"")</f>
        <v>-529.8</v>
      </c>
      <c r="AB460" s="22">
        <f t="array" ref="AB460">IF(ROW(AB460)&lt;=COUNTA(W:W)*2,IF(MOD(ROW(AB460),2)=1,INDEX(W:W,(ROW(AB460)+1)/2),INDEX(Y:Y,ROW(AB460)/2)),"")</f>
        <v>122.660725</v>
      </c>
    </row>
    <row r="461" spans="1:28" s="2" customFormat="1" x14ac:dyDescent="0.25">
      <c r="A461" s="19"/>
      <c r="B461" s="20"/>
      <c r="C461" s="21"/>
      <c r="D461" s="22"/>
      <c r="F461" s="20"/>
      <c r="G461" s="20"/>
      <c r="H461" s="20"/>
      <c r="I461" s="20"/>
      <c r="J461" s="20"/>
      <c r="K461" s="34">
        <f t="array" ref="K461">IF(ROW(K461)&lt;=COUNTA(F:F)*2,IF(MOD(ROW(K461),2)=1,INDEX(F:F,(ROW(K461)+1)/2),INDEX(H:H,ROW(K461)/2)),"")</f>
        <v>-529.8</v>
      </c>
      <c r="L461" s="34">
        <f t="array" ref="L461">IF(ROW(L461)&lt;=COUNTA(G:G)*2,IF(MOD(ROW(L461),2)=1,INDEX(G:G,(ROW(L461)+1)/2),INDEX(I:I,ROW(L461)/2)),"")</f>
        <v>112.4</v>
      </c>
      <c r="N461" s="21"/>
      <c r="O461" s="21"/>
      <c r="P461" s="21"/>
      <c r="Q461" s="21"/>
      <c r="R461" s="21"/>
      <c r="S461" s="21">
        <f t="array" ref="S461">IF(ROW(S461)&lt;=COUNTA(N:N)*2,IF(MOD(ROW(S461),2)=1,INDEX(N:N,(ROW(S461)+1)/2),INDEX(P:P,ROW(S461)/2)),"")</f>
        <v>-529.8</v>
      </c>
      <c r="T461" s="21">
        <f t="array" ref="T461">IF(ROW(T461)&lt;=COUNTA(O:O)*2,IF(MOD(ROW(T461),2)=1,INDEX(O:O,(ROW(T461)+1)/2),INDEX(Q:Q,ROW(T461)/2)),"")</f>
        <v>116.4</v>
      </c>
      <c r="V461" s="22"/>
      <c r="W461" s="22"/>
      <c r="X461" s="22"/>
      <c r="Y461" s="22"/>
      <c r="Z461" s="22"/>
      <c r="AA461" s="22">
        <f t="array" ref="AA461">IF(ROW(AA461)&lt;=COUNTA(V:V)*2,IF(MOD(ROW(AA461),2)=1,INDEX(V:V,(ROW(AA461)+1)/2),INDEX(X:X,ROW(AA461)/2)),"")</f>
        <v>-529.8</v>
      </c>
      <c r="AB461" s="22">
        <f t="array" ref="AB461">IF(ROW(AB461)&lt;=COUNTA(W:W)*2,IF(MOD(ROW(AB461),2)=1,INDEX(W:W,(ROW(AB461)+1)/2),INDEX(Y:Y,ROW(AB461)/2)),"")</f>
        <v>122.660725</v>
      </c>
    </row>
    <row r="462" spans="1:28" s="2" customFormat="1" x14ac:dyDescent="0.25">
      <c r="A462" s="19"/>
      <c r="B462" s="20"/>
      <c r="C462" s="21"/>
      <c r="D462" s="22"/>
      <c r="F462" s="20"/>
      <c r="G462" s="20"/>
      <c r="H462" s="20"/>
      <c r="I462" s="20"/>
      <c r="J462" s="20"/>
      <c r="K462" s="34">
        <f t="array" ref="K462">IF(ROW(K462)&lt;=COUNTA(F:F)*2,IF(MOD(ROW(K462),2)=1,INDEX(F:F,(ROW(K462)+1)/2),INDEX(H:H,ROW(K462)/2)),"")</f>
        <v>-532.8</v>
      </c>
      <c r="L462" s="34">
        <f t="array" ref="L462">IF(ROW(L462)&lt;=COUNTA(G:G)*2,IF(MOD(ROW(L462),2)=1,INDEX(G:G,(ROW(L462)+1)/2),INDEX(I:I,ROW(L462)/2)),"")</f>
        <v>112.4</v>
      </c>
      <c r="N462" s="21"/>
      <c r="O462" s="21"/>
      <c r="P462" s="21"/>
      <c r="Q462" s="21"/>
      <c r="R462" s="21"/>
      <c r="S462" s="21">
        <f t="array" ref="S462">IF(ROW(S462)&lt;=COUNTA(N:N)*2,IF(MOD(ROW(S462),2)=1,INDEX(N:N,(ROW(S462)+1)/2),INDEX(P:P,ROW(S462)/2)),"")</f>
        <v>-532.8</v>
      </c>
      <c r="T462" s="21">
        <f t="array" ref="T462">IF(ROW(T462)&lt;=COUNTA(O:O)*2,IF(MOD(ROW(T462),2)=1,INDEX(O:O,(ROW(T462)+1)/2),INDEX(Q:Q,ROW(T462)/2)),"")</f>
        <v>116.4</v>
      </c>
      <c r="V462" s="22"/>
      <c r="W462" s="22"/>
      <c r="X462" s="22"/>
      <c r="Y462" s="22"/>
      <c r="Z462" s="22"/>
      <c r="AA462" s="22">
        <f t="array" ref="AA462">IF(ROW(AA462)&lt;=COUNTA(V:V)*2,IF(MOD(ROW(AA462),2)=1,INDEX(V:V,(ROW(AA462)+1)/2),INDEX(X:X,ROW(AA462)/2)),"")</f>
        <v>-532.8</v>
      </c>
      <c r="AB462" s="22">
        <f t="array" ref="AB462">IF(ROW(AB462)&lt;=COUNTA(W:W)*2,IF(MOD(ROW(AB462),2)=1,INDEX(W:W,(ROW(AB462)+1)/2),INDEX(Y:Y,ROW(AB462)/2)),"")</f>
        <v>122.660725</v>
      </c>
    </row>
    <row r="463" spans="1:28" s="2" customFormat="1" x14ac:dyDescent="0.25">
      <c r="A463" s="19"/>
      <c r="B463" s="20"/>
      <c r="C463" s="21"/>
      <c r="D463" s="22"/>
      <c r="F463" s="20"/>
      <c r="G463" s="20"/>
      <c r="H463" s="20"/>
      <c r="I463" s="20"/>
      <c r="J463" s="20"/>
      <c r="K463" s="34">
        <f t="array" ref="K463">IF(ROW(K463)&lt;=COUNTA(F:F)*2,IF(MOD(ROW(K463),2)=1,INDEX(F:F,(ROW(K463)+1)/2),INDEX(H:H,ROW(K463)/2)),"")</f>
        <v>-532.8</v>
      </c>
      <c r="L463" s="34">
        <f t="array" ref="L463">IF(ROW(L463)&lt;=COUNTA(G:G)*2,IF(MOD(ROW(L463),2)=1,INDEX(G:G,(ROW(L463)+1)/2),INDEX(I:I,ROW(L463)/2)),"")</f>
        <v>112.3</v>
      </c>
      <c r="N463" s="21"/>
      <c r="O463" s="21"/>
      <c r="P463" s="21"/>
      <c r="Q463" s="21"/>
      <c r="R463" s="21"/>
      <c r="S463" s="21">
        <f t="array" ref="S463">IF(ROW(S463)&lt;=COUNTA(N:N)*2,IF(MOD(ROW(S463),2)=1,INDEX(N:N,(ROW(S463)+1)/2),INDEX(P:P,ROW(S463)/2)),"")</f>
        <v>-532.8</v>
      </c>
      <c r="T463" s="21">
        <f t="array" ref="T463">IF(ROW(T463)&lt;=COUNTA(O:O)*2,IF(MOD(ROW(T463),2)=1,INDEX(O:O,(ROW(T463)+1)/2),INDEX(Q:Q,ROW(T463)/2)),"")</f>
        <v>116</v>
      </c>
      <c r="V463" s="22"/>
      <c r="W463" s="22"/>
      <c r="X463" s="22"/>
      <c r="Y463" s="22"/>
      <c r="Z463" s="22"/>
      <c r="AA463" s="22">
        <f t="array" ref="AA463">IF(ROW(AA463)&lt;=COUNTA(V:V)*2,IF(MOD(ROW(AA463),2)=1,INDEX(V:V,(ROW(AA463)+1)/2),INDEX(X:X,ROW(AA463)/2)),"")</f>
        <v>-532.8</v>
      </c>
      <c r="AB463" s="22">
        <f t="array" ref="AB463">IF(ROW(AB463)&lt;=COUNTA(W:W)*2,IF(MOD(ROW(AB463),2)=1,INDEX(W:W,(ROW(AB463)+1)/2),INDEX(Y:Y,ROW(AB463)/2)),"")</f>
        <v>122.660725</v>
      </c>
    </row>
    <row r="464" spans="1:28" s="2" customFormat="1" x14ac:dyDescent="0.25">
      <c r="A464" s="19"/>
      <c r="B464" s="20"/>
      <c r="C464" s="21"/>
      <c r="D464" s="22"/>
      <c r="F464" s="20"/>
      <c r="G464" s="20"/>
      <c r="H464" s="20"/>
      <c r="I464" s="20"/>
      <c r="J464" s="20"/>
      <c r="K464" s="34">
        <f t="array" ref="K464">IF(ROW(K464)&lt;=COUNTA(F:F)*2,IF(MOD(ROW(K464),2)=1,INDEX(F:F,(ROW(K464)+1)/2),INDEX(H:H,ROW(K464)/2)),"")</f>
        <v>-535.8</v>
      </c>
      <c r="L464" s="34">
        <f t="array" ref="L464">IF(ROW(L464)&lt;=COUNTA(G:G)*2,IF(MOD(ROW(L464),2)=1,INDEX(G:G,(ROW(L464)+1)/2),INDEX(I:I,ROW(L464)/2)),"")</f>
        <v>112.3</v>
      </c>
      <c r="N464" s="21"/>
      <c r="O464" s="21"/>
      <c r="P464" s="21"/>
      <c r="Q464" s="21"/>
      <c r="R464" s="21"/>
      <c r="S464" s="21">
        <f t="array" ref="S464">IF(ROW(S464)&lt;=COUNTA(N:N)*2,IF(MOD(ROW(S464),2)=1,INDEX(N:N,(ROW(S464)+1)/2),INDEX(P:P,ROW(S464)/2)),"")</f>
        <v>-535.8</v>
      </c>
      <c r="T464" s="21">
        <f t="array" ref="T464">IF(ROW(T464)&lt;=COUNTA(O:O)*2,IF(MOD(ROW(T464),2)=1,INDEX(O:O,(ROW(T464)+1)/2),INDEX(Q:Q,ROW(T464)/2)),"")</f>
        <v>116</v>
      </c>
      <c r="V464" s="22"/>
      <c r="W464" s="22"/>
      <c r="X464" s="22"/>
      <c r="Y464" s="22"/>
      <c r="Z464" s="22"/>
      <c r="AA464" s="22">
        <f t="array" ref="AA464">IF(ROW(AA464)&lt;=COUNTA(V:V)*2,IF(MOD(ROW(AA464),2)=1,INDEX(V:V,(ROW(AA464)+1)/2),INDEX(X:X,ROW(AA464)/2)),"")</f>
        <v>-535.8</v>
      </c>
      <c r="AB464" s="22">
        <f t="array" ref="AB464">IF(ROW(AB464)&lt;=COUNTA(W:W)*2,IF(MOD(ROW(AB464),2)=1,INDEX(W:W,(ROW(AB464)+1)/2),INDEX(Y:Y,ROW(AB464)/2)),"")</f>
        <v>122.660725</v>
      </c>
    </row>
    <row r="465" spans="1:28" s="2" customFormat="1" x14ac:dyDescent="0.25">
      <c r="A465" s="19"/>
      <c r="B465" s="20"/>
      <c r="C465" s="21"/>
      <c r="D465" s="22"/>
      <c r="F465" s="20"/>
      <c r="G465" s="20"/>
      <c r="H465" s="20"/>
      <c r="I465" s="20"/>
      <c r="J465" s="20"/>
      <c r="K465" s="34">
        <f t="array" ref="K465">IF(ROW(K465)&lt;=COUNTA(F:F)*2,IF(MOD(ROW(K465),2)=1,INDEX(F:F,(ROW(K465)+1)/2),INDEX(H:H,ROW(K465)/2)),"")</f>
        <v>-535.8</v>
      </c>
      <c r="L465" s="34">
        <f t="array" ref="L465">IF(ROW(L465)&lt;=COUNTA(G:G)*2,IF(MOD(ROW(L465),2)=1,INDEX(G:G,(ROW(L465)+1)/2),INDEX(I:I,ROW(L465)/2)),"")</f>
        <v>112.3</v>
      </c>
      <c r="N465" s="21"/>
      <c r="O465" s="21"/>
      <c r="P465" s="21"/>
      <c r="Q465" s="21"/>
      <c r="R465" s="21"/>
      <c r="S465" s="21">
        <f t="array" ref="S465">IF(ROW(S465)&lt;=COUNTA(N:N)*2,IF(MOD(ROW(S465),2)=1,INDEX(N:N,(ROW(S465)+1)/2),INDEX(P:P,ROW(S465)/2)),"")</f>
        <v>-535.8</v>
      </c>
      <c r="T465" s="21">
        <f t="array" ref="T465">IF(ROW(T465)&lt;=COUNTA(O:O)*2,IF(MOD(ROW(T465),2)=1,INDEX(O:O,(ROW(T465)+1)/2),INDEX(Q:Q,ROW(T465)/2)),"")</f>
        <v>120</v>
      </c>
      <c r="V465" s="22"/>
      <c r="W465" s="22"/>
      <c r="X465" s="22"/>
      <c r="Y465" s="22"/>
      <c r="Z465" s="22"/>
      <c r="AA465" s="22">
        <f t="array" ref="AA465">IF(ROW(AA465)&lt;=COUNTA(V:V)*2,IF(MOD(ROW(AA465),2)=1,INDEX(V:V,(ROW(AA465)+1)/2),INDEX(X:X,ROW(AA465)/2)),"")</f>
        <v>-535.8</v>
      </c>
      <c r="AB465" s="22">
        <f t="array" ref="AB465">IF(ROW(AB465)&lt;=COUNTA(W:W)*2,IF(MOD(ROW(AB465),2)=1,INDEX(W:W,(ROW(AB465)+1)/2),INDEX(Y:Y,ROW(AB465)/2)),"")</f>
        <v>122.660725</v>
      </c>
    </row>
    <row r="466" spans="1:28" s="2" customFormat="1" x14ac:dyDescent="0.25">
      <c r="A466" s="19"/>
      <c r="B466" s="20"/>
      <c r="C466" s="21"/>
      <c r="D466" s="22"/>
      <c r="F466" s="20"/>
      <c r="G466" s="20"/>
      <c r="H466" s="20"/>
      <c r="I466" s="20"/>
      <c r="J466" s="20"/>
      <c r="K466" s="34">
        <f t="array" ref="K466">IF(ROW(K466)&lt;=COUNTA(F:F)*2,IF(MOD(ROW(K466),2)=1,INDEX(F:F,(ROW(K466)+1)/2),INDEX(H:H,ROW(K466)/2)),"")</f>
        <v>-538.8</v>
      </c>
      <c r="L466" s="34">
        <f t="array" ref="L466">IF(ROW(L466)&lt;=COUNTA(G:G)*2,IF(MOD(ROW(L466),2)=1,INDEX(G:G,(ROW(L466)+1)/2),INDEX(I:I,ROW(L466)/2)),"")</f>
        <v>112.3</v>
      </c>
      <c r="N466" s="21"/>
      <c r="O466" s="21"/>
      <c r="P466" s="21"/>
      <c r="Q466" s="21"/>
      <c r="R466" s="21"/>
      <c r="S466" s="21">
        <f t="array" ref="S466">IF(ROW(S466)&lt;=COUNTA(N:N)*2,IF(MOD(ROW(S466),2)=1,INDEX(N:N,(ROW(S466)+1)/2),INDEX(P:P,ROW(S466)/2)),"")</f>
        <v>-538.8</v>
      </c>
      <c r="T466" s="21">
        <f t="array" ref="T466">IF(ROW(T466)&lt;=COUNTA(O:O)*2,IF(MOD(ROW(T466),2)=1,INDEX(O:O,(ROW(T466)+1)/2),INDEX(Q:Q,ROW(T466)/2)),"")</f>
        <v>120</v>
      </c>
      <c r="V466" s="22"/>
      <c r="W466" s="22"/>
      <c r="X466" s="22"/>
      <c r="Y466" s="22"/>
      <c r="Z466" s="22"/>
      <c r="AA466" s="22">
        <f t="array" ref="AA466">IF(ROW(AA466)&lt;=COUNTA(V:V)*2,IF(MOD(ROW(AA466),2)=1,INDEX(V:V,(ROW(AA466)+1)/2),INDEX(X:X,ROW(AA466)/2)),"")</f>
        <v>-538.8</v>
      </c>
      <c r="AB466" s="22">
        <f t="array" ref="AB466">IF(ROW(AB466)&lt;=COUNTA(W:W)*2,IF(MOD(ROW(AB466),2)=1,INDEX(W:W,(ROW(AB466)+1)/2),INDEX(Y:Y,ROW(AB466)/2)),"")</f>
        <v>122.660725</v>
      </c>
    </row>
    <row r="467" spans="1:28" s="2" customFormat="1" x14ac:dyDescent="0.25">
      <c r="A467" s="19"/>
      <c r="B467" s="20"/>
      <c r="C467" s="21"/>
      <c r="D467" s="22"/>
      <c r="F467" s="20"/>
      <c r="G467" s="20"/>
      <c r="H467" s="20"/>
      <c r="I467" s="20"/>
      <c r="J467" s="20"/>
      <c r="K467" s="34">
        <f t="array" ref="K467">IF(ROW(K467)&lt;=COUNTA(F:F)*2,IF(MOD(ROW(K467),2)=1,INDEX(F:F,(ROW(K467)+1)/2),INDEX(H:H,ROW(K467)/2)),"")</f>
        <v>-538.8</v>
      </c>
      <c r="L467" s="34">
        <f t="array" ref="L467">IF(ROW(L467)&lt;=COUNTA(G:G)*2,IF(MOD(ROW(L467),2)=1,INDEX(G:G,(ROW(L467)+1)/2),INDEX(I:I,ROW(L467)/2)),"")</f>
        <v>112.4</v>
      </c>
      <c r="N467" s="21"/>
      <c r="O467" s="21"/>
      <c r="P467" s="21"/>
      <c r="Q467" s="21"/>
      <c r="R467" s="21"/>
      <c r="S467" s="21">
        <f t="array" ref="S467">IF(ROW(S467)&lt;=COUNTA(N:N)*2,IF(MOD(ROW(S467),2)=1,INDEX(N:N,(ROW(S467)+1)/2),INDEX(P:P,ROW(S467)/2)),"")</f>
        <v>-538.8</v>
      </c>
      <c r="T467" s="21">
        <f t="array" ref="T467">IF(ROW(T467)&lt;=COUNTA(O:O)*2,IF(MOD(ROW(T467),2)=1,INDEX(O:O,(ROW(T467)+1)/2),INDEX(Q:Q,ROW(T467)/2)),"")</f>
        <v>118.2</v>
      </c>
      <c r="V467" s="22"/>
      <c r="W467" s="22"/>
      <c r="X467" s="22"/>
      <c r="Y467" s="22"/>
      <c r="Z467" s="22"/>
      <c r="AA467" s="22">
        <f t="array" ref="AA467">IF(ROW(AA467)&lt;=COUNTA(V:V)*2,IF(MOD(ROW(AA467),2)=1,INDEX(V:V,(ROW(AA467)+1)/2),INDEX(X:X,ROW(AA467)/2)),"")</f>
        <v>-538.8</v>
      </c>
      <c r="AB467" s="22">
        <f t="array" ref="AB467">IF(ROW(AB467)&lt;=COUNTA(W:W)*2,IF(MOD(ROW(AB467),2)=1,INDEX(W:W,(ROW(AB467)+1)/2),INDEX(Y:Y,ROW(AB467)/2)),"")</f>
        <v>122.6396</v>
      </c>
    </row>
    <row r="468" spans="1:28" s="2" customFormat="1" x14ac:dyDescent="0.25">
      <c r="A468" s="19"/>
      <c r="B468" s="20"/>
      <c r="C468" s="21"/>
      <c r="D468" s="22"/>
      <c r="F468" s="20"/>
      <c r="G468" s="20"/>
      <c r="H468" s="20"/>
      <c r="I468" s="20"/>
      <c r="J468" s="20"/>
      <c r="K468" s="34">
        <f t="array" ref="K468">IF(ROW(K468)&lt;=COUNTA(F:F)*2,IF(MOD(ROW(K468),2)=1,INDEX(F:F,(ROW(K468)+1)/2),INDEX(H:H,ROW(K468)/2)),"")</f>
        <v>-541.8</v>
      </c>
      <c r="L468" s="34">
        <f t="array" ref="L468">IF(ROW(L468)&lt;=COUNTA(G:G)*2,IF(MOD(ROW(L468),2)=1,INDEX(G:G,(ROW(L468)+1)/2),INDEX(I:I,ROW(L468)/2)),"")</f>
        <v>112.4</v>
      </c>
      <c r="N468" s="21"/>
      <c r="O468" s="21"/>
      <c r="P468" s="21"/>
      <c r="Q468" s="21"/>
      <c r="R468" s="21"/>
      <c r="S468" s="21">
        <f t="array" ref="S468">IF(ROW(S468)&lt;=COUNTA(N:N)*2,IF(MOD(ROW(S468),2)=1,INDEX(N:N,(ROW(S468)+1)/2),INDEX(P:P,ROW(S468)/2)),"")</f>
        <v>-541.8</v>
      </c>
      <c r="T468" s="21">
        <f t="array" ref="T468">IF(ROW(T468)&lt;=COUNTA(O:O)*2,IF(MOD(ROW(T468),2)=1,INDEX(O:O,(ROW(T468)+1)/2),INDEX(Q:Q,ROW(T468)/2)),"")</f>
        <v>118.2</v>
      </c>
      <c r="V468" s="22"/>
      <c r="W468" s="22"/>
      <c r="X468" s="22"/>
      <c r="Y468" s="22"/>
      <c r="Z468" s="22"/>
      <c r="AA468" s="22">
        <f t="array" ref="AA468">IF(ROW(AA468)&lt;=COUNTA(V:V)*2,IF(MOD(ROW(AA468),2)=1,INDEX(V:V,(ROW(AA468)+1)/2),INDEX(X:X,ROW(AA468)/2)),"")</f>
        <v>-541.8</v>
      </c>
      <c r="AB468" s="22">
        <f t="array" ref="AB468">IF(ROW(AB468)&lt;=COUNTA(W:W)*2,IF(MOD(ROW(AB468),2)=1,INDEX(W:W,(ROW(AB468)+1)/2),INDEX(Y:Y,ROW(AB468)/2)),"")</f>
        <v>122.6396</v>
      </c>
    </row>
    <row r="469" spans="1:28" s="2" customFormat="1" x14ac:dyDescent="0.25">
      <c r="A469" s="19"/>
      <c r="B469" s="20"/>
      <c r="C469" s="21"/>
      <c r="D469" s="22"/>
      <c r="F469" s="20"/>
      <c r="G469" s="20"/>
      <c r="H469" s="20"/>
      <c r="I469" s="20"/>
      <c r="J469" s="20"/>
      <c r="K469" s="34">
        <f t="array" ref="K469">IF(ROW(K469)&lt;=COUNTA(F:F)*2,IF(MOD(ROW(K469),2)=1,INDEX(F:F,(ROW(K469)+1)/2),INDEX(H:H,ROW(K469)/2)),"")</f>
        <v>-541.8</v>
      </c>
      <c r="L469" s="34">
        <f t="array" ref="L469">IF(ROW(L469)&lt;=COUNTA(G:G)*2,IF(MOD(ROW(L469),2)=1,INDEX(G:G,(ROW(L469)+1)/2),INDEX(I:I,ROW(L469)/2)),"")</f>
        <v>112.3</v>
      </c>
      <c r="N469" s="21"/>
      <c r="O469" s="21"/>
      <c r="P469" s="21"/>
      <c r="Q469" s="21"/>
      <c r="R469" s="21"/>
      <c r="S469" s="21">
        <f t="array" ref="S469">IF(ROW(S469)&lt;=COUNTA(N:N)*2,IF(MOD(ROW(S469),2)=1,INDEX(N:N,(ROW(S469)+1)/2),INDEX(P:P,ROW(S469)/2)),"")</f>
        <v>-541.8</v>
      </c>
      <c r="T469" s="21">
        <f t="array" ref="T469">IF(ROW(T469)&lt;=COUNTA(O:O)*2,IF(MOD(ROW(T469),2)=1,INDEX(O:O,(ROW(T469)+1)/2),INDEX(Q:Q,ROW(T469)/2)),"")</f>
        <v>115</v>
      </c>
      <c r="V469" s="22"/>
      <c r="W469" s="22"/>
      <c r="X469" s="22"/>
      <c r="Y469" s="22"/>
      <c r="Z469" s="22"/>
      <c r="AA469" s="22">
        <f t="array" ref="AA469">IF(ROW(AA469)&lt;=COUNTA(V:V)*2,IF(MOD(ROW(AA469),2)=1,INDEX(V:V,(ROW(AA469)+1)/2),INDEX(X:X,ROW(AA469)/2)),"")</f>
        <v>-541.8</v>
      </c>
      <c r="AB469" s="22">
        <f t="array" ref="AB469">IF(ROW(AB469)&lt;=COUNTA(W:W)*2,IF(MOD(ROW(AB469),2)=1,INDEX(W:W,(ROW(AB469)+1)/2),INDEX(Y:Y,ROW(AB469)/2)),"")</f>
        <v>122.6471</v>
      </c>
    </row>
    <row r="470" spans="1:28" s="2" customFormat="1" x14ac:dyDescent="0.25">
      <c r="A470" s="19"/>
      <c r="B470" s="20"/>
      <c r="C470" s="21"/>
      <c r="D470" s="22"/>
      <c r="F470" s="20"/>
      <c r="G470" s="20"/>
      <c r="H470" s="20"/>
      <c r="I470" s="20"/>
      <c r="J470" s="20"/>
      <c r="K470" s="34">
        <f t="array" ref="K470">IF(ROW(K470)&lt;=COUNTA(F:F)*2,IF(MOD(ROW(K470),2)=1,INDEX(F:F,(ROW(K470)+1)/2),INDEX(H:H,ROW(K470)/2)),"")</f>
        <v>-544.8</v>
      </c>
      <c r="L470" s="34">
        <f t="array" ref="L470">IF(ROW(L470)&lt;=COUNTA(G:G)*2,IF(MOD(ROW(L470),2)=1,INDEX(G:G,(ROW(L470)+1)/2),INDEX(I:I,ROW(L470)/2)),"")</f>
        <v>112.3</v>
      </c>
      <c r="N470" s="21"/>
      <c r="O470" s="21"/>
      <c r="P470" s="21"/>
      <c r="Q470" s="21"/>
      <c r="R470" s="21"/>
      <c r="S470" s="21">
        <f t="array" ref="S470">IF(ROW(S470)&lt;=COUNTA(N:N)*2,IF(MOD(ROW(S470),2)=1,INDEX(N:N,(ROW(S470)+1)/2),INDEX(P:P,ROW(S470)/2)),"")</f>
        <v>-544.8</v>
      </c>
      <c r="T470" s="21">
        <f t="array" ref="T470">IF(ROW(T470)&lt;=COUNTA(O:O)*2,IF(MOD(ROW(T470),2)=1,INDEX(O:O,(ROW(T470)+1)/2),INDEX(Q:Q,ROW(T470)/2)),"")</f>
        <v>115</v>
      </c>
      <c r="V470" s="22"/>
      <c r="W470" s="22"/>
      <c r="X470" s="22"/>
      <c r="Y470" s="22"/>
      <c r="Z470" s="22"/>
      <c r="AA470" s="22">
        <f t="array" ref="AA470">IF(ROW(AA470)&lt;=COUNTA(V:V)*2,IF(MOD(ROW(AA470),2)=1,INDEX(V:V,(ROW(AA470)+1)/2),INDEX(X:X,ROW(AA470)/2)),"")</f>
        <v>-544.8</v>
      </c>
      <c r="AB470" s="22">
        <f t="array" ref="AB470">IF(ROW(AB470)&lt;=COUNTA(W:W)*2,IF(MOD(ROW(AB470),2)=1,INDEX(W:W,(ROW(AB470)+1)/2),INDEX(Y:Y,ROW(AB470)/2)),"")</f>
        <v>122.6471</v>
      </c>
    </row>
    <row r="471" spans="1:28" s="2" customFormat="1" x14ac:dyDescent="0.25">
      <c r="A471" s="19"/>
      <c r="B471" s="20"/>
      <c r="C471" s="21"/>
      <c r="D471" s="22"/>
      <c r="F471" s="20"/>
      <c r="G471" s="20"/>
      <c r="H471" s="20"/>
      <c r="I471" s="20"/>
      <c r="J471" s="20"/>
      <c r="K471" s="34">
        <f t="array" ref="K471">IF(ROW(K471)&lt;=COUNTA(F:F)*2,IF(MOD(ROW(K471),2)=1,INDEX(F:F,(ROW(K471)+1)/2),INDEX(H:H,ROW(K471)/2)),"")</f>
        <v>-544.8</v>
      </c>
      <c r="L471" s="34">
        <f t="array" ref="L471">IF(ROW(L471)&lt;=COUNTA(G:G)*2,IF(MOD(ROW(L471),2)=1,INDEX(G:G,(ROW(L471)+1)/2),INDEX(I:I,ROW(L471)/2)),"")</f>
        <v>112.1</v>
      </c>
      <c r="N471" s="21"/>
      <c r="O471" s="21"/>
      <c r="P471" s="21"/>
      <c r="Q471" s="21"/>
      <c r="R471" s="21"/>
      <c r="S471" s="21">
        <f t="array" ref="S471">IF(ROW(S471)&lt;=COUNTA(N:N)*2,IF(MOD(ROW(S471),2)=1,INDEX(N:N,(ROW(S471)+1)/2),INDEX(P:P,ROW(S471)/2)),"")</f>
        <v>-544.8</v>
      </c>
      <c r="T471" s="21">
        <f t="array" ref="T471">IF(ROW(T471)&lt;=COUNTA(O:O)*2,IF(MOD(ROW(T471),2)=1,INDEX(O:O,(ROW(T471)+1)/2),INDEX(Q:Q,ROW(T471)/2)),"")</f>
        <v>118.9</v>
      </c>
      <c r="V471" s="22"/>
      <c r="W471" s="22"/>
      <c r="X471" s="22"/>
      <c r="Y471" s="22"/>
      <c r="Z471" s="22"/>
      <c r="AA471" s="22">
        <f t="array" ref="AA471">IF(ROW(AA471)&lt;=COUNTA(V:V)*2,IF(MOD(ROW(AA471),2)=1,INDEX(V:V,(ROW(AA471)+1)/2),INDEX(X:X,ROW(AA471)/2)),"")</f>
        <v>-544.8</v>
      </c>
      <c r="AB471" s="22">
        <f t="array" ref="AB471">IF(ROW(AB471)&lt;=COUNTA(W:W)*2,IF(MOD(ROW(AB471),2)=1,INDEX(W:W,(ROW(AB471)+1)/2),INDEX(Y:Y,ROW(AB471)/2)),"")</f>
        <v>122.742225</v>
      </c>
    </row>
    <row r="472" spans="1:28" s="2" customFormat="1" x14ac:dyDescent="0.25">
      <c r="A472" s="19"/>
      <c r="B472" s="20"/>
      <c r="C472" s="21"/>
      <c r="D472" s="22"/>
      <c r="F472" s="20"/>
      <c r="G472" s="20"/>
      <c r="H472" s="20"/>
      <c r="I472" s="20"/>
      <c r="J472" s="20"/>
      <c r="K472" s="34">
        <f t="array" ref="K472">IF(ROW(K472)&lt;=COUNTA(F:F)*2,IF(MOD(ROW(K472),2)=1,INDEX(F:F,(ROW(K472)+1)/2),INDEX(H:H,ROW(K472)/2)),"")</f>
        <v>-547.8</v>
      </c>
      <c r="L472" s="34">
        <f t="array" ref="L472">IF(ROW(L472)&lt;=COUNTA(G:G)*2,IF(MOD(ROW(L472),2)=1,INDEX(G:G,(ROW(L472)+1)/2),INDEX(I:I,ROW(L472)/2)),"")</f>
        <v>112.1</v>
      </c>
      <c r="N472" s="21"/>
      <c r="O472" s="21"/>
      <c r="P472" s="21"/>
      <c r="Q472" s="21"/>
      <c r="R472" s="21"/>
      <c r="S472" s="21">
        <f t="array" ref="S472">IF(ROW(S472)&lt;=COUNTA(N:N)*2,IF(MOD(ROW(S472),2)=1,INDEX(N:N,(ROW(S472)+1)/2),INDEX(P:P,ROW(S472)/2)),"")</f>
        <v>-547.8</v>
      </c>
      <c r="T472" s="21">
        <f t="array" ref="T472">IF(ROW(T472)&lt;=COUNTA(O:O)*2,IF(MOD(ROW(T472),2)=1,INDEX(O:O,(ROW(T472)+1)/2),INDEX(Q:Q,ROW(T472)/2)),"")</f>
        <v>118.9</v>
      </c>
      <c r="V472" s="22"/>
      <c r="W472" s="22"/>
      <c r="X472" s="22"/>
      <c r="Y472" s="22"/>
      <c r="Z472" s="22"/>
      <c r="AA472" s="22">
        <f t="array" ref="AA472">IF(ROW(AA472)&lt;=COUNTA(V:V)*2,IF(MOD(ROW(AA472),2)=1,INDEX(V:V,(ROW(AA472)+1)/2),INDEX(X:X,ROW(AA472)/2)),"")</f>
        <v>-547.8</v>
      </c>
      <c r="AB472" s="22">
        <f t="array" ref="AB472">IF(ROW(AB472)&lt;=COUNTA(W:W)*2,IF(MOD(ROW(AB472),2)=1,INDEX(W:W,(ROW(AB472)+1)/2),INDEX(Y:Y,ROW(AB472)/2)),"")</f>
        <v>122.742225</v>
      </c>
    </row>
    <row r="473" spans="1:28" s="2" customFormat="1" x14ac:dyDescent="0.25">
      <c r="A473" s="19"/>
      <c r="B473" s="20"/>
      <c r="C473" s="21"/>
      <c r="D473" s="22"/>
      <c r="F473" s="20"/>
      <c r="G473" s="20"/>
      <c r="H473" s="20"/>
      <c r="I473" s="20"/>
      <c r="J473" s="20"/>
      <c r="K473" s="34">
        <f t="array" ref="K473">IF(ROW(K473)&lt;=COUNTA(F:F)*2,IF(MOD(ROW(K473),2)=1,INDEX(F:F,(ROW(K473)+1)/2),INDEX(H:H,ROW(K473)/2)),"")</f>
        <v>-547.8</v>
      </c>
      <c r="L473" s="34">
        <f t="array" ref="L473">IF(ROW(L473)&lt;=COUNTA(G:G)*2,IF(MOD(ROW(L473),2)=1,INDEX(G:G,(ROW(L473)+1)/2),INDEX(I:I,ROW(L473)/2)),"")</f>
        <v>111.7</v>
      </c>
      <c r="N473" s="21"/>
      <c r="O473" s="21"/>
      <c r="P473" s="21"/>
      <c r="Q473" s="21"/>
      <c r="R473" s="21"/>
      <c r="S473" s="21">
        <f t="array" ref="S473">IF(ROW(S473)&lt;=COUNTA(N:N)*2,IF(MOD(ROW(S473),2)=1,INDEX(N:N,(ROW(S473)+1)/2),INDEX(P:P,ROW(S473)/2)),"")</f>
        <v>-547.8</v>
      </c>
      <c r="T473" s="21">
        <f t="array" ref="T473">IF(ROW(T473)&lt;=COUNTA(O:O)*2,IF(MOD(ROW(T473),2)=1,INDEX(O:O,(ROW(T473)+1)/2),INDEX(Q:Q,ROW(T473)/2)),"")</f>
        <v>115.6</v>
      </c>
      <c r="V473" s="22"/>
      <c r="W473" s="22"/>
      <c r="X473" s="22"/>
      <c r="Y473" s="22"/>
      <c r="Z473" s="22"/>
      <c r="AA473" s="22">
        <f t="array" ref="AA473">IF(ROW(AA473)&lt;=COUNTA(V:V)*2,IF(MOD(ROW(AA473),2)=1,INDEX(V:V,(ROW(AA473)+1)/2),INDEX(X:X,ROW(AA473)/2)),"")</f>
        <v>-547.8</v>
      </c>
      <c r="AB473" s="22">
        <f t="array" ref="AB473">IF(ROW(AB473)&lt;=COUNTA(W:W)*2,IF(MOD(ROW(AB473),2)=1,INDEX(W:W,(ROW(AB473)+1)/2),INDEX(Y:Y,ROW(AB473)/2)),"")</f>
        <v>122.6497</v>
      </c>
    </row>
    <row r="474" spans="1:28" s="2" customFormat="1" x14ac:dyDescent="0.25">
      <c r="A474" s="19"/>
      <c r="B474" s="20"/>
      <c r="C474" s="21"/>
      <c r="D474" s="22"/>
      <c r="F474" s="20"/>
      <c r="G474" s="20"/>
      <c r="H474" s="20"/>
      <c r="I474" s="20"/>
      <c r="J474" s="20"/>
      <c r="K474" s="34">
        <f t="array" ref="K474">IF(ROW(K474)&lt;=COUNTA(F:F)*2,IF(MOD(ROW(K474),2)=1,INDEX(F:F,(ROW(K474)+1)/2),INDEX(H:H,ROW(K474)/2)),"")</f>
        <v>-550.8</v>
      </c>
      <c r="L474" s="34">
        <f t="array" ref="L474">IF(ROW(L474)&lt;=COUNTA(G:G)*2,IF(MOD(ROW(L474),2)=1,INDEX(G:G,(ROW(L474)+1)/2),INDEX(I:I,ROW(L474)/2)),"")</f>
        <v>111.7</v>
      </c>
      <c r="N474" s="21"/>
      <c r="O474" s="21"/>
      <c r="P474" s="21"/>
      <c r="Q474" s="21"/>
      <c r="R474" s="21"/>
      <c r="S474" s="21">
        <f t="array" ref="S474">IF(ROW(S474)&lt;=COUNTA(N:N)*2,IF(MOD(ROW(S474),2)=1,INDEX(N:N,(ROW(S474)+1)/2),INDEX(P:P,ROW(S474)/2)),"")</f>
        <v>-550.8</v>
      </c>
      <c r="T474" s="21">
        <f t="array" ref="T474">IF(ROW(T474)&lt;=COUNTA(O:O)*2,IF(MOD(ROW(T474),2)=1,INDEX(O:O,(ROW(T474)+1)/2),INDEX(Q:Q,ROW(T474)/2)),"")</f>
        <v>115.6</v>
      </c>
      <c r="V474" s="22"/>
      <c r="W474" s="22"/>
      <c r="X474" s="22"/>
      <c r="Y474" s="22"/>
      <c r="Z474" s="22"/>
      <c r="AA474" s="22">
        <f t="array" ref="AA474">IF(ROW(AA474)&lt;=COUNTA(V:V)*2,IF(MOD(ROW(AA474),2)=1,INDEX(V:V,(ROW(AA474)+1)/2),INDEX(X:X,ROW(AA474)/2)),"")</f>
        <v>-550.8</v>
      </c>
      <c r="AB474" s="22">
        <f t="array" ref="AB474">IF(ROW(AB474)&lt;=COUNTA(W:W)*2,IF(MOD(ROW(AB474),2)=1,INDEX(W:W,(ROW(AB474)+1)/2),INDEX(Y:Y,ROW(AB474)/2)),"")</f>
        <v>122.6497</v>
      </c>
    </row>
    <row r="475" spans="1:28" s="2" customFormat="1" x14ac:dyDescent="0.25">
      <c r="A475" s="19"/>
      <c r="B475" s="20"/>
      <c r="C475" s="21"/>
      <c r="D475" s="22"/>
      <c r="F475" s="20"/>
      <c r="G475" s="20"/>
      <c r="H475" s="20"/>
      <c r="I475" s="20"/>
      <c r="J475" s="20"/>
      <c r="K475" s="34">
        <f t="array" ref="K475">IF(ROW(K475)&lt;=COUNTA(F:F)*2,IF(MOD(ROW(K475),2)=1,INDEX(F:F,(ROW(K475)+1)/2),INDEX(H:H,ROW(K475)/2)),"")</f>
        <v>-550.8</v>
      </c>
      <c r="L475" s="34">
        <f t="array" ref="L475">IF(ROW(L475)&lt;=COUNTA(G:G)*2,IF(MOD(ROW(L475),2)=1,INDEX(G:G,(ROW(L475)+1)/2),INDEX(I:I,ROW(L475)/2)),"")</f>
        <v>112.2</v>
      </c>
      <c r="N475" s="21"/>
      <c r="O475" s="21"/>
      <c r="P475" s="21"/>
      <c r="Q475" s="21"/>
      <c r="R475" s="21"/>
      <c r="S475" s="21">
        <f t="array" ref="S475">IF(ROW(S475)&lt;=COUNTA(N:N)*2,IF(MOD(ROW(S475),2)=1,INDEX(N:N,(ROW(S475)+1)/2),INDEX(P:P,ROW(S475)/2)),"")</f>
        <v>-550.8</v>
      </c>
      <c r="T475" s="21">
        <f t="array" ref="T475">IF(ROW(T475)&lt;=COUNTA(O:O)*2,IF(MOD(ROW(T475),2)=1,INDEX(O:O,(ROW(T475)+1)/2),INDEX(Q:Q,ROW(T475)/2)),"")</f>
        <v>120.6</v>
      </c>
      <c r="V475" s="22"/>
      <c r="W475" s="22"/>
      <c r="X475" s="22"/>
      <c r="Y475" s="22"/>
      <c r="Z475" s="22"/>
      <c r="AA475" s="22">
        <f t="array" ref="AA475">IF(ROW(AA475)&lt;=COUNTA(V:V)*2,IF(MOD(ROW(AA475),2)=1,INDEX(V:V,(ROW(AA475)+1)/2),INDEX(X:X,ROW(AA475)/2)),"")</f>
        <v>-550.8</v>
      </c>
      <c r="AB475" s="22">
        <f t="array" ref="AB475">IF(ROW(AB475)&lt;=COUNTA(W:W)*2,IF(MOD(ROW(AB475),2)=1,INDEX(W:W,(ROW(AB475)+1)/2),INDEX(Y:Y,ROW(AB475)/2)),"")</f>
        <v>122.654875</v>
      </c>
    </row>
    <row r="476" spans="1:28" s="2" customFormat="1" x14ac:dyDescent="0.25">
      <c r="A476" s="19"/>
      <c r="B476" s="20"/>
      <c r="C476" s="21"/>
      <c r="D476" s="22"/>
      <c r="F476" s="20"/>
      <c r="G476" s="20"/>
      <c r="H476" s="20"/>
      <c r="I476" s="20"/>
      <c r="J476" s="20"/>
      <c r="K476" s="34">
        <f t="array" ref="K476">IF(ROW(K476)&lt;=COUNTA(F:F)*2,IF(MOD(ROW(K476),2)=1,INDEX(F:F,(ROW(K476)+1)/2),INDEX(H:H,ROW(K476)/2)),"")</f>
        <v>-553.8</v>
      </c>
      <c r="L476" s="34">
        <f t="array" ref="L476">IF(ROW(L476)&lt;=COUNTA(G:G)*2,IF(MOD(ROW(L476),2)=1,INDEX(G:G,(ROW(L476)+1)/2),INDEX(I:I,ROW(L476)/2)),"")</f>
        <v>112.2</v>
      </c>
      <c r="N476" s="21"/>
      <c r="O476" s="21"/>
      <c r="P476" s="21"/>
      <c r="Q476" s="21"/>
      <c r="R476" s="21"/>
      <c r="S476" s="21">
        <f t="array" ref="S476">IF(ROW(S476)&lt;=COUNTA(N:N)*2,IF(MOD(ROW(S476),2)=1,INDEX(N:N,(ROW(S476)+1)/2),INDEX(P:P,ROW(S476)/2)),"")</f>
        <v>-553.8</v>
      </c>
      <c r="T476" s="21">
        <f t="array" ref="T476">IF(ROW(T476)&lt;=COUNTA(O:O)*2,IF(MOD(ROW(T476),2)=1,INDEX(O:O,(ROW(T476)+1)/2),INDEX(Q:Q,ROW(T476)/2)),"")</f>
        <v>120.6</v>
      </c>
      <c r="V476" s="22"/>
      <c r="W476" s="22"/>
      <c r="X476" s="22"/>
      <c r="Y476" s="22"/>
      <c r="Z476" s="22"/>
      <c r="AA476" s="22">
        <f t="array" ref="AA476">IF(ROW(AA476)&lt;=COUNTA(V:V)*2,IF(MOD(ROW(AA476),2)=1,INDEX(V:V,(ROW(AA476)+1)/2),INDEX(X:X,ROW(AA476)/2)),"")</f>
        <v>-553.8</v>
      </c>
      <c r="AB476" s="22">
        <f t="array" ref="AB476">IF(ROW(AB476)&lt;=COUNTA(W:W)*2,IF(MOD(ROW(AB476),2)=1,INDEX(W:W,(ROW(AB476)+1)/2),INDEX(Y:Y,ROW(AB476)/2)),"")</f>
        <v>122.654875</v>
      </c>
    </row>
    <row r="477" spans="1:28" s="2" customFormat="1" x14ac:dyDescent="0.25">
      <c r="A477" s="19"/>
      <c r="B477" s="20"/>
      <c r="C477" s="21"/>
      <c r="D477" s="22"/>
      <c r="F477" s="20"/>
      <c r="G477" s="20"/>
      <c r="H477" s="20"/>
      <c r="I477" s="20"/>
      <c r="J477" s="20"/>
      <c r="K477" s="34">
        <f t="array" ref="K477">IF(ROW(K477)&lt;=COUNTA(F:F)*2,IF(MOD(ROW(K477),2)=1,INDEX(F:F,(ROW(K477)+1)/2),INDEX(H:H,ROW(K477)/2)),"")</f>
        <v>-553.8</v>
      </c>
      <c r="L477" s="34">
        <f t="array" ref="L477">IF(ROW(L477)&lt;=COUNTA(G:G)*2,IF(MOD(ROW(L477),2)=1,INDEX(G:G,(ROW(L477)+1)/2),INDEX(I:I,ROW(L477)/2)),"")</f>
        <v>112.3</v>
      </c>
      <c r="N477" s="21"/>
      <c r="O477" s="21"/>
      <c r="P477" s="21"/>
      <c r="Q477" s="21"/>
      <c r="R477" s="21"/>
      <c r="S477" s="21">
        <f t="array" ref="S477">IF(ROW(S477)&lt;=COUNTA(N:N)*2,IF(MOD(ROW(S477),2)=1,INDEX(N:N,(ROW(S477)+1)/2),INDEX(P:P,ROW(S477)/2)),"")</f>
        <v>-553.8</v>
      </c>
      <c r="T477" s="21">
        <f t="array" ref="T477">IF(ROW(T477)&lt;=COUNTA(O:O)*2,IF(MOD(ROW(T477),2)=1,INDEX(O:O,(ROW(T477)+1)/2),INDEX(Q:Q,ROW(T477)/2)),"")</f>
        <v>119.6</v>
      </c>
      <c r="V477" s="22"/>
      <c r="W477" s="22"/>
      <c r="X477" s="22"/>
      <c r="Y477" s="22"/>
      <c r="Z477" s="22"/>
      <c r="AA477" s="22">
        <f t="array" ref="AA477">IF(ROW(AA477)&lt;=COUNTA(V:V)*2,IF(MOD(ROW(AA477),2)=1,INDEX(V:V,(ROW(AA477)+1)/2),INDEX(X:X,ROW(AA477)/2)),"")</f>
        <v>-553.8</v>
      </c>
      <c r="AB477" s="22">
        <f t="array" ref="AB477">IF(ROW(AB477)&lt;=COUNTA(W:W)*2,IF(MOD(ROW(AB477),2)=1,INDEX(W:W,(ROW(AB477)+1)/2),INDEX(Y:Y,ROW(AB477)/2)),"")</f>
        <v>122.64925</v>
      </c>
    </row>
    <row r="478" spans="1:28" s="2" customFormat="1" x14ac:dyDescent="0.25">
      <c r="A478" s="19"/>
      <c r="B478" s="20"/>
      <c r="C478" s="21"/>
      <c r="D478" s="22"/>
      <c r="F478" s="20"/>
      <c r="G478" s="20"/>
      <c r="H478" s="20"/>
      <c r="I478" s="20"/>
      <c r="J478" s="20"/>
      <c r="K478" s="34">
        <f t="array" ref="K478">IF(ROW(K478)&lt;=COUNTA(F:F)*2,IF(MOD(ROW(K478),2)=1,INDEX(F:F,(ROW(K478)+1)/2),INDEX(H:H,ROW(K478)/2)),"")</f>
        <v>-556.8</v>
      </c>
      <c r="L478" s="34">
        <f t="array" ref="L478">IF(ROW(L478)&lt;=COUNTA(G:G)*2,IF(MOD(ROW(L478),2)=1,INDEX(G:G,(ROW(L478)+1)/2),INDEX(I:I,ROW(L478)/2)),"")</f>
        <v>112.3</v>
      </c>
      <c r="N478" s="21"/>
      <c r="O478" s="21"/>
      <c r="P478" s="21"/>
      <c r="Q478" s="21"/>
      <c r="R478" s="21"/>
      <c r="S478" s="21">
        <f t="array" ref="S478">IF(ROW(S478)&lt;=COUNTA(N:N)*2,IF(MOD(ROW(S478),2)=1,INDEX(N:N,(ROW(S478)+1)/2),INDEX(P:P,ROW(S478)/2)),"")</f>
        <v>-556.8</v>
      </c>
      <c r="T478" s="21">
        <f t="array" ref="T478">IF(ROW(T478)&lt;=COUNTA(O:O)*2,IF(MOD(ROW(T478),2)=1,INDEX(O:O,(ROW(T478)+1)/2),INDEX(Q:Q,ROW(T478)/2)),"")</f>
        <v>119.6</v>
      </c>
      <c r="V478" s="22"/>
      <c r="W478" s="22"/>
      <c r="X478" s="22"/>
      <c r="Y478" s="22"/>
      <c r="Z478" s="22"/>
      <c r="AA478" s="22">
        <f t="array" ref="AA478">IF(ROW(AA478)&lt;=COUNTA(V:V)*2,IF(MOD(ROW(AA478),2)=1,INDEX(V:V,(ROW(AA478)+1)/2),INDEX(X:X,ROW(AA478)/2)),"")</f>
        <v>-556.8</v>
      </c>
      <c r="AB478" s="22">
        <f t="array" ref="AB478">IF(ROW(AB478)&lt;=COUNTA(W:W)*2,IF(MOD(ROW(AB478),2)=1,INDEX(W:W,(ROW(AB478)+1)/2),INDEX(Y:Y,ROW(AB478)/2)),"")</f>
        <v>122.64925</v>
      </c>
    </row>
    <row r="479" spans="1:28" s="2" customFormat="1" x14ac:dyDescent="0.25">
      <c r="A479" s="19"/>
      <c r="B479" s="20"/>
      <c r="C479" s="21"/>
      <c r="D479" s="22"/>
      <c r="F479" s="20"/>
      <c r="G479" s="20"/>
      <c r="H479" s="20"/>
      <c r="I479" s="20"/>
      <c r="J479" s="20"/>
      <c r="K479" s="34">
        <f t="array" ref="K479">IF(ROW(K479)&lt;=COUNTA(F:F)*2,IF(MOD(ROW(K479),2)=1,INDEX(F:F,(ROW(K479)+1)/2),INDEX(H:H,ROW(K479)/2)),"")</f>
        <v>-556.8</v>
      </c>
      <c r="L479" s="34">
        <f t="array" ref="L479">IF(ROW(L479)&lt;=COUNTA(G:G)*2,IF(MOD(ROW(L479),2)=1,INDEX(G:G,(ROW(L479)+1)/2),INDEX(I:I,ROW(L479)/2)),"")</f>
        <v>112.4</v>
      </c>
      <c r="N479" s="21"/>
      <c r="O479" s="21"/>
      <c r="P479" s="21"/>
      <c r="Q479" s="21"/>
      <c r="R479" s="21"/>
      <c r="S479" s="21">
        <f t="array" ref="S479">IF(ROW(S479)&lt;=COUNTA(N:N)*2,IF(MOD(ROW(S479),2)=1,INDEX(N:N,(ROW(S479)+1)/2),INDEX(P:P,ROW(S479)/2)),"")</f>
        <v>-556.8</v>
      </c>
      <c r="T479" s="21">
        <f t="array" ref="T479">IF(ROW(T479)&lt;=COUNTA(O:O)*2,IF(MOD(ROW(T479),2)=1,INDEX(O:O,(ROW(T479)+1)/2),INDEX(Q:Q,ROW(T479)/2)),"")</f>
        <v>121.1</v>
      </c>
      <c r="V479" s="22"/>
      <c r="W479" s="22"/>
      <c r="X479" s="22"/>
      <c r="Y479" s="22"/>
      <c r="Z479" s="22"/>
      <c r="AA479" s="22">
        <f t="array" ref="AA479">IF(ROW(AA479)&lt;=COUNTA(V:V)*2,IF(MOD(ROW(AA479),2)=1,INDEX(V:V,(ROW(AA479)+1)/2),INDEX(X:X,ROW(AA479)/2)),"")</f>
        <v>-556.8</v>
      </c>
      <c r="AB479" s="22">
        <f t="array" ref="AB479">IF(ROW(AB479)&lt;=COUNTA(W:W)*2,IF(MOD(ROW(AB479),2)=1,INDEX(W:W,(ROW(AB479)+1)/2),INDEX(Y:Y,ROW(AB479)/2)),"")</f>
        <v>122.6122</v>
      </c>
    </row>
    <row r="480" spans="1:28" s="2" customFormat="1" x14ac:dyDescent="0.25">
      <c r="A480" s="19"/>
      <c r="B480" s="20"/>
      <c r="C480" s="21"/>
      <c r="D480" s="22"/>
      <c r="F480" s="20"/>
      <c r="G480" s="20"/>
      <c r="H480" s="20"/>
      <c r="I480" s="20"/>
      <c r="J480" s="20"/>
      <c r="K480" s="34">
        <f t="array" ref="K480">IF(ROW(K480)&lt;=COUNTA(F:F)*2,IF(MOD(ROW(K480),2)=1,INDEX(F:F,(ROW(K480)+1)/2),INDEX(H:H,ROW(K480)/2)),"")</f>
        <v>-559.8</v>
      </c>
      <c r="L480" s="34">
        <f t="array" ref="L480">IF(ROW(L480)&lt;=COUNTA(G:G)*2,IF(MOD(ROW(L480),2)=1,INDEX(G:G,(ROW(L480)+1)/2),INDEX(I:I,ROW(L480)/2)),"")</f>
        <v>112.4</v>
      </c>
      <c r="N480" s="21"/>
      <c r="O480" s="21"/>
      <c r="P480" s="21"/>
      <c r="Q480" s="21"/>
      <c r="R480" s="21"/>
      <c r="S480" s="21">
        <f t="array" ref="S480">IF(ROW(S480)&lt;=COUNTA(N:N)*2,IF(MOD(ROW(S480),2)=1,INDEX(N:N,(ROW(S480)+1)/2),INDEX(P:P,ROW(S480)/2)),"")</f>
        <v>-559.8</v>
      </c>
      <c r="T480" s="21">
        <f t="array" ref="T480">IF(ROW(T480)&lt;=COUNTA(O:O)*2,IF(MOD(ROW(T480),2)=1,INDEX(O:O,(ROW(T480)+1)/2),INDEX(Q:Q,ROW(T480)/2)),"")</f>
        <v>121.1</v>
      </c>
      <c r="V480" s="22"/>
      <c r="W480" s="22"/>
      <c r="X480" s="22"/>
      <c r="Y480" s="22"/>
      <c r="Z480" s="22"/>
      <c r="AA480" s="22">
        <f t="array" ref="AA480">IF(ROW(AA480)&lt;=COUNTA(V:V)*2,IF(MOD(ROW(AA480),2)=1,INDEX(V:V,(ROW(AA480)+1)/2),INDEX(X:X,ROW(AA480)/2)),"")</f>
        <v>-559.8</v>
      </c>
      <c r="AB480" s="22">
        <f t="array" ref="AB480">IF(ROW(AB480)&lt;=COUNTA(W:W)*2,IF(MOD(ROW(AB480),2)=1,INDEX(W:W,(ROW(AB480)+1)/2),INDEX(Y:Y,ROW(AB480)/2)),"")</f>
        <v>122.6122</v>
      </c>
    </row>
    <row r="481" spans="1:28" s="2" customFormat="1" x14ac:dyDescent="0.25">
      <c r="A481" s="19"/>
      <c r="B481" s="20"/>
      <c r="C481" s="21"/>
      <c r="D481" s="22"/>
      <c r="F481" s="20"/>
      <c r="G481" s="20"/>
      <c r="H481" s="20"/>
      <c r="I481" s="20"/>
      <c r="J481" s="20"/>
      <c r="K481" s="34">
        <f t="array" ref="K481">IF(ROW(K481)&lt;=COUNTA(F:F)*2,IF(MOD(ROW(K481),2)=1,INDEX(F:F,(ROW(K481)+1)/2),INDEX(H:H,ROW(K481)/2)),"")</f>
        <v>-559.8</v>
      </c>
      <c r="L481" s="34">
        <f t="array" ref="L481">IF(ROW(L481)&lt;=COUNTA(G:G)*2,IF(MOD(ROW(L481),2)=1,INDEX(G:G,(ROW(L481)+1)/2),INDEX(I:I,ROW(L481)/2)),"")</f>
        <v>112.5</v>
      </c>
      <c r="N481" s="21"/>
      <c r="O481" s="21"/>
      <c r="P481" s="21"/>
      <c r="Q481" s="21"/>
      <c r="R481" s="21"/>
      <c r="S481" s="21">
        <f t="array" ref="S481">IF(ROW(S481)&lt;=COUNTA(N:N)*2,IF(MOD(ROW(S481),2)=1,INDEX(N:N,(ROW(S481)+1)/2),INDEX(P:P,ROW(S481)/2)),"")</f>
        <v>-559.8</v>
      </c>
      <c r="T481" s="21">
        <f t="array" ref="T481">IF(ROW(T481)&lt;=COUNTA(O:O)*2,IF(MOD(ROW(T481),2)=1,INDEX(O:O,(ROW(T481)+1)/2),INDEX(Q:Q,ROW(T481)/2)),"")</f>
        <v>120.6</v>
      </c>
      <c r="V481" s="22"/>
      <c r="W481" s="22"/>
      <c r="X481" s="22"/>
      <c r="Y481" s="22"/>
      <c r="Z481" s="22"/>
      <c r="AA481" s="22">
        <f t="array" ref="AA481">IF(ROW(AA481)&lt;=COUNTA(V:V)*2,IF(MOD(ROW(AA481),2)=1,INDEX(V:V,(ROW(AA481)+1)/2),INDEX(X:X,ROW(AA481)/2)),"")</f>
        <v>-559.8</v>
      </c>
      <c r="AB481" s="22">
        <f t="array" ref="AB481">IF(ROW(AB481)&lt;=COUNTA(W:W)*2,IF(MOD(ROW(AB481),2)=1,INDEX(W:W,(ROW(AB481)+1)/2),INDEX(Y:Y,ROW(AB481)/2)),"")</f>
        <v>122.693</v>
      </c>
    </row>
    <row r="482" spans="1:28" s="2" customFormat="1" x14ac:dyDescent="0.25">
      <c r="A482" s="19"/>
      <c r="B482" s="20"/>
      <c r="C482" s="21"/>
      <c r="D482" s="22"/>
      <c r="F482" s="20"/>
      <c r="G482" s="20"/>
      <c r="H482" s="20"/>
      <c r="I482" s="20"/>
      <c r="J482" s="20"/>
      <c r="K482" s="34">
        <f t="array" ref="K482">IF(ROW(K482)&lt;=COUNTA(F:F)*2,IF(MOD(ROW(K482),2)=1,INDEX(F:F,(ROW(K482)+1)/2),INDEX(H:H,ROW(K482)/2)),"")</f>
        <v>-562.8</v>
      </c>
      <c r="L482" s="34">
        <f t="array" ref="L482">IF(ROW(L482)&lt;=COUNTA(G:G)*2,IF(MOD(ROW(L482),2)=1,INDEX(G:G,(ROW(L482)+1)/2),INDEX(I:I,ROW(L482)/2)),"")</f>
        <v>112.5</v>
      </c>
      <c r="N482" s="21"/>
      <c r="O482" s="21"/>
      <c r="P482" s="21"/>
      <c r="Q482" s="21"/>
      <c r="R482" s="21"/>
      <c r="S482" s="21">
        <f t="array" ref="S482">IF(ROW(S482)&lt;=COUNTA(N:N)*2,IF(MOD(ROW(S482),2)=1,INDEX(N:N,(ROW(S482)+1)/2),INDEX(P:P,ROW(S482)/2)),"")</f>
        <v>-562.8</v>
      </c>
      <c r="T482" s="21">
        <f t="array" ref="T482">IF(ROW(T482)&lt;=COUNTA(O:O)*2,IF(MOD(ROW(T482),2)=1,INDEX(O:O,(ROW(T482)+1)/2),INDEX(Q:Q,ROW(T482)/2)),"")</f>
        <v>120.6</v>
      </c>
      <c r="V482" s="22"/>
      <c r="W482" s="22"/>
      <c r="X482" s="22"/>
      <c r="Y482" s="22"/>
      <c r="Z482" s="22"/>
      <c r="AA482" s="22">
        <f t="array" ref="AA482">IF(ROW(AA482)&lt;=COUNTA(V:V)*2,IF(MOD(ROW(AA482),2)=1,INDEX(V:V,(ROW(AA482)+1)/2),INDEX(X:X,ROW(AA482)/2)),"")</f>
        <v>-562.8</v>
      </c>
      <c r="AB482" s="22">
        <f t="array" ref="AB482">IF(ROW(AB482)&lt;=COUNTA(W:W)*2,IF(MOD(ROW(AB482),2)=1,INDEX(W:W,(ROW(AB482)+1)/2),INDEX(Y:Y,ROW(AB482)/2)),"")</f>
        <v>122.693</v>
      </c>
    </row>
    <row r="483" spans="1:28" s="2" customFormat="1" x14ac:dyDescent="0.25">
      <c r="A483" s="19"/>
      <c r="B483" s="20"/>
      <c r="C483" s="21"/>
      <c r="D483" s="22"/>
      <c r="F483" s="20"/>
      <c r="G483" s="20"/>
      <c r="H483" s="20"/>
      <c r="I483" s="20"/>
      <c r="J483" s="20"/>
      <c r="K483" s="34">
        <f t="array" ref="K483">IF(ROW(K483)&lt;=COUNTA(F:F)*2,IF(MOD(ROW(K483),2)=1,INDEX(F:F,(ROW(K483)+1)/2),INDEX(H:H,ROW(K483)/2)),"")</f>
        <v>-562.8</v>
      </c>
      <c r="L483" s="34">
        <f t="array" ref="L483">IF(ROW(L483)&lt;=COUNTA(G:G)*2,IF(MOD(ROW(L483),2)=1,INDEX(G:G,(ROW(L483)+1)/2),INDEX(I:I,ROW(L483)/2)),"")</f>
        <v>112.4</v>
      </c>
      <c r="N483" s="21"/>
      <c r="O483" s="21"/>
      <c r="P483" s="21"/>
      <c r="Q483" s="21"/>
      <c r="R483" s="21"/>
      <c r="S483" s="21">
        <f t="array" ref="S483">IF(ROW(S483)&lt;=COUNTA(N:N)*2,IF(MOD(ROW(S483),2)=1,INDEX(N:N,(ROW(S483)+1)/2),INDEX(P:P,ROW(S483)/2)),"")</f>
        <v>-562.8</v>
      </c>
      <c r="T483" s="21">
        <f t="array" ref="T483">IF(ROW(T483)&lt;=COUNTA(O:O)*2,IF(MOD(ROW(T483),2)=1,INDEX(O:O,(ROW(T483)+1)/2),INDEX(Q:Q,ROW(T483)/2)),"")</f>
        <v>115.8</v>
      </c>
      <c r="V483" s="22"/>
      <c r="W483" s="22"/>
      <c r="X483" s="22"/>
      <c r="Y483" s="22"/>
      <c r="Z483" s="22"/>
      <c r="AA483" s="22">
        <f t="array" ref="AA483">IF(ROW(AA483)&lt;=COUNTA(V:V)*2,IF(MOD(ROW(AA483),2)=1,INDEX(V:V,(ROW(AA483)+1)/2),INDEX(X:X,ROW(AA483)/2)),"")</f>
        <v>-562.8</v>
      </c>
      <c r="AB483" s="22">
        <f t="array" ref="AB483">IF(ROW(AB483)&lt;=COUNTA(W:W)*2,IF(MOD(ROW(AB483),2)=1,INDEX(W:W,(ROW(AB483)+1)/2),INDEX(Y:Y,ROW(AB483)/2)),"")</f>
        <v>122.750425</v>
      </c>
    </row>
    <row r="484" spans="1:28" s="2" customFormat="1" x14ac:dyDescent="0.25">
      <c r="A484" s="19"/>
      <c r="B484" s="20"/>
      <c r="C484" s="21"/>
      <c r="D484" s="22"/>
      <c r="F484" s="20"/>
      <c r="G484" s="20"/>
      <c r="H484" s="20"/>
      <c r="I484" s="20"/>
      <c r="J484" s="20"/>
      <c r="K484" s="34">
        <f t="array" ref="K484">IF(ROW(K484)&lt;=COUNTA(F:F)*2,IF(MOD(ROW(K484),2)=1,INDEX(F:F,(ROW(K484)+1)/2),INDEX(H:H,ROW(K484)/2)),"")</f>
        <v>-565.8</v>
      </c>
      <c r="L484" s="34">
        <f t="array" ref="L484">IF(ROW(L484)&lt;=COUNTA(G:G)*2,IF(MOD(ROW(L484),2)=1,INDEX(G:G,(ROW(L484)+1)/2),INDEX(I:I,ROW(L484)/2)),"")</f>
        <v>112.4</v>
      </c>
      <c r="N484" s="21"/>
      <c r="O484" s="21"/>
      <c r="P484" s="21"/>
      <c r="Q484" s="21"/>
      <c r="R484" s="21"/>
      <c r="S484" s="21">
        <f t="array" ref="S484">IF(ROW(S484)&lt;=COUNTA(N:N)*2,IF(MOD(ROW(S484),2)=1,INDEX(N:N,(ROW(S484)+1)/2),INDEX(P:P,ROW(S484)/2)),"")</f>
        <v>-565.8</v>
      </c>
      <c r="T484" s="21">
        <f t="array" ref="T484">IF(ROW(T484)&lt;=COUNTA(O:O)*2,IF(MOD(ROW(T484),2)=1,INDEX(O:O,(ROW(T484)+1)/2),INDEX(Q:Q,ROW(T484)/2)),"")</f>
        <v>115.8</v>
      </c>
      <c r="V484" s="22"/>
      <c r="W484" s="22"/>
      <c r="X484" s="22"/>
      <c r="Y484" s="22"/>
      <c r="Z484" s="22"/>
      <c r="AA484" s="22">
        <f t="array" ref="AA484">IF(ROW(AA484)&lt;=COUNTA(V:V)*2,IF(MOD(ROW(AA484),2)=1,INDEX(V:V,(ROW(AA484)+1)/2),INDEX(X:X,ROW(AA484)/2)),"")</f>
        <v>-565.8</v>
      </c>
      <c r="AB484" s="22">
        <f t="array" ref="AB484">IF(ROW(AB484)&lt;=COUNTA(W:W)*2,IF(MOD(ROW(AB484),2)=1,INDEX(W:W,(ROW(AB484)+1)/2),INDEX(Y:Y,ROW(AB484)/2)),"")</f>
        <v>122.750425</v>
      </c>
    </row>
    <row r="485" spans="1:28" s="2" customFormat="1" x14ac:dyDescent="0.25">
      <c r="A485" s="19"/>
      <c r="B485" s="20"/>
      <c r="C485" s="21"/>
      <c r="D485" s="22"/>
      <c r="F485" s="20"/>
      <c r="G485" s="20"/>
      <c r="H485" s="20"/>
      <c r="I485" s="20"/>
      <c r="J485" s="20"/>
      <c r="K485" s="34">
        <f t="array" ref="K485">IF(ROW(K485)&lt;=COUNTA(F:F)*2,IF(MOD(ROW(K485),2)=1,INDEX(F:F,(ROW(K485)+1)/2),INDEX(H:H,ROW(K485)/2)),"")</f>
        <v>-565.8</v>
      </c>
      <c r="L485" s="34">
        <f t="array" ref="L485">IF(ROW(L485)&lt;=COUNTA(G:G)*2,IF(MOD(ROW(L485),2)=1,INDEX(G:G,(ROW(L485)+1)/2),INDEX(I:I,ROW(L485)/2)),"")</f>
        <v>112.4</v>
      </c>
      <c r="N485" s="21"/>
      <c r="O485" s="21"/>
      <c r="P485" s="21"/>
      <c r="Q485" s="21"/>
      <c r="R485" s="21"/>
      <c r="S485" s="21">
        <f t="array" ref="S485">IF(ROW(S485)&lt;=COUNTA(N:N)*2,IF(MOD(ROW(S485),2)=1,INDEX(N:N,(ROW(S485)+1)/2),INDEX(P:P,ROW(S485)/2)),"")</f>
        <v>-565.8</v>
      </c>
      <c r="T485" s="21">
        <f t="array" ref="T485">IF(ROW(T485)&lt;=COUNTA(O:O)*2,IF(MOD(ROW(T485),2)=1,INDEX(O:O,(ROW(T485)+1)/2),INDEX(Q:Q,ROW(T485)/2)),"")</f>
        <v>121.2</v>
      </c>
      <c r="V485" s="22"/>
      <c r="W485" s="22"/>
      <c r="X485" s="22"/>
      <c r="Y485" s="22"/>
      <c r="Z485" s="22"/>
      <c r="AA485" s="22">
        <f t="array" ref="AA485">IF(ROW(AA485)&lt;=COUNTA(V:V)*2,IF(MOD(ROW(AA485),2)=1,INDEX(V:V,(ROW(AA485)+1)/2),INDEX(X:X,ROW(AA485)/2)),"")</f>
        <v>-565.8</v>
      </c>
      <c r="AB485" s="22">
        <f t="array" ref="AB485">IF(ROW(AB485)&lt;=COUNTA(W:W)*2,IF(MOD(ROW(AB485),2)=1,INDEX(W:W,(ROW(AB485)+1)/2),INDEX(Y:Y,ROW(AB485)/2)),"")</f>
        <v>122.779175</v>
      </c>
    </row>
    <row r="486" spans="1:28" s="2" customFormat="1" x14ac:dyDescent="0.25">
      <c r="A486" s="19"/>
      <c r="B486" s="20"/>
      <c r="C486" s="21"/>
      <c r="D486" s="22"/>
      <c r="F486" s="20"/>
      <c r="G486" s="20"/>
      <c r="H486" s="20"/>
      <c r="I486" s="20"/>
      <c r="J486" s="20"/>
      <c r="K486" s="34">
        <f t="array" ref="K486">IF(ROW(K486)&lt;=COUNTA(F:F)*2,IF(MOD(ROW(K486),2)=1,INDEX(F:F,(ROW(K486)+1)/2),INDEX(H:H,ROW(K486)/2)),"")</f>
        <v>-568.8</v>
      </c>
      <c r="L486" s="34">
        <f t="array" ref="L486">IF(ROW(L486)&lt;=COUNTA(G:G)*2,IF(MOD(ROW(L486),2)=1,INDEX(G:G,(ROW(L486)+1)/2),INDEX(I:I,ROW(L486)/2)),"")</f>
        <v>112.4</v>
      </c>
      <c r="N486" s="21"/>
      <c r="O486" s="21"/>
      <c r="P486" s="21"/>
      <c r="Q486" s="21"/>
      <c r="R486" s="21"/>
      <c r="S486" s="21">
        <f t="array" ref="S486">IF(ROW(S486)&lt;=COUNTA(N:N)*2,IF(MOD(ROW(S486),2)=1,INDEX(N:N,(ROW(S486)+1)/2),INDEX(P:P,ROW(S486)/2)),"")</f>
        <v>-568.8</v>
      </c>
      <c r="T486" s="21">
        <f t="array" ref="T486">IF(ROW(T486)&lt;=COUNTA(O:O)*2,IF(MOD(ROW(T486),2)=1,INDEX(O:O,(ROW(T486)+1)/2),INDEX(Q:Q,ROW(T486)/2)),"")</f>
        <v>121.2</v>
      </c>
      <c r="V486" s="22"/>
      <c r="W486" s="22"/>
      <c r="X486" s="22"/>
      <c r="Y486" s="22"/>
      <c r="Z486" s="22"/>
      <c r="AA486" s="22">
        <f t="array" ref="AA486">IF(ROW(AA486)&lt;=COUNTA(V:V)*2,IF(MOD(ROW(AA486),2)=1,INDEX(V:V,(ROW(AA486)+1)/2),INDEX(X:X,ROW(AA486)/2)),"")</f>
        <v>-568.8</v>
      </c>
      <c r="AB486" s="22">
        <f t="array" ref="AB486">IF(ROW(AB486)&lt;=COUNTA(W:W)*2,IF(MOD(ROW(AB486),2)=1,INDEX(W:W,(ROW(AB486)+1)/2),INDEX(Y:Y,ROW(AB486)/2)),"")</f>
        <v>122.779175</v>
      </c>
    </row>
    <row r="487" spans="1:28" s="2" customFormat="1" x14ac:dyDescent="0.25">
      <c r="A487" s="19"/>
      <c r="B487" s="20"/>
      <c r="C487" s="21"/>
      <c r="D487" s="22"/>
      <c r="F487" s="20"/>
      <c r="G487" s="20"/>
      <c r="H487" s="20"/>
      <c r="I487" s="20"/>
      <c r="J487" s="20"/>
      <c r="K487" s="34">
        <f t="array" ref="K487">IF(ROW(K487)&lt;=COUNTA(F:F)*2,IF(MOD(ROW(K487),2)=1,INDEX(F:F,(ROW(K487)+1)/2),INDEX(H:H,ROW(K487)/2)),"")</f>
        <v>-568.8</v>
      </c>
      <c r="L487" s="34">
        <f t="array" ref="L487">IF(ROW(L487)&lt;=COUNTA(G:G)*2,IF(MOD(ROW(L487),2)=1,INDEX(G:G,(ROW(L487)+1)/2),INDEX(I:I,ROW(L487)/2)),"")</f>
        <v>112.4</v>
      </c>
      <c r="N487" s="21"/>
      <c r="O487" s="21"/>
      <c r="P487" s="21"/>
      <c r="Q487" s="21"/>
      <c r="R487" s="21"/>
      <c r="S487" s="21">
        <f t="array" ref="S487">IF(ROW(S487)&lt;=COUNTA(N:N)*2,IF(MOD(ROW(S487),2)=1,INDEX(N:N,(ROW(S487)+1)/2),INDEX(P:P,ROW(S487)/2)),"")</f>
        <v>-568.8</v>
      </c>
      <c r="T487" s="21">
        <f t="array" ref="T487">IF(ROW(T487)&lt;=COUNTA(O:O)*2,IF(MOD(ROW(T487),2)=1,INDEX(O:O,(ROW(T487)+1)/2),INDEX(Q:Q,ROW(T487)/2)),"")</f>
        <v>119.3</v>
      </c>
      <c r="V487" s="22"/>
      <c r="W487" s="22"/>
      <c r="X487" s="22"/>
      <c r="Y487" s="22"/>
      <c r="Z487" s="22"/>
      <c r="AA487" s="22">
        <f t="array" ref="AA487">IF(ROW(AA487)&lt;=COUNTA(V:V)*2,IF(MOD(ROW(AA487),2)=1,INDEX(V:V,(ROW(AA487)+1)/2),INDEX(X:X,ROW(AA487)/2)),"")</f>
        <v>-568.8</v>
      </c>
      <c r="AB487" s="22">
        <f t="array" ref="AB487">IF(ROW(AB487)&lt;=COUNTA(W:W)*2,IF(MOD(ROW(AB487),2)=1,INDEX(W:W,(ROW(AB487)+1)/2),INDEX(Y:Y,ROW(AB487)/2)),"")</f>
        <v>122.7066</v>
      </c>
    </row>
    <row r="488" spans="1:28" s="2" customFormat="1" x14ac:dyDescent="0.25">
      <c r="A488" s="19"/>
      <c r="B488" s="20"/>
      <c r="C488" s="21"/>
      <c r="D488" s="22"/>
      <c r="F488" s="20"/>
      <c r="G488" s="20"/>
      <c r="H488" s="20"/>
      <c r="I488" s="20"/>
      <c r="J488" s="20"/>
      <c r="K488" s="34">
        <f t="array" ref="K488">IF(ROW(K488)&lt;=COUNTA(F:F)*2,IF(MOD(ROW(K488),2)=1,INDEX(F:F,(ROW(K488)+1)/2),INDEX(H:H,ROW(K488)/2)),"")</f>
        <v>-571.8</v>
      </c>
      <c r="L488" s="34">
        <f t="array" ref="L488">IF(ROW(L488)&lt;=COUNTA(G:G)*2,IF(MOD(ROW(L488),2)=1,INDEX(G:G,(ROW(L488)+1)/2),INDEX(I:I,ROW(L488)/2)),"")</f>
        <v>112.4</v>
      </c>
      <c r="N488" s="21"/>
      <c r="O488" s="21"/>
      <c r="P488" s="21"/>
      <c r="Q488" s="21"/>
      <c r="R488" s="21"/>
      <c r="S488" s="21">
        <f t="array" ref="S488">IF(ROW(S488)&lt;=COUNTA(N:N)*2,IF(MOD(ROW(S488),2)=1,INDEX(N:N,(ROW(S488)+1)/2),INDEX(P:P,ROW(S488)/2)),"")</f>
        <v>-571.8</v>
      </c>
      <c r="T488" s="21">
        <f t="array" ref="T488">IF(ROW(T488)&lt;=COUNTA(O:O)*2,IF(MOD(ROW(T488),2)=1,INDEX(O:O,(ROW(T488)+1)/2),INDEX(Q:Q,ROW(T488)/2)),"")</f>
        <v>119.3</v>
      </c>
      <c r="V488" s="22"/>
      <c r="W488" s="22"/>
      <c r="X488" s="22"/>
      <c r="Y488" s="22"/>
      <c r="Z488" s="22"/>
      <c r="AA488" s="22">
        <f t="array" ref="AA488">IF(ROW(AA488)&lt;=COUNTA(V:V)*2,IF(MOD(ROW(AA488),2)=1,INDEX(V:V,(ROW(AA488)+1)/2),INDEX(X:X,ROW(AA488)/2)),"")</f>
        <v>-571.8</v>
      </c>
      <c r="AB488" s="22">
        <f t="array" ref="AB488">IF(ROW(AB488)&lt;=COUNTA(W:W)*2,IF(MOD(ROW(AB488),2)=1,INDEX(W:W,(ROW(AB488)+1)/2),INDEX(Y:Y,ROW(AB488)/2)),"")</f>
        <v>122.7066</v>
      </c>
    </row>
    <row r="489" spans="1:28" s="2" customFormat="1" x14ac:dyDescent="0.25">
      <c r="A489" s="19"/>
      <c r="B489" s="20"/>
      <c r="C489" s="21"/>
      <c r="D489" s="22"/>
      <c r="F489" s="20"/>
      <c r="G489" s="20"/>
      <c r="H489" s="20"/>
      <c r="I489" s="20"/>
      <c r="J489" s="20"/>
      <c r="K489" s="34">
        <f t="array" ref="K489">IF(ROW(K489)&lt;=COUNTA(F:F)*2,IF(MOD(ROW(K489),2)=1,INDEX(F:F,(ROW(K489)+1)/2),INDEX(H:H,ROW(K489)/2)),"")</f>
        <v>-571.8</v>
      </c>
      <c r="L489" s="34">
        <f t="array" ref="L489">IF(ROW(L489)&lt;=COUNTA(G:G)*2,IF(MOD(ROW(L489),2)=1,INDEX(G:G,(ROW(L489)+1)/2),INDEX(I:I,ROW(L489)/2)),"")</f>
        <v>112.4</v>
      </c>
      <c r="N489" s="21"/>
      <c r="O489" s="21"/>
      <c r="P489" s="21"/>
      <c r="Q489" s="21"/>
      <c r="R489" s="21"/>
      <c r="S489" s="21">
        <f t="array" ref="S489">IF(ROW(S489)&lt;=COUNTA(N:N)*2,IF(MOD(ROW(S489),2)=1,INDEX(N:N,(ROW(S489)+1)/2),INDEX(P:P,ROW(S489)/2)),"")</f>
        <v>-571.8</v>
      </c>
      <c r="T489" s="21">
        <f t="array" ref="T489">IF(ROW(T489)&lt;=COUNTA(O:O)*2,IF(MOD(ROW(T489),2)=1,INDEX(O:O,(ROW(T489)+1)/2),INDEX(Q:Q,ROW(T489)/2)),"")</f>
        <v>120.7</v>
      </c>
      <c r="V489" s="22"/>
      <c r="W489" s="22"/>
      <c r="X489" s="22"/>
      <c r="Y489" s="22"/>
      <c r="Z489" s="22"/>
      <c r="AA489" s="22">
        <f t="array" ref="AA489">IF(ROW(AA489)&lt;=COUNTA(V:V)*2,IF(MOD(ROW(AA489),2)=1,INDEX(V:V,(ROW(AA489)+1)/2),INDEX(X:X,ROW(AA489)/2)),"")</f>
        <v>-571.8</v>
      </c>
      <c r="AB489" s="22">
        <f t="array" ref="AB489">IF(ROW(AB489)&lt;=COUNTA(W:W)*2,IF(MOD(ROW(AB489),2)=1,INDEX(W:W,(ROW(AB489)+1)/2),INDEX(Y:Y,ROW(AB489)/2)),"")</f>
        <v>122.635625</v>
      </c>
    </row>
    <row r="490" spans="1:28" s="2" customFormat="1" x14ac:dyDescent="0.25">
      <c r="A490" s="19"/>
      <c r="B490" s="20"/>
      <c r="C490" s="21"/>
      <c r="D490" s="22"/>
      <c r="F490" s="20"/>
      <c r="G490" s="20"/>
      <c r="H490" s="20"/>
      <c r="I490" s="20"/>
      <c r="J490" s="20"/>
      <c r="K490" s="34">
        <f t="array" ref="K490">IF(ROW(K490)&lt;=COUNTA(F:F)*2,IF(MOD(ROW(K490),2)=1,INDEX(F:F,(ROW(K490)+1)/2),INDEX(H:H,ROW(K490)/2)),"")</f>
        <v>-574.8</v>
      </c>
      <c r="L490" s="34">
        <f t="array" ref="L490">IF(ROW(L490)&lt;=COUNTA(G:G)*2,IF(MOD(ROW(L490),2)=1,INDEX(G:G,(ROW(L490)+1)/2),INDEX(I:I,ROW(L490)/2)),"")</f>
        <v>112.4</v>
      </c>
      <c r="N490" s="21"/>
      <c r="O490" s="21"/>
      <c r="P490" s="21"/>
      <c r="Q490" s="21"/>
      <c r="R490" s="21"/>
      <c r="S490" s="21">
        <f t="array" ref="S490">IF(ROW(S490)&lt;=COUNTA(N:N)*2,IF(MOD(ROW(S490),2)=1,INDEX(N:N,(ROW(S490)+1)/2),INDEX(P:P,ROW(S490)/2)),"")</f>
        <v>-574.8</v>
      </c>
      <c r="T490" s="21">
        <f t="array" ref="T490">IF(ROW(T490)&lt;=COUNTA(O:O)*2,IF(MOD(ROW(T490),2)=1,INDEX(O:O,(ROW(T490)+1)/2),INDEX(Q:Q,ROW(T490)/2)),"")</f>
        <v>120.7</v>
      </c>
      <c r="V490" s="22"/>
      <c r="W490" s="22"/>
      <c r="X490" s="22"/>
      <c r="Y490" s="22"/>
      <c r="Z490" s="22"/>
      <c r="AA490" s="22">
        <f t="array" ref="AA490">IF(ROW(AA490)&lt;=COUNTA(V:V)*2,IF(MOD(ROW(AA490),2)=1,INDEX(V:V,(ROW(AA490)+1)/2),INDEX(X:X,ROW(AA490)/2)),"")</f>
        <v>-574.8</v>
      </c>
      <c r="AB490" s="22">
        <f t="array" ref="AB490">IF(ROW(AB490)&lt;=COUNTA(W:W)*2,IF(MOD(ROW(AB490),2)=1,INDEX(W:W,(ROW(AB490)+1)/2),INDEX(Y:Y,ROW(AB490)/2)),"")</f>
        <v>122.635625</v>
      </c>
    </row>
    <row r="491" spans="1:28" s="2" customFormat="1" x14ac:dyDescent="0.25">
      <c r="A491" s="19"/>
      <c r="B491" s="20"/>
      <c r="C491" s="21"/>
      <c r="D491" s="22"/>
      <c r="F491" s="20"/>
      <c r="G491" s="20"/>
      <c r="H491" s="20"/>
      <c r="I491" s="20"/>
      <c r="J491" s="20"/>
      <c r="K491" s="34">
        <f t="array" ref="K491">IF(ROW(K491)&lt;=COUNTA(F:F)*2,IF(MOD(ROW(K491),2)=1,INDEX(F:F,(ROW(K491)+1)/2),INDEX(H:H,ROW(K491)/2)),"")</f>
        <v>-574.8</v>
      </c>
      <c r="L491" s="34">
        <f t="array" ref="L491">IF(ROW(L491)&lt;=COUNTA(G:G)*2,IF(MOD(ROW(L491),2)=1,INDEX(G:G,(ROW(L491)+1)/2),INDEX(I:I,ROW(L491)/2)),"")</f>
        <v>112.4</v>
      </c>
      <c r="N491" s="21"/>
      <c r="O491" s="21"/>
      <c r="P491" s="21"/>
      <c r="Q491" s="21"/>
      <c r="R491" s="21"/>
      <c r="S491" s="21">
        <f t="array" ref="S491">IF(ROW(S491)&lt;=COUNTA(N:N)*2,IF(MOD(ROW(S491),2)=1,INDEX(N:N,(ROW(S491)+1)/2),INDEX(P:P,ROW(S491)/2)),"")</f>
        <v>-574.8</v>
      </c>
      <c r="T491" s="21">
        <f t="array" ref="T491">IF(ROW(T491)&lt;=COUNTA(O:O)*2,IF(MOD(ROW(T491),2)=1,INDEX(O:O,(ROW(T491)+1)/2),INDEX(Q:Q,ROW(T491)/2)),"")</f>
        <v>120.8</v>
      </c>
      <c r="V491" s="22"/>
      <c r="W491" s="22"/>
      <c r="X491" s="22"/>
      <c r="Y491" s="22"/>
      <c r="Z491" s="22"/>
      <c r="AA491" s="22">
        <f t="array" ref="AA491">IF(ROW(AA491)&lt;=COUNTA(V:V)*2,IF(MOD(ROW(AA491),2)=1,INDEX(V:V,(ROW(AA491)+1)/2),INDEX(X:X,ROW(AA491)/2)),"")</f>
        <v>-574.8</v>
      </c>
      <c r="AB491" s="22">
        <f t="array" ref="AB491">IF(ROW(AB491)&lt;=COUNTA(W:W)*2,IF(MOD(ROW(AB491),2)=1,INDEX(W:W,(ROW(AB491)+1)/2),INDEX(Y:Y,ROW(AB491)/2)),"")</f>
        <v>122.6391</v>
      </c>
    </row>
    <row r="492" spans="1:28" s="2" customFormat="1" x14ac:dyDescent="0.25">
      <c r="A492" s="19"/>
      <c r="B492" s="20"/>
      <c r="C492" s="21"/>
      <c r="D492" s="22"/>
      <c r="F492" s="20"/>
      <c r="G492" s="20"/>
      <c r="H492" s="20"/>
      <c r="I492" s="20"/>
      <c r="J492" s="20"/>
      <c r="K492" s="34">
        <f t="array" ref="K492">IF(ROW(K492)&lt;=COUNTA(F:F)*2,IF(MOD(ROW(K492),2)=1,INDEX(F:F,(ROW(K492)+1)/2),INDEX(H:H,ROW(K492)/2)),"")</f>
        <v>-577.8</v>
      </c>
      <c r="L492" s="34">
        <f t="array" ref="L492">IF(ROW(L492)&lt;=COUNTA(G:G)*2,IF(MOD(ROW(L492),2)=1,INDEX(G:G,(ROW(L492)+1)/2),INDEX(I:I,ROW(L492)/2)),"")</f>
        <v>112.4</v>
      </c>
      <c r="N492" s="21"/>
      <c r="O492" s="21"/>
      <c r="P492" s="21"/>
      <c r="Q492" s="21"/>
      <c r="R492" s="21"/>
      <c r="S492" s="21">
        <f t="array" ref="S492">IF(ROW(S492)&lt;=COUNTA(N:N)*2,IF(MOD(ROW(S492),2)=1,INDEX(N:N,(ROW(S492)+1)/2),INDEX(P:P,ROW(S492)/2)),"")</f>
        <v>-577.8</v>
      </c>
      <c r="T492" s="21">
        <f t="array" ref="T492">IF(ROW(T492)&lt;=COUNTA(O:O)*2,IF(MOD(ROW(T492),2)=1,INDEX(O:O,(ROW(T492)+1)/2),INDEX(Q:Q,ROW(T492)/2)),"")</f>
        <v>120.8</v>
      </c>
      <c r="V492" s="22"/>
      <c r="W492" s="22"/>
      <c r="X492" s="22"/>
      <c r="Y492" s="22"/>
      <c r="Z492" s="22"/>
      <c r="AA492" s="22">
        <f t="array" ref="AA492">IF(ROW(AA492)&lt;=COUNTA(V:V)*2,IF(MOD(ROW(AA492),2)=1,INDEX(V:V,(ROW(AA492)+1)/2),INDEX(X:X,ROW(AA492)/2)),"")</f>
        <v>-577.8</v>
      </c>
      <c r="AB492" s="22">
        <f t="array" ref="AB492">IF(ROW(AB492)&lt;=COUNTA(W:W)*2,IF(MOD(ROW(AB492),2)=1,INDEX(W:W,(ROW(AB492)+1)/2),INDEX(Y:Y,ROW(AB492)/2)),"")</f>
        <v>122.6391</v>
      </c>
    </row>
    <row r="493" spans="1:28" s="2" customFormat="1" x14ac:dyDescent="0.25">
      <c r="A493" s="19"/>
      <c r="B493" s="20"/>
      <c r="C493" s="21"/>
      <c r="D493" s="22"/>
      <c r="F493" s="20"/>
      <c r="G493" s="20"/>
      <c r="H493" s="20"/>
      <c r="I493" s="20"/>
      <c r="J493" s="20"/>
      <c r="K493" s="34">
        <f t="array" ref="K493">IF(ROW(K493)&lt;=COUNTA(F:F)*2,IF(MOD(ROW(K493),2)=1,INDEX(F:F,(ROW(K493)+1)/2),INDEX(H:H,ROW(K493)/2)),"")</f>
        <v>-577.8</v>
      </c>
      <c r="L493" s="34">
        <f t="array" ref="L493">IF(ROW(L493)&lt;=COUNTA(G:G)*2,IF(MOD(ROW(L493),2)=1,INDEX(G:G,(ROW(L493)+1)/2),INDEX(I:I,ROW(L493)/2)),"")</f>
        <v>112.5</v>
      </c>
      <c r="N493" s="21"/>
      <c r="O493" s="21"/>
      <c r="P493" s="21"/>
      <c r="Q493" s="21"/>
      <c r="R493" s="21"/>
      <c r="S493" s="21">
        <f t="array" ref="S493">IF(ROW(S493)&lt;=COUNTA(N:N)*2,IF(MOD(ROW(S493),2)=1,INDEX(N:N,(ROW(S493)+1)/2),INDEX(P:P,ROW(S493)/2)),"")</f>
        <v>-577.8</v>
      </c>
      <c r="T493" s="21">
        <f t="array" ref="T493">IF(ROW(T493)&lt;=COUNTA(O:O)*2,IF(MOD(ROW(T493),2)=1,INDEX(O:O,(ROW(T493)+1)/2),INDEX(Q:Q,ROW(T493)/2)),"")</f>
        <v>120.8</v>
      </c>
      <c r="V493" s="22"/>
      <c r="W493" s="22"/>
      <c r="X493" s="22"/>
      <c r="Y493" s="22"/>
      <c r="Z493" s="22"/>
      <c r="AA493" s="22">
        <f t="array" ref="AA493">IF(ROW(AA493)&lt;=COUNTA(V:V)*2,IF(MOD(ROW(AA493),2)=1,INDEX(V:V,(ROW(AA493)+1)/2),INDEX(X:X,ROW(AA493)/2)),"")</f>
        <v>-577.8</v>
      </c>
      <c r="AB493" s="22">
        <f t="array" ref="AB493">IF(ROW(AB493)&lt;=COUNTA(W:W)*2,IF(MOD(ROW(AB493),2)=1,INDEX(W:W,(ROW(AB493)+1)/2),INDEX(Y:Y,ROW(AB493)/2)),"")</f>
        <v>122.6757</v>
      </c>
    </row>
    <row r="494" spans="1:28" s="2" customFormat="1" x14ac:dyDescent="0.25">
      <c r="A494" s="19"/>
      <c r="B494" s="20"/>
      <c r="C494" s="21"/>
      <c r="D494" s="22"/>
      <c r="F494" s="20"/>
      <c r="G494" s="20"/>
      <c r="H494" s="20"/>
      <c r="I494" s="20"/>
      <c r="J494" s="20"/>
      <c r="K494" s="34">
        <f t="array" ref="K494">IF(ROW(K494)&lt;=COUNTA(F:F)*2,IF(MOD(ROW(K494),2)=1,INDEX(F:F,(ROW(K494)+1)/2),INDEX(H:H,ROW(K494)/2)),"")</f>
        <v>-580.8</v>
      </c>
      <c r="L494" s="34">
        <f t="array" ref="L494">IF(ROW(L494)&lt;=COUNTA(G:G)*2,IF(MOD(ROW(L494),2)=1,INDEX(G:G,(ROW(L494)+1)/2),INDEX(I:I,ROW(L494)/2)),"")</f>
        <v>112.5</v>
      </c>
      <c r="N494" s="21"/>
      <c r="O494" s="21"/>
      <c r="P494" s="21"/>
      <c r="Q494" s="21"/>
      <c r="R494" s="21"/>
      <c r="S494" s="21">
        <f t="array" ref="S494">IF(ROW(S494)&lt;=COUNTA(N:N)*2,IF(MOD(ROW(S494),2)=1,INDEX(N:N,(ROW(S494)+1)/2),INDEX(P:P,ROW(S494)/2)),"")</f>
        <v>-580.8</v>
      </c>
      <c r="T494" s="21">
        <f t="array" ref="T494">IF(ROW(T494)&lt;=COUNTA(O:O)*2,IF(MOD(ROW(T494),2)=1,INDEX(O:O,(ROW(T494)+1)/2),INDEX(Q:Q,ROW(T494)/2)),"")</f>
        <v>120.8</v>
      </c>
      <c r="V494" s="22"/>
      <c r="W494" s="22"/>
      <c r="X494" s="22"/>
      <c r="Y494" s="22"/>
      <c r="Z494" s="22"/>
      <c r="AA494" s="22">
        <f t="array" ref="AA494">IF(ROW(AA494)&lt;=COUNTA(V:V)*2,IF(MOD(ROW(AA494),2)=1,INDEX(V:V,(ROW(AA494)+1)/2),INDEX(X:X,ROW(AA494)/2)),"")</f>
        <v>-580.8</v>
      </c>
      <c r="AB494" s="22">
        <f t="array" ref="AB494">IF(ROW(AB494)&lt;=COUNTA(W:W)*2,IF(MOD(ROW(AB494),2)=1,INDEX(W:W,(ROW(AB494)+1)/2),INDEX(Y:Y,ROW(AB494)/2)),"")</f>
        <v>122.6757</v>
      </c>
    </row>
    <row r="495" spans="1:28" s="2" customFormat="1" x14ac:dyDescent="0.25">
      <c r="A495" s="19"/>
      <c r="B495" s="20"/>
      <c r="C495" s="21"/>
      <c r="D495" s="22"/>
      <c r="F495" s="20"/>
      <c r="G495" s="20"/>
      <c r="H495" s="20"/>
      <c r="I495" s="20"/>
      <c r="J495" s="20"/>
      <c r="K495" s="34">
        <f t="array" ref="K495">IF(ROW(K495)&lt;=COUNTA(F:F)*2,IF(MOD(ROW(K495),2)=1,INDEX(F:F,(ROW(K495)+1)/2),INDEX(H:H,ROW(K495)/2)),"")</f>
        <v>-580.8</v>
      </c>
      <c r="L495" s="34">
        <f t="array" ref="L495">IF(ROW(L495)&lt;=COUNTA(G:G)*2,IF(MOD(ROW(L495),2)=1,INDEX(G:G,(ROW(L495)+1)/2),INDEX(I:I,ROW(L495)/2)),"")</f>
        <v>112.4</v>
      </c>
      <c r="N495" s="21"/>
      <c r="O495" s="21"/>
      <c r="P495" s="21"/>
      <c r="Q495" s="21"/>
      <c r="R495" s="21"/>
      <c r="S495" s="21">
        <f t="array" ref="S495">IF(ROW(S495)&lt;=COUNTA(N:N)*2,IF(MOD(ROW(S495),2)=1,INDEX(N:N,(ROW(S495)+1)/2),INDEX(P:P,ROW(S495)/2)),"")</f>
        <v>-580.8</v>
      </c>
      <c r="T495" s="21">
        <f t="array" ref="T495">IF(ROW(T495)&lt;=COUNTA(O:O)*2,IF(MOD(ROW(T495),2)=1,INDEX(O:O,(ROW(T495)+1)/2),INDEX(Q:Q,ROW(T495)/2)),"")</f>
        <v>118</v>
      </c>
      <c r="V495" s="22"/>
      <c r="W495" s="22"/>
      <c r="X495" s="22"/>
      <c r="Y495" s="22"/>
      <c r="Z495" s="22"/>
      <c r="AA495" s="22">
        <f t="array" ref="AA495">IF(ROW(AA495)&lt;=COUNTA(V:V)*2,IF(MOD(ROW(AA495),2)=1,INDEX(V:V,(ROW(AA495)+1)/2),INDEX(X:X,ROW(AA495)/2)),"")</f>
        <v>-580.8</v>
      </c>
      <c r="AB495" s="22">
        <f t="array" ref="AB495">IF(ROW(AB495)&lt;=COUNTA(W:W)*2,IF(MOD(ROW(AB495),2)=1,INDEX(W:W,(ROW(AB495)+1)/2),INDEX(Y:Y,ROW(AB495)/2)),"")</f>
        <v>122.650775</v>
      </c>
    </row>
    <row r="496" spans="1:28" s="2" customFormat="1" x14ac:dyDescent="0.25">
      <c r="A496" s="19"/>
      <c r="B496" s="20"/>
      <c r="C496" s="21"/>
      <c r="D496" s="22"/>
      <c r="F496" s="20"/>
      <c r="G496" s="20"/>
      <c r="H496" s="20"/>
      <c r="I496" s="20"/>
      <c r="J496" s="20"/>
      <c r="K496" s="34">
        <f t="array" ref="K496">IF(ROW(K496)&lt;=COUNTA(F:F)*2,IF(MOD(ROW(K496),2)=1,INDEX(F:F,(ROW(K496)+1)/2),INDEX(H:H,ROW(K496)/2)),"")</f>
        <v>-583.8</v>
      </c>
      <c r="L496" s="34">
        <f t="array" ref="L496">IF(ROW(L496)&lt;=COUNTA(G:G)*2,IF(MOD(ROW(L496),2)=1,INDEX(G:G,(ROW(L496)+1)/2),INDEX(I:I,ROW(L496)/2)),"")</f>
        <v>112.4</v>
      </c>
      <c r="N496" s="21"/>
      <c r="O496" s="21"/>
      <c r="P496" s="21"/>
      <c r="Q496" s="21"/>
      <c r="R496" s="21"/>
      <c r="S496" s="21">
        <f t="array" ref="S496">IF(ROW(S496)&lt;=COUNTA(N:N)*2,IF(MOD(ROW(S496),2)=1,INDEX(N:N,(ROW(S496)+1)/2),INDEX(P:P,ROW(S496)/2)),"")</f>
        <v>-583.8</v>
      </c>
      <c r="T496" s="21">
        <f t="array" ref="T496">IF(ROW(T496)&lt;=COUNTA(O:O)*2,IF(MOD(ROW(T496),2)=1,INDEX(O:O,(ROW(T496)+1)/2),INDEX(Q:Q,ROW(T496)/2)),"")</f>
        <v>118</v>
      </c>
      <c r="V496" s="22"/>
      <c r="W496" s="22"/>
      <c r="X496" s="22"/>
      <c r="Y496" s="22"/>
      <c r="Z496" s="22"/>
      <c r="AA496" s="22">
        <f t="array" ref="AA496">IF(ROW(AA496)&lt;=COUNTA(V:V)*2,IF(MOD(ROW(AA496),2)=1,INDEX(V:V,(ROW(AA496)+1)/2),INDEX(X:X,ROW(AA496)/2)),"")</f>
        <v>-583.8</v>
      </c>
      <c r="AB496" s="22">
        <f t="array" ref="AB496">IF(ROW(AB496)&lt;=COUNTA(W:W)*2,IF(MOD(ROW(AB496),2)=1,INDEX(W:W,(ROW(AB496)+1)/2),INDEX(Y:Y,ROW(AB496)/2)),"")</f>
        <v>122.650775</v>
      </c>
    </row>
    <row r="497" spans="1:28" s="2" customFormat="1" x14ac:dyDescent="0.25">
      <c r="A497" s="19"/>
      <c r="B497" s="20"/>
      <c r="C497" s="21"/>
      <c r="D497" s="22"/>
      <c r="F497" s="20"/>
      <c r="G497" s="20"/>
      <c r="H497" s="20"/>
      <c r="I497" s="20"/>
      <c r="J497" s="20"/>
      <c r="K497" s="34">
        <f t="array" ref="K497">IF(ROW(K497)&lt;=COUNTA(F:F)*2,IF(MOD(ROW(K497),2)=1,INDEX(F:F,(ROW(K497)+1)/2),INDEX(H:H,ROW(K497)/2)),"")</f>
        <v>-583.8</v>
      </c>
      <c r="L497" s="34">
        <f t="array" ref="L497">IF(ROW(L497)&lt;=COUNTA(G:G)*2,IF(MOD(ROW(L497),2)=1,INDEX(G:G,(ROW(L497)+1)/2),INDEX(I:I,ROW(L497)/2)),"")</f>
        <v>112.2</v>
      </c>
      <c r="N497" s="21"/>
      <c r="O497" s="21"/>
      <c r="P497" s="21"/>
      <c r="Q497" s="21"/>
      <c r="R497" s="21"/>
      <c r="S497" s="21">
        <f t="array" ref="S497">IF(ROW(S497)&lt;=COUNTA(N:N)*2,IF(MOD(ROW(S497),2)=1,INDEX(N:N,(ROW(S497)+1)/2),INDEX(P:P,ROW(S497)/2)),"")</f>
        <v>-583.8</v>
      </c>
      <c r="T497" s="21">
        <f t="array" ref="T497">IF(ROW(T497)&lt;=COUNTA(O:O)*2,IF(MOD(ROW(T497),2)=1,INDEX(O:O,(ROW(T497)+1)/2),INDEX(Q:Q,ROW(T497)/2)),"")</f>
        <v>115.4</v>
      </c>
      <c r="V497" s="22"/>
      <c r="W497" s="22"/>
      <c r="X497" s="22"/>
      <c r="Y497" s="22"/>
      <c r="Z497" s="22"/>
      <c r="AA497" s="22">
        <f t="array" ref="AA497">IF(ROW(AA497)&lt;=COUNTA(V:V)*2,IF(MOD(ROW(AA497),2)=1,INDEX(V:V,(ROW(AA497)+1)/2),INDEX(X:X,ROW(AA497)/2)),"")</f>
        <v>-583.8</v>
      </c>
      <c r="AB497" s="22">
        <f t="array" ref="AB497">IF(ROW(AB497)&lt;=COUNTA(W:W)*2,IF(MOD(ROW(AB497),2)=1,INDEX(W:W,(ROW(AB497)+1)/2),INDEX(Y:Y,ROW(AB497)/2)),"")</f>
        <v>122.664175</v>
      </c>
    </row>
    <row r="498" spans="1:28" s="2" customFormat="1" x14ac:dyDescent="0.25">
      <c r="A498" s="19"/>
      <c r="B498" s="20"/>
      <c r="C498" s="21"/>
      <c r="D498" s="22"/>
      <c r="F498" s="20"/>
      <c r="G498" s="20"/>
      <c r="H498" s="20"/>
      <c r="I498" s="20"/>
      <c r="J498" s="20"/>
      <c r="K498" s="34">
        <f t="array" ref="K498">IF(ROW(K498)&lt;=COUNTA(F:F)*2,IF(MOD(ROW(K498),2)=1,INDEX(F:F,(ROW(K498)+1)/2),INDEX(H:H,ROW(K498)/2)),"")</f>
        <v>-585.7</v>
      </c>
      <c r="L498" s="34">
        <f t="array" ref="L498">IF(ROW(L498)&lt;=COUNTA(G:G)*2,IF(MOD(ROW(L498),2)=1,INDEX(G:G,(ROW(L498)+1)/2),INDEX(I:I,ROW(L498)/2)),"")</f>
        <v>112.2</v>
      </c>
      <c r="N498" s="21"/>
      <c r="O498" s="21"/>
      <c r="P498" s="21"/>
      <c r="Q498" s="21"/>
      <c r="R498" s="21"/>
      <c r="S498" s="21">
        <f t="array" ref="S498">IF(ROW(S498)&lt;=COUNTA(N:N)*2,IF(MOD(ROW(S498),2)=1,INDEX(N:N,(ROW(S498)+1)/2),INDEX(P:P,ROW(S498)/2)),"")</f>
        <v>-585.7</v>
      </c>
      <c r="T498" s="21">
        <f t="array" ref="T498">IF(ROW(T498)&lt;=COUNTA(O:O)*2,IF(MOD(ROW(T498),2)=1,INDEX(O:O,(ROW(T498)+1)/2),INDEX(Q:Q,ROW(T498)/2)),"")</f>
        <v>115.4</v>
      </c>
      <c r="V498" s="22"/>
      <c r="W498" s="22"/>
      <c r="X498" s="22"/>
      <c r="Y498" s="22"/>
      <c r="Z498" s="22"/>
      <c r="AA498" s="22">
        <f t="array" ref="AA498">IF(ROW(AA498)&lt;=COUNTA(V:V)*2,IF(MOD(ROW(AA498),2)=1,INDEX(V:V,(ROW(AA498)+1)/2),INDEX(X:X,ROW(AA498)/2)),"")</f>
        <v>-585.7</v>
      </c>
      <c r="AB498" s="22">
        <f t="array" ref="AB498">IF(ROW(AB498)&lt;=COUNTA(W:W)*2,IF(MOD(ROW(AB498),2)=1,INDEX(W:W,(ROW(AB498)+1)/2),INDEX(Y:Y,ROW(AB498)/2)),"")</f>
        <v>122.664175</v>
      </c>
    </row>
    <row r="499" spans="1:28" s="2" customFormat="1" x14ac:dyDescent="0.25">
      <c r="A499" s="19"/>
      <c r="B499" s="20"/>
      <c r="C499" s="21"/>
      <c r="D499" s="22"/>
      <c r="F499" s="20"/>
      <c r="G499" s="20"/>
      <c r="H499" s="20"/>
      <c r="I499" s="20"/>
      <c r="J499" s="20"/>
      <c r="K499" s="34">
        <f t="array" ref="K499">IF(ROW(K499)&lt;=COUNTA(F:F)*2,IF(MOD(ROW(K499),2)=1,INDEX(F:F,(ROW(K499)+1)/2),INDEX(H:H,ROW(K499)/2)),"")</f>
        <v>-585.7</v>
      </c>
      <c r="L499" s="34">
        <f t="array" ref="L499">IF(ROW(L499)&lt;=COUNTA(G:G)*2,IF(MOD(ROW(L499),2)=1,INDEX(G:G,(ROW(L499)+1)/2),INDEX(I:I,ROW(L499)/2)),"")</f>
        <v>112.3</v>
      </c>
      <c r="N499" s="21"/>
      <c r="O499" s="21"/>
      <c r="P499" s="21"/>
      <c r="Q499" s="21"/>
      <c r="R499" s="21"/>
      <c r="S499" s="21">
        <f t="array" ref="S499">IF(ROW(S499)&lt;=COUNTA(N:N)*2,IF(MOD(ROW(S499),2)=1,INDEX(N:N,(ROW(S499)+1)/2),INDEX(P:P,ROW(S499)/2)),"")</f>
        <v>-585.7</v>
      </c>
      <c r="T499" s="21">
        <f t="array" ref="T499">IF(ROW(T499)&lt;=COUNTA(O:O)*2,IF(MOD(ROW(T499),2)=1,INDEX(O:O,(ROW(T499)+1)/2),INDEX(Q:Q,ROW(T499)/2)),"")</f>
        <v>117</v>
      </c>
      <c r="V499" s="22"/>
      <c r="W499" s="22"/>
      <c r="X499" s="22"/>
      <c r="Y499" s="22"/>
      <c r="Z499" s="22"/>
      <c r="AA499" s="22">
        <f t="array" ref="AA499">IF(ROW(AA499)&lt;=COUNTA(V:V)*2,IF(MOD(ROW(AA499),2)=1,INDEX(V:V,(ROW(AA499)+1)/2),INDEX(X:X,ROW(AA499)/2)),"")</f>
        <v>-585.7</v>
      </c>
      <c r="AB499" s="22">
        <f t="array" ref="AB499">IF(ROW(AB499)&lt;=COUNTA(W:W)*2,IF(MOD(ROW(AB499),2)=1,INDEX(W:W,(ROW(AB499)+1)/2),INDEX(Y:Y,ROW(AB499)/2)),"")</f>
        <v>122.663025</v>
      </c>
    </row>
    <row r="500" spans="1:28" s="2" customFormat="1" x14ac:dyDescent="0.25">
      <c r="A500" s="19"/>
      <c r="B500" s="20"/>
      <c r="C500" s="21"/>
      <c r="D500" s="22"/>
      <c r="F500" s="20"/>
      <c r="G500" s="20"/>
      <c r="H500" s="20"/>
      <c r="I500" s="20"/>
      <c r="J500" s="20"/>
      <c r="K500" s="34">
        <f t="array" ref="K500">IF(ROW(K500)&lt;=COUNTA(F:F)*2,IF(MOD(ROW(K500),2)=1,INDEX(F:F,(ROW(K500)+1)/2),INDEX(H:H,ROW(K500)/2)),"")</f>
        <v>-586.7</v>
      </c>
      <c r="L500" s="34">
        <f t="array" ref="L500">IF(ROW(L500)&lt;=COUNTA(G:G)*2,IF(MOD(ROW(L500),2)=1,INDEX(G:G,(ROW(L500)+1)/2),INDEX(I:I,ROW(L500)/2)),"")</f>
        <v>112.3</v>
      </c>
      <c r="N500" s="21"/>
      <c r="O500" s="21"/>
      <c r="P500" s="21"/>
      <c r="Q500" s="21"/>
      <c r="R500" s="21"/>
      <c r="S500" s="21">
        <f t="array" ref="S500">IF(ROW(S500)&lt;=COUNTA(N:N)*2,IF(MOD(ROW(S500),2)=1,INDEX(N:N,(ROW(S500)+1)/2),INDEX(P:P,ROW(S500)/2)),"")</f>
        <v>-586.7</v>
      </c>
      <c r="T500" s="21">
        <f t="array" ref="T500">IF(ROW(T500)&lt;=COUNTA(O:O)*2,IF(MOD(ROW(T500),2)=1,INDEX(O:O,(ROW(T500)+1)/2),INDEX(Q:Q,ROW(T500)/2)),"")</f>
        <v>117</v>
      </c>
      <c r="V500" s="22"/>
      <c r="W500" s="22"/>
      <c r="X500" s="22"/>
      <c r="Y500" s="22"/>
      <c r="Z500" s="22"/>
      <c r="AA500" s="22">
        <f t="array" ref="AA500">IF(ROW(AA500)&lt;=COUNTA(V:V)*2,IF(MOD(ROW(AA500),2)=1,INDEX(V:V,(ROW(AA500)+1)/2),INDEX(X:X,ROW(AA500)/2)),"")</f>
        <v>-586.7</v>
      </c>
      <c r="AB500" s="22">
        <f t="array" ref="AB500">IF(ROW(AB500)&lt;=COUNTA(W:W)*2,IF(MOD(ROW(AB500),2)=1,INDEX(W:W,(ROW(AB500)+1)/2),INDEX(Y:Y,ROW(AB500)/2)),"")</f>
        <v>122.663025</v>
      </c>
    </row>
    <row r="501" spans="1:28" s="2" customFormat="1" x14ac:dyDescent="0.25">
      <c r="A501" s="19"/>
      <c r="B501" s="20"/>
      <c r="C501" s="21"/>
      <c r="D501" s="22"/>
      <c r="F501" s="20"/>
      <c r="G501" s="20"/>
      <c r="H501" s="20"/>
      <c r="I501" s="20"/>
      <c r="J501" s="20"/>
      <c r="K501" s="34">
        <f t="array" ref="K501">IF(ROW(K501)&lt;=COUNTA(F:F)*2,IF(MOD(ROW(K501),2)=1,INDEX(F:F,(ROW(K501)+1)/2),INDEX(H:H,ROW(K501)/2)),"")</f>
        <v>-586.7</v>
      </c>
      <c r="L501" s="34">
        <f t="array" ref="L501">IF(ROW(L501)&lt;=COUNTA(G:G)*2,IF(MOD(ROW(L501),2)=1,INDEX(G:G,(ROW(L501)+1)/2),INDEX(I:I,ROW(L501)/2)),"")</f>
        <v>112</v>
      </c>
      <c r="N501" s="21"/>
      <c r="O501" s="21"/>
      <c r="P501" s="21"/>
      <c r="Q501" s="21"/>
      <c r="R501" s="21"/>
      <c r="S501" s="21">
        <f t="array" ref="S501">IF(ROW(S501)&lt;=COUNTA(N:N)*2,IF(MOD(ROW(S501),2)=1,INDEX(N:N,(ROW(S501)+1)/2),INDEX(P:P,ROW(S501)/2)),"")</f>
        <v>-586.7</v>
      </c>
      <c r="T501" s="21">
        <f t="array" ref="T501">IF(ROW(T501)&lt;=COUNTA(O:O)*2,IF(MOD(ROW(T501),2)=1,INDEX(O:O,(ROW(T501)+1)/2),INDEX(Q:Q,ROW(T501)/2)),"")</f>
        <v>117.1</v>
      </c>
      <c r="V501" s="22"/>
      <c r="W501" s="22"/>
      <c r="X501" s="22"/>
      <c r="Y501" s="22"/>
      <c r="Z501" s="22"/>
      <c r="AA501" s="22">
        <f t="array" ref="AA501">IF(ROW(AA501)&lt;=COUNTA(V:V)*2,IF(MOD(ROW(AA501),2)=1,INDEX(V:V,(ROW(AA501)+1)/2),INDEX(X:X,ROW(AA501)/2)),"")</f>
        <v>-586.7</v>
      </c>
      <c r="AB501" s="22">
        <f t="array" ref="AB501">IF(ROW(AB501)&lt;=COUNTA(W:W)*2,IF(MOD(ROW(AB501),2)=1,INDEX(W:W,(ROW(AB501)+1)/2),INDEX(Y:Y,ROW(AB501)/2)),"")</f>
        <v>122.664175</v>
      </c>
    </row>
    <row r="502" spans="1:28" s="2" customFormat="1" x14ac:dyDescent="0.25">
      <c r="A502" s="19"/>
      <c r="B502" s="20"/>
      <c r="C502" s="21"/>
      <c r="D502" s="22"/>
      <c r="F502" s="20"/>
      <c r="G502" s="20"/>
      <c r="H502" s="20"/>
      <c r="I502" s="20"/>
      <c r="J502" s="20"/>
      <c r="K502" s="34">
        <f t="array" ref="K502">IF(ROW(K502)&lt;=COUNTA(F:F)*2,IF(MOD(ROW(K502),2)=1,INDEX(F:F,(ROW(K502)+1)/2),INDEX(H:H,ROW(K502)/2)),"")</f>
        <v>-589.8</v>
      </c>
      <c r="L502" s="34">
        <f t="array" ref="L502">IF(ROW(L502)&lt;=COUNTA(G:G)*2,IF(MOD(ROW(L502),2)=1,INDEX(G:G,(ROW(L502)+1)/2),INDEX(I:I,ROW(L502)/2)),"")</f>
        <v>112</v>
      </c>
      <c r="N502" s="21"/>
      <c r="O502" s="21"/>
      <c r="P502" s="21"/>
      <c r="Q502" s="21"/>
      <c r="R502" s="21"/>
      <c r="S502" s="21">
        <f t="array" ref="S502">IF(ROW(S502)&lt;=COUNTA(N:N)*2,IF(MOD(ROW(S502),2)=1,INDEX(N:N,(ROW(S502)+1)/2),INDEX(P:P,ROW(S502)/2)),"")</f>
        <v>-589.8</v>
      </c>
      <c r="T502" s="21">
        <f t="array" ref="T502">IF(ROW(T502)&lt;=COUNTA(O:O)*2,IF(MOD(ROW(T502),2)=1,INDEX(O:O,(ROW(T502)+1)/2),INDEX(Q:Q,ROW(T502)/2)),"")</f>
        <v>117.1</v>
      </c>
      <c r="V502" s="22"/>
      <c r="W502" s="22"/>
      <c r="X502" s="22"/>
      <c r="Y502" s="22"/>
      <c r="Z502" s="22"/>
      <c r="AA502" s="22">
        <f t="array" ref="AA502">IF(ROW(AA502)&lt;=COUNTA(V:V)*2,IF(MOD(ROW(AA502),2)=1,INDEX(V:V,(ROW(AA502)+1)/2),INDEX(X:X,ROW(AA502)/2)),"")</f>
        <v>-589.8</v>
      </c>
      <c r="AB502" s="22">
        <f t="array" ref="AB502">IF(ROW(AB502)&lt;=COUNTA(W:W)*2,IF(MOD(ROW(AB502),2)=1,INDEX(W:W,(ROW(AB502)+1)/2),INDEX(Y:Y,ROW(AB502)/2)),"")</f>
        <v>122.664175</v>
      </c>
    </row>
    <row r="503" spans="1:28" s="2" customFormat="1" x14ac:dyDescent="0.25">
      <c r="A503" s="19"/>
      <c r="B503" s="20"/>
      <c r="C503" s="21"/>
      <c r="D503" s="22"/>
      <c r="F503" s="20"/>
      <c r="G503" s="20"/>
      <c r="H503" s="20"/>
      <c r="I503" s="20"/>
      <c r="J503" s="20"/>
      <c r="K503" s="34">
        <f t="array" ref="K503">IF(ROW(K503)&lt;=COUNTA(F:F)*2,IF(MOD(ROW(K503),2)=1,INDEX(F:F,(ROW(K503)+1)/2),INDEX(H:H,ROW(K503)/2)),"")</f>
        <v>-589.8</v>
      </c>
      <c r="L503" s="34">
        <f t="array" ref="L503">IF(ROW(L503)&lt;=COUNTA(G:G)*2,IF(MOD(ROW(L503),2)=1,INDEX(G:G,(ROW(L503)+1)/2),INDEX(I:I,ROW(L503)/2)),"")</f>
        <v>112</v>
      </c>
      <c r="N503" s="21"/>
      <c r="O503" s="21"/>
      <c r="P503" s="21"/>
      <c r="Q503" s="21"/>
      <c r="R503" s="21"/>
      <c r="S503" s="21">
        <f t="array" ref="S503">IF(ROW(S503)&lt;=COUNTA(N:N)*2,IF(MOD(ROW(S503),2)=1,INDEX(N:N,(ROW(S503)+1)/2),INDEX(P:P,ROW(S503)/2)),"")</f>
        <v>-589.8</v>
      </c>
      <c r="T503" s="21">
        <f t="array" ref="T503">IF(ROW(T503)&lt;=COUNTA(O:O)*2,IF(MOD(ROW(T503),2)=1,INDEX(O:O,(ROW(T503)+1)/2),INDEX(Q:Q,ROW(T503)/2)),"")</f>
        <v>119.6</v>
      </c>
      <c r="V503" s="22"/>
      <c r="W503" s="22"/>
      <c r="X503" s="22"/>
      <c r="Y503" s="22"/>
      <c r="Z503" s="22"/>
      <c r="AA503" s="22">
        <f t="array" ref="AA503">IF(ROW(AA503)&lt;=COUNTA(V:V)*2,IF(MOD(ROW(AA503),2)=1,INDEX(V:V,(ROW(AA503)+1)/2),INDEX(X:X,ROW(AA503)/2)),"")</f>
        <v>-589.8</v>
      </c>
      <c r="AB503" s="22">
        <f t="array" ref="AB503">IF(ROW(AB503)&lt;=COUNTA(W:W)*2,IF(MOD(ROW(AB503),2)=1,INDEX(W:W,(ROW(AB503)+1)/2),INDEX(Y:Y,ROW(AB503)/2)),"")</f>
        <v>122.6594</v>
      </c>
    </row>
    <row r="504" spans="1:28" s="2" customFormat="1" x14ac:dyDescent="0.25">
      <c r="A504" s="19"/>
      <c r="B504" s="20"/>
      <c r="C504" s="21"/>
      <c r="D504" s="22"/>
      <c r="F504" s="20"/>
      <c r="G504" s="20"/>
      <c r="H504" s="20"/>
      <c r="I504" s="20"/>
      <c r="J504" s="20"/>
      <c r="K504" s="34">
        <f t="array" ref="K504">IF(ROW(K504)&lt;=COUNTA(F:F)*2,IF(MOD(ROW(K504),2)=1,INDEX(F:F,(ROW(K504)+1)/2),INDEX(H:H,ROW(K504)/2)),"")</f>
        <v>-592.8</v>
      </c>
      <c r="L504" s="34">
        <f t="array" ref="L504">IF(ROW(L504)&lt;=COUNTA(G:G)*2,IF(MOD(ROW(L504),2)=1,INDEX(G:G,(ROW(L504)+1)/2),INDEX(I:I,ROW(L504)/2)),"")</f>
        <v>112</v>
      </c>
      <c r="N504" s="21"/>
      <c r="O504" s="21"/>
      <c r="P504" s="21"/>
      <c r="Q504" s="21"/>
      <c r="R504" s="21"/>
      <c r="S504" s="21">
        <f t="array" ref="S504">IF(ROW(S504)&lt;=COUNTA(N:N)*2,IF(MOD(ROW(S504),2)=1,INDEX(N:N,(ROW(S504)+1)/2),INDEX(P:P,ROW(S504)/2)),"")</f>
        <v>-592.8</v>
      </c>
      <c r="T504" s="21">
        <f t="array" ref="T504">IF(ROW(T504)&lt;=COUNTA(O:O)*2,IF(MOD(ROW(T504),2)=1,INDEX(O:O,(ROW(T504)+1)/2),INDEX(Q:Q,ROW(T504)/2)),"")</f>
        <v>119.6</v>
      </c>
      <c r="V504" s="22"/>
      <c r="W504" s="22"/>
      <c r="X504" s="22"/>
      <c r="Y504" s="22"/>
      <c r="Z504" s="22"/>
      <c r="AA504" s="22">
        <f t="array" ref="AA504">IF(ROW(AA504)&lt;=COUNTA(V:V)*2,IF(MOD(ROW(AA504),2)=1,INDEX(V:V,(ROW(AA504)+1)/2),INDEX(X:X,ROW(AA504)/2)),"")</f>
        <v>-592.8</v>
      </c>
      <c r="AB504" s="22">
        <f t="array" ref="AB504">IF(ROW(AB504)&lt;=COUNTA(W:W)*2,IF(MOD(ROW(AB504),2)=1,INDEX(W:W,(ROW(AB504)+1)/2),INDEX(Y:Y,ROW(AB504)/2)),"")</f>
        <v>122.6594</v>
      </c>
    </row>
    <row r="505" spans="1:28" s="2" customFormat="1" x14ac:dyDescent="0.25">
      <c r="A505" s="19"/>
      <c r="B505" s="20"/>
      <c r="C505" s="21"/>
      <c r="D505" s="22"/>
      <c r="F505" s="20"/>
      <c r="G505" s="20"/>
      <c r="H505" s="20"/>
      <c r="I505" s="20"/>
      <c r="J505" s="20"/>
      <c r="K505" s="34">
        <f t="array" ref="K505">IF(ROW(K505)&lt;=COUNTA(F:F)*2,IF(MOD(ROW(K505),2)=1,INDEX(F:F,(ROW(K505)+1)/2),INDEX(H:H,ROW(K505)/2)),"")</f>
        <v>-592.8</v>
      </c>
      <c r="L505" s="34">
        <f t="array" ref="L505">IF(ROW(L505)&lt;=COUNTA(G:G)*2,IF(MOD(ROW(L505),2)=1,INDEX(G:G,(ROW(L505)+1)/2),INDEX(I:I,ROW(L505)/2)),"")</f>
        <v>112.3</v>
      </c>
      <c r="N505" s="21"/>
      <c r="O505" s="21"/>
      <c r="P505" s="21"/>
      <c r="Q505" s="21"/>
      <c r="R505" s="21"/>
      <c r="S505" s="21">
        <f t="array" ref="S505">IF(ROW(S505)&lt;=COUNTA(N:N)*2,IF(MOD(ROW(S505),2)=1,INDEX(N:N,(ROW(S505)+1)/2),INDEX(P:P,ROW(S505)/2)),"")</f>
        <v>-592.8</v>
      </c>
      <c r="T505" s="21">
        <f t="array" ref="T505">IF(ROW(T505)&lt;=COUNTA(O:O)*2,IF(MOD(ROW(T505),2)=1,INDEX(O:O,(ROW(T505)+1)/2),INDEX(Q:Q,ROW(T505)/2)),"")</f>
        <v>115.2</v>
      </c>
      <c r="V505" s="22"/>
      <c r="W505" s="22"/>
      <c r="X505" s="22"/>
      <c r="Y505" s="22"/>
      <c r="Z505" s="22"/>
      <c r="AA505" s="22">
        <f t="array" ref="AA505">IF(ROW(AA505)&lt;=COUNTA(V:V)*2,IF(MOD(ROW(AA505),2)=1,INDEX(V:V,(ROW(AA505)+1)/2),INDEX(X:X,ROW(AA505)/2)),"")</f>
        <v>-592.8</v>
      </c>
      <c r="AB505" s="22">
        <f t="array" ref="AB505">IF(ROW(AB505)&lt;=COUNTA(W:W)*2,IF(MOD(ROW(AB505),2)=1,INDEX(W:W,(ROW(AB505)+1)/2),INDEX(Y:Y,ROW(AB505)/2)),"")</f>
        <v>122.6508</v>
      </c>
    </row>
    <row r="506" spans="1:28" s="2" customFormat="1" x14ac:dyDescent="0.25">
      <c r="A506" s="19"/>
      <c r="B506" s="20"/>
      <c r="C506" s="21"/>
      <c r="D506" s="22"/>
      <c r="F506" s="20"/>
      <c r="G506" s="20"/>
      <c r="H506" s="20"/>
      <c r="I506" s="20"/>
      <c r="J506" s="20"/>
      <c r="K506" s="34">
        <f t="array" ref="K506">IF(ROW(K506)&lt;=COUNTA(F:F)*2,IF(MOD(ROW(K506),2)=1,INDEX(F:F,(ROW(K506)+1)/2),INDEX(H:H,ROW(K506)/2)),"")</f>
        <v>-595.8</v>
      </c>
      <c r="L506" s="34">
        <f t="array" ref="L506">IF(ROW(L506)&lt;=COUNTA(G:G)*2,IF(MOD(ROW(L506),2)=1,INDEX(G:G,(ROW(L506)+1)/2),INDEX(I:I,ROW(L506)/2)),"")</f>
        <v>112.3</v>
      </c>
      <c r="N506" s="21"/>
      <c r="O506" s="21"/>
      <c r="P506" s="21"/>
      <c r="Q506" s="21"/>
      <c r="R506" s="21"/>
      <c r="S506" s="21">
        <f t="array" ref="S506">IF(ROW(S506)&lt;=COUNTA(N:N)*2,IF(MOD(ROW(S506),2)=1,INDEX(N:N,(ROW(S506)+1)/2),INDEX(P:P,ROW(S506)/2)),"")</f>
        <v>-595.8</v>
      </c>
      <c r="T506" s="21">
        <f t="array" ref="T506">IF(ROW(T506)&lt;=COUNTA(O:O)*2,IF(MOD(ROW(T506),2)=1,INDEX(O:O,(ROW(T506)+1)/2),INDEX(Q:Q,ROW(T506)/2)),"")</f>
        <v>115.2</v>
      </c>
      <c r="V506" s="22"/>
      <c r="W506" s="22"/>
      <c r="X506" s="22"/>
      <c r="Y506" s="22"/>
      <c r="Z506" s="22"/>
      <c r="AA506" s="22">
        <f t="array" ref="AA506">IF(ROW(AA506)&lt;=COUNTA(V:V)*2,IF(MOD(ROW(AA506),2)=1,INDEX(V:V,(ROW(AA506)+1)/2),INDEX(X:X,ROW(AA506)/2)),"")</f>
        <v>-595.8</v>
      </c>
      <c r="AB506" s="22">
        <f t="array" ref="AB506">IF(ROW(AB506)&lt;=COUNTA(W:W)*2,IF(MOD(ROW(AB506),2)=1,INDEX(W:W,(ROW(AB506)+1)/2),INDEX(Y:Y,ROW(AB506)/2)),"")</f>
        <v>122.6508</v>
      </c>
    </row>
    <row r="507" spans="1:28" s="2" customFormat="1" x14ac:dyDescent="0.25">
      <c r="A507" s="19"/>
      <c r="B507" s="20"/>
      <c r="C507" s="21"/>
      <c r="D507" s="22"/>
      <c r="F507" s="20"/>
      <c r="G507" s="20"/>
      <c r="H507" s="20"/>
      <c r="I507" s="20"/>
      <c r="J507" s="20"/>
      <c r="K507" s="34">
        <f t="array" ref="K507">IF(ROW(K507)&lt;=COUNTA(F:F)*2,IF(MOD(ROW(K507),2)=1,INDEX(F:F,(ROW(K507)+1)/2),INDEX(H:H,ROW(K507)/2)),"")</f>
        <v>-595.8</v>
      </c>
      <c r="L507" s="34">
        <f t="array" ref="L507">IF(ROW(L507)&lt;=COUNTA(G:G)*2,IF(MOD(ROW(L507),2)=1,INDEX(G:G,(ROW(L507)+1)/2),INDEX(I:I,ROW(L507)/2)),"")</f>
        <v>112</v>
      </c>
      <c r="N507" s="21"/>
      <c r="O507" s="21"/>
      <c r="P507" s="21"/>
      <c r="Q507" s="21"/>
      <c r="R507" s="21"/>
      <c r="S507" s="21">
        <f t="array" ref="S507">IF(ROW(S507)&lt;=COUNTA(N:N)*2,IF(MOD(ROW(S507),2)=1,INDEX(N:N,(ROW(S507)+1)/2),INDEX(P:P,ROW(S507)/2)),"")</f>
        <v>-595.8</v>
      </c>
      <c r="T507" s="21">
        <f t="array" ref="T507">IF(ROW(T507)&lt;=COUNTA(O:O)*2,IF(MOD(ROW(T507),2)=1,INDEX(O:O,(ROW(T507)+1)/2),INDEX(Q:Q,ROW(T507)/2)),"")</f>
        <v>120.3</v>
      </c>
      <c r="V507" s="22"/>
      <c r="W507" s="22"/>
      <c r="X507" s="22"/>
      <c r="Y507" s="22"/>
      <c r="Z507" s="22"/>
      <c r="AA507" s="22">
        <f t="array" ref="AA507">IF(ROW(AA507)&lt;=COUNTA(V:V)*2,IF(MOD(ROW(AA507),2)=1,INDEX(V:V,(ROW(AA507)+1)/2),INDEX(X:X,ROW(AA507)/2)),"")</f>
        <v>-595.8</v>
      </c>
      <c r="AB507" s="22">
        <f t="array" ref="AB507">IF(ROW(AB507)&lt;=COUNTA(W:W)*2,IF(MOD(ROW(AB507),2)=1,INDEX(W:W,(ROW(AB507)+1)/2),INDEX(Y:Y,ROW(AB507)/2)),"")</f>
        <v>122.8421</v>
      </c>
    </row>
    <row r="508" spans="1:28" s="2" customFormat="1" x14ac:dyDescent="0.25">
      <c r="A508" s="19"/>
      <c r="B508" s="20"/>
      <c r="C508" s="21"/>
      <c r="D508" s="22"/>
      <c r="F508" s="20"/>
      <c r="G508" s="20"/>
      <c r="H508" s="20"/>
      <c r="I508" s="20"/>
      <c r="J508" s="20"/>
      <c r="K508" s="34">
        <f t="array" ref="K508">IF(ROW(K508)&lt;=COUNTA(F:F)*2,IF(MOD(ROW(K508),2)=1,INDEX(F:F,(ROW(K508)+1)/2),INDEX(H:H,ROW(K508)/2)),"")</f>
        <v>-598.8</v>
      </c>
      <c r="L508" s="34">
        <f t="array" ref="L508">IF(ROW(L508)&lt;=COUNTA(G:G)*2,IF(MOD(ROW(L508),2)=1,INDEX(G:G,(ROW(L508)+1)/2),INDEX(I:I,ROW(L508)/2)),"")</f>
        <v>112</v>
      </c>
      <c r="N508" s="21"/>
      <c r="O508" s="21"/>
      <c r="P508" s="21"/>
      <c r="Q508" s="21"/>
      <c r="R508" s="21"/>
      <c r="S508" s="21">
        <f t="array" ref="S508">IF(ROW(S508)&lt;=COUNTA(N:N)*2,IF(MOD(ROW(S508),2)=1,INDEX(N:N,(ROW(S508)+1)/2),INDEX(P:P,ROW(S508)/2)),"")</f>
        <v>-598.8</v>
      </c>
      <c r="T508" s="21">
        <f t="array" ref="T508">IF(ROW(T508)&lt;=COUNTA(O:O)*2,IF(MOD(ROW(T508),2)=1,INDEX(O:O,(ROW(T508)+1)/2),INDEX(Q:Q,ROW(T508)/2)),"")</f>
        <v>120.3</v>
      </c>
      <c r="V508" s="22"/>
      <c r="W508" s="22"/>
      <c r="X508" s="22"/>
      <c r="Y508" s="22"/>
      <c r="Z508" s="22"/>
      <c r="AA508" s="22">
        <f t="array" ref="AA508">IF(ROW(AA508)&lt;=COUNTA(V:V)*2,IF(MOD(ROW(AA508),2)=1,INDEX(V:V,(ROW(AA508)+1)/2),INDEX(X:X,ROW(AA508)/2)),"")</f>
        <v>-598.8</v>
      </c>
      <c r="AB508" s="22">
        <f t="array" ref="AB508">IF(ROW(AB508)&lt;=COUNTA(W:W)*2,IF(MOD(ROW(AB508),2)=1,INDEX(W:W,(ROW(AB508)+1)/2),INDEX(Y:Y,ROW(AB508)/2)),"")</f>
        <v>122.8421</v>
      </c>
    </row>
    <row r="509" spans="1:28" s="2" customFormat="1" x14ac:dyDescent="0.25">
      <c r="A509" s="19"/>
      <c r="B509" s="20"/>
      <c r="C509" s="21"/>
      <c r="D509" s="22"/>
      <c r="F509" s="20"/>
      <c r="G509" s="20"/>
      <c r="H509" s="20"/>
      <c r="I509" s="20"/>
      <c r="J509" s="20"/>
      <c r="K509" s="34">
        <f t="array" ref="K509">IF(ROW(K509)&lt;=COUNTA(F:F)*2,IF(MOD(ROW(K509),2)=1,INDEX(F:F,(ROW(K509)+1)/2),INDEX(H:H,ROW(K509)/2)),"")</f>
        <v>-598.8</v>
      </c>
      <c r="L509" s="34">
        <f t="array" ref="L509">IF(ROW(L509)&lt;=COUNTA(G:G)*2,IF(MOD(ROW(L509),2)=1,INDEX(G:G,(ROW(L509)+1)/2),INDEX(I:I,ROW(L509)/2)),"")</f>
        <v>112.4</v>
      </c>
      <c r="N509" s="21"/>
      <c r="O509" s="21"/>
      <c r="P509" s="21"/>
      <c r="Q509" s="21"/>
      <c r="R509" s="21"/>
      <c r="S509" s="21">
        <f t="array" ref="S509">IF(ROW(S509)&lt;=COUNTA(N:N)*2,IF(MOD(ROW(S509),2)=1,INDEX(N:N,(ROW(S509)+1)/2),INDEX(P:P,ROW(S509)/2)),"")</f>
        <v>-598.8</v>
      </c>
      <c r="T509" s="21">
        <f t="array" ref="T509">IF(ROW(T509)&lt;=COUNTA(O:O)*2,IF(MOD(ROW(T509),2)=1,INDEX(O:O,(ROW(T509)+1)/2),INDEX(Q:Q,ROW(T509)/2)),"")</f>
        <v>114.4</v>
      </c>
      <c r="V509" s="22"/>
      <c r="W509" s="22"/>
      <c r="X509" s="22"/>
      <c r="Y509" s="22"/>
      <c r="Z509" s="22"/>
      <c r="AA509" s="22">
        <f t="array" ref="AA509">IF(ROW(AA509)&lt;=COUNTA(V:V)*2,IF(MOD(ROW(AA509),2)=1,INDEX(V:V,(ROW(AA509)+1)/2),INDEX(X:X,ROW(AA509)/2)),"")</f>
        <v>-598.8</v>
      </c>
      <c r="AB509" s="22">
        <f t="array" ref="AB509">IF(ROW(AB509)&lt;=COUNTA(W:W)*2,IF(MOD(ROW(AB509),2)=1,INDEX(W:W,(ROW(AB509)+1)/2),INDEX(Y:Y,ROW(AB509)/2)),"")</f>
        <v>123.0052</v>
      </c>
    </row>
    <row r="510" spans="1:28" s="2" customFormat="1" x14ac:dyDescent="0.25">
      <c r="A510" s="19"/>
      <c r="B510" s="20"/>
      <c r="C510" s="21"/>
      <c r="D510" s="22"/>
      <c r="F510" s="20"/>
      <c r="G510" s="20"/>
      <c r="H510" s="20"/>
      <c r="I510" s="20"/>
      <c r="J510" s="20"/>
      <c r="K510" s="34">
        <f t="array" ref="K510">IF(ROW(K510)&lt;=COUNTA(F:F)*2,IF(MOD(ROW(K510),2)=1,INDEX(F:F,(ROW(K510)+1)/2),INDEX(H:H,ROW(K510)/2)),"")</f>
        <v>-601.8</v>
      </c>
      <c r="L510" s="34">
        <f t="array" ref="L510">IF(ROW(L510)&lt;=COUNTA(G:G)*2,IF(MOD(ROW(L510),2)=1,INDEX(G:G,(ROW(L510)+1)/2),INDEX(I:I,ROW(L510)/2)),"")</f>
        <v>112.4</v>
      </c>
      <c r="N510" s="21"/>
      <c r="O510" s="21"/>
      <c r="P510" s="21"/>
      <c r="Q510" s="21"/>
      <c r="R510" s="21"/>
      <c r="S510" s="21">
        <f t="array" ref="S510">IF(ROW(S510)&lt;=COUNTA(N:N)*2,IF(MOD(ROW(S510),2)=1,INDEX(N:N,(ROW(S510)+1)/2),INDEX(P:P,ROW(S510)/2)),"")</f>
        <v>-601.8</v>
      </c>
      <c r="T510" s="21">
        <f t="array" ref="T510">IF(ROW(T510)&lt;=COUNTA(O:O)*2,IF(MOD(ROW(T510),2)=1,INDEX(O:O,(ROW(T510)+1)/2),INDEX(Q:Q,ROW(T510)/2)),"")</f>
        <v>114.4</v>
      </c>
      <c r="V510" s="22"/>
      <c r="W510" s="22"/>
      <c r="X510" s="22"/>
      <c r="Y510" s="22"/>
      <c r="Z510" s="22"/>
      <c r="AA510" s="22">
        <f t="array" ref="AA510">IF(ROW(AA510)&lt;=COUNTA(V:V)*2,IF(MOD(ROW(AA510),2)=1,INDEX(V:V,(ROW(AA510)+1)/2),INDEX(X:X,ROW(AA510)/2)),"")</f>
        <v>-601.8</v>
      </c>
      <c r="AB510" s="22">
        <f t="array" ref="AB510">IF(ROW(AB510)&lt;=COUNTA(W:W)*2,IF(MOD(ROW(AB510),2)=1,INDEX(W:W,(ROW(AB510)+1)/2),INDEX(Y:Y,ROW(AB510)/2)),"")</f>
        <v>123.0052</v>
      </c>
    </row>
    <row r="511" spans="1:28" s="2" customFormat="1" x14ac:dyDescent="0.25">
      <c r="A511" s="19"/>
      <c r="B511" s="20"/>
      <c r="C511" s="21"/>
      <c r="D511" s="22"/>
      <c r="F511" s="20"/>
      <c r="G511" s="20"/>
      <c r="H511" s="20"/>
      <c r="I511" s="20"/>
      <c r="J511" s="20"/>
      <c r="K511" s="34">
        <f t="array" ref="K511">IF(ROW(K511)&lt;=COUNTA(F:F)*2,IF(MOD(ROW(K511),2)=1,INDEX(F:F,(ROW(K511)+1)/2),INDEX(H:H,ROW(K511)/2)),"")</f>
        <v>-601.8</v>
      </c>
      <c r="L511" s="34">
        <f t="array" ref="L511">IF(ROW(L511)&lt;=COUNTA(G:G)*2,IF(MOD(ROW(L511),2)=1,INDEX(G:G,(ROW(L511)+1)/2),INDEX(I:I,ROW(L511)/2)),"")</f>
        <v>111.8</v>
      </c>
      <c r="N511" s="21"/>
      <c r="O511" s="21"/>
      <c r="P511" s="21"/>
      <c r="Q511" s="21"/>
      <c r="R511" s="21"/>
      <c r="S511" s="21">
        <f t="array" ref="S511">IF(ROW(S511)&lt;=COUNTA(N:N)*2,IF(MOD(ROW(S511),2)=1,INDEX(N:N,(ROW(S511)+1)/2),INDEX(P:P,ROW(S511)/2)),"")</f>
        <v>-601.8</v>
      </c>
      <c r="T511" s="21">
        <f t="array" ref="T511">IF(ROW(T511)&lt;=COUNTA(O:O)*2,IF(MOD(ROW(T511),2)=1,INDEX(O:O,(ROW(T511)+1)/2),INDEX(Q:Q,ROW(T511)/2)),"")</f>
        <v>119.3</v>
      </c>
      <c r="V511" s="22"/>
      <c r="W511" s="22"/>
      <c r="X511" s="22"/>
      <c r="Y511" s="22"/>
      <c r="Z511" s="22"/>
      <c r="AA511" s="22">
        <f t="array" ref="AA511">IF(ROW(AA511)&lt;=COUNTA(V:V)*2,IF(MOD(ROW(AA511),2)=1,INDEX(V:V,(ROW(AA511)+1)/2),INDEX(X:X,ROW(AA511)/2)),"")</f>
        <v>-601.8</v>
      </c>
      <c r="AB511" s="22">
        <f t="array" ref="AB511">IF(ROW(AB511)&lt;=COUNTA(W:W)*2,IF(MOD(ROW(AB511),2)=1,INDEX(W:W,(ROW(AB511)+1)/2),INDEX(Y:Y,ROW(AB511)/2)),"")</f>
        <v>122.7572</v>
      </c>
    </row>
    <row r="512" spans="1:28" s="2" customFormat="1" x14ac:dyDescent="0.25">
      <c r="A512" s="19"/>
      <c r="B512" s="20"/>
      <c r="C512" s="21"/>
      <c r="D512" s="22"/>
      <c r="F512" s="20"/>
      <c r="G512" s="20"/>
      <c r="H512" s="20"/>
      <c r="I512" s="20"/>
      <c r="J512" s="20"/>
      <c r="K512" s="34">
        <f t="array" ref="K512">IF(ROW(K512)&lt;=COUNTA(F:F)*2,IF(MOD(ROW(K512),2)=1,INDEX(F:F,(ROW(K512)+1)/2),INDEX(H:H,ROW(K512)/2)),"")</f>
        <v>-603.3</v>
      </c>
      <c r="L512" s="34">
        <f t="array" ref="L512">IF(ROW(L512)&lt;=COUNTA(G:G)*2,IF(MOD(ROW(L512),2)=1,INDEX(G:G,(ROW(L512)+1)/2),INDEX(I:I,ROW(L512)/2)),"")</f>
        <v>111.8</v>
      </c>
      <c r="N512" s="21"/>
      <c r="O512" s="21"/>
      <c r="P512" s="21"/>
      <c r="Q512" s="21"/>
      <c r="R512" s="21"/>
      <c r="S512" s="21">
        <f t="array" ref="S512">IF(ROW(S512)&lt;=COUNTA(N:N)*2,IF(MOD(ROW(S512),2)=1,INDEX(N:N,(ROW(S512)+1)/2),INDEX(P:P,ROW(S512)/2)),"")</f>
        <v>-603.3</v>
      </c>
      <c r="T512" s="21">
        <f t="array" ref="T512">IF(ROW(T512)&lt;=COUNTA(O:O)*2,IF(MOD(ROW(T512),2)=1,INDEX(O:O,(ROW(T512)+1)/2),INDEX(Q:Q,ROW(T512)/2)),"")</f>
        <v>119.3</v>
      </c>
      <c r="V512" s="22"/>
      <c r="W512" s="22"/>
      <c r="X512" s="22"/>
      <c r="Y512" s="22"/>
      <c r="Z512" s="22"/>
      <c r="AA512" s="22">
        <f t="array" ref="AA512">IF(ROW(AA512)&lt;=COUNTA(V:V)*2,IF(MOD(ROW(AA512),2)=1,INDEX(V:V,(ROW(AA512)+1)/2),INDEX(X:X,ROW(AA512)/2)),"")</f>
        <v>-603.3</v>
      </c>
      <c r="AB512" s="22">
        <f t="array" ref="AB512">IF(ROW(AB512)&lt;=COUNTA(W:W)*2,IF(MOD(ROW(AB512),2)=1,INDEX(W:W,(ROW(AB512)+1)/2),INDEX(Y:Y,ROW(AB512)/2)),"")</f>
        <v>122.7572</v>
      </c>
    </row>
    <row r="513" spans="1:28" s="2" customFormat="1" x14ac:dyDescent="0.25">
      <c r="A513" s="19"/>
      <c r="B513" s="20"/>
      <c r="C513" s="21"/>
      <c r="D513" s="22"/>
      <c r="F513" s="20"/>
      <c r="G513" s="20"/>
      <c r="H513" s="20"/>
      <c r="I513" s="20"/>
      <c r="J513" s="20"/>
      <c r="K513" s="34">
        <f t="array" ref="K513">IF(ROW(K513)&lt;=COUNTA(F:F)*2,IF(MOD(ROW(K513),2)=1,INDEX(F:F,(ROW(K513)+1)/2),INDEX(H:H,ROW(K513)/2)),"")</f>
        <v>-603.3</v>
      </c>
      <c r="L513" s="34">
        <f t="array" ref="L513">IF(ROW(L513)&lt;=COUNTA(G:G)*2,IF(MOD(ROW(L513),2)=1,INDEX(G:G,(ROW(L513)+1)/2),INDEX(I:I,ROW(L513)/2)),"")</f>
        <v>112.4</v>
      </c>
      <c r="N513" s="21"/>
      <c r="O513" s="21"/>
      <c r="P513" s="21"/>
      <c r="Q513" s="21"/>
      <c r="R513" s="21"/>
      <c r="S513" s="21">
        <f t="array" ref="S513">IF(ROW(S513)&lt;=COUNTA(N:N)*2,IF(MOD(ROW(S513),2)=1,INDEX(N:N,(ROW(S513)+1)/2),INDEX(P:P,ROW(S513)/2)),"")</f>
        <v>-603.3</v>
      </c>
      <c r="T513" s="21">
        <f t="array" ref="T513">IF(ROW(T513)&lt;=COUNTA(O:O)*2,IF(MOD(ROW(T513),2)=1,INDEX(O:O,(ROW(T513)+1)/2),INDEX(Q:Q,ROW(T513)/2)),"")</f>
        <v>118.3</v>
      </c>
      <c r="V513" s="22"/>
      <c r="W513" s="22"/>
      <c r="X513" s="22"/>
      <c r="Y513" s="22"/>
      <c r="Z513" s="22"/>
      <c r="AA513" s="22">
        <f t="array" ref="AA513">IF(ROW(AA513)&lt;=COUNTA(V:V)*2,IF(MOD(ROW(AA513),2)=1,INDEX(V:V,(ROW(AA513)+1)/2),INDEX(X:X,ROW(AA513)/2)),"")</f>
        <v>-603.3</v>
      </c>
      <c r="AB513" s="22">
        <f t="array" ref="AB513">IF(ROW(AB513)&lt;=COUNTA(W:W)*2,IF(MOD(ROW(AB513),2)=1,INDEX(W:W,(ROW(AB513)+1)/2),INDEX(Y:Y,ROW(AB513)/2)),"")</f>
        <v>122.720625</v>
      </c>
    </row>
    <row r="514" spans="1:28" s="2" customFormat="1" x14ac:dyDescent="0.25">
      <c r="A514" s="19"/>
      <c r="B514" s="20"/>
      <c r="C514" s="21"/>
      <c r="D514" s="22"/>
      <c r="F514" s="20"/>
      <c r="G514" s="20"/>
      <c r="H514" s="20"/>
      <c r="I514" s="20"/>
      <c r="J514" s="20"/>
      <c r="K514" s="34">
        <f t="array" ref="K514">IF(ROW(K514)&lt;=COUNTA(F:F)*2,IF(MOD(ROW(K514),2)=1,INDEX(F:F,(ROW(K514)+1)/2),INDEX(H:H,ROW(K514)/2)),"")</f>
        <v>-606.3</v>
      </c>
      <c r="L514" s="34">
        <f t="array" ref="L514">IF(ROW(L514)&lt;=COUNTA(G:G)*2,IF(MOD(ROW(L514),2)=1,INDEX(G:G,(ROW(L514)+1)/2),INDEX(I:I,ROW(L514)/2)),"")</f>
        <v>112.4</v>
      </c>
      <c r="N514" s="21"/>
      <c r="O514" s="21"/>
      <c r="P514" s="21"/>
      <c r="Q514" s="21"/>
      <c r="R514" s="21"/>
      <c r="S514" s="21">
        <f t="array" ref="S514">IF(ROW(S514)&lt;=COUNTA(N:N)*2,IF(MOD(ROW(S514),2)=1,INDEX(N:N,(ROW(S514)+1)/2),INDEX(P:P,ROW(S514)/2)),"")</f>
        <v>-606.3</v>
      </c>
      <c r="T514" s="21">
        <f t="array" ref="T514">IF(ROW(T514)&lt;=COUNTA(O:O)*2,IF(MOD(ROW(T514),2)=1,INDEX(O:O,(ROW(T514)+1)/2),INDEX(Q:Q,ROW(T514)/2)),"")</f>
        <v>118.3</v>
      </c>
      <c r="V514" s="22"/>
      <c r="W514" s="22"/>
      <c r="X514" s="22"/>
      <c r="Y514" s="22"/>
      <c r="Z514" s="22"/>
      <c r="AA514" s="22">
        <f t="array" ref="AA514">IF(ROW(AA514)&lt;=COUNTA(V:V)*2,IF(MOD(ROW(AA514),2)=1,INDEX(V:V,(ROW(AA514)+1)/2),INDEX(X:X,ROW(AA514)/2)),"")</f>
        <v>-606.3</v>
      </c>
      <c r="AB514" s="22">
        <f t="array" ref="AB514">IF(ROW(AB514)&lt;=COUNTA(W:W)*2,IF(MOD(ROW(AB514),2)=1,INDEX(W:W,(ROW(AB514)+1)/2),INDEX(Y:Y,ROW(AB514)/2)),"")</f>
        <v>122.720625</v>
      </c>
    </row>
    <row r="515" spans="1:28" s="2" customFormat="1" x14ac:dyDescent="0.25">
      <c r="A515" s="19"/>
      <c r="B515" s="20"/>
      <c r="C515" s="21"/>
      <c r="D515" s="22"/>
      <c r="F515" s="20"/>
      <c r="G515" s="20"/>
      <c r="H515" s="20"/>
      <c r="I515" s="20"/>
      <c r="J515" s="20"/>
      <c r="K515" s="34">
        <f t="array" ref="K515">IF(ROW(K515)&lt;=COUNTA(F:F)*2,IF(MOD(ROW(K515),2)=1,INDEX(F:F,(ROW(K515)+1)/2),INDEX(H:H,ROW(K515)/2)),"")</f>
        <v>-606.3</v>
      </c>
      <c r="L515" s="34">
        <f t="array" ref="L515">IF(ROW(L515)&lt;=COUNTA(G:G)*2,IF(MOD(ROW(L515),2)=1,INDEX(G:G,(ROW(L515)+1)/2),INDEX(I:I,ROW(L515)/2)),"")</f>
        <v>112.4</v>
      </c>
      <c r="N515" s="21"/>
      <c r="O515" s="21"/>
      <c r="P515" s="21"/>
      <c r="Q515" s="21"/>
      <c r="R515" s="21"/>
      <c r="S515" s="21">
        <f t="array" ref="S515">IF(ROW(S515)&lt;=COUNTA(N:N)*2,IF(MOD(ROW(S515),2)=1,INDEX(N:N,(ROW(S515)+1)/2),INDEX(P:P,ROW(S515)/2)),"")</f>
        <v>-606.3</v>
      </c>
      <c r="T515" s="21">
        <f t="array" ref="T515">IF(ROW(T515)&lt;=COUNTA(O:O)*2,IF(MOD(ROW(T515),2)=1,INDEX(O:O,(ROW(T515)+1)/2),INDEX(Q:Q,ROW(T515)/2)),"")</f>
        <v>118.5</v>
      </c>
      <c r="V515" s="22"/>
      <c r="W515" s="22"/>
      <c r="X515" s="22"/>
      <c r="Y515" s="22"/>
      <c r="Z515" s="22"/>
      <c r="AA515" s="22">
        <f t="array" ref="AA515">IF(ROW(AA515)&lt;=COUNTA(V:V)*2,IF(MOD(ROW(AA515),2)=1,INDEX(V:V,(ROW(AA515)+1)/2),INDEX(X:X,ROW(AA515)/2)),"")</f>
        <v>-606.3</v>
      </c>
      <c r="AB515" s="22">
        <f t="array" ref="AB515">IF(ROW(AB515)&lt;=COUNTA(W:W)*2,IF(MOD(ROW(AB515),2)=1,INDEX(W:W,(ROW(AB515)+1)/2),INDEX(Y:Y,ROW(AB515)/2)),"")</f>
        <v>122.712</v>
      </c>
    </row>
    <row r="516" spans="1:28" s="2" customFormat="1" x14ac:dyDescent="0.25">
      <c r="A516" s="19"/>
      <c r="B516" s="20"/>
      <c r="C516" s="21"/>
      <c r="D516" s="22"/>
      <c r="F516" s="20"/>
      <c r="G516" s="20"/>
      <c r="H516" s="20"/>
      <c r="I516" s="20"/>
      <c r="J516" s="20"/>
      <c r="K516" s="34">
        <f t="array" ref="K516">IF(ROW(K516)&lt;=COUNTA(F:F)*2,IF(MOD(ROW(K516),2)=1,INDEX(F:F,(ROW(K516)+1)/2),INDEX(H:H,ROW(K516)/2)),"")</f>
        <v>-609.3</v>
      </c>
      <c r="L516" s="34">
        <f t="array" ref="L516">IF(ROW(L516)&lt;=COUNTA(G:G)*2,IF(MOD(ROW(L516),2)=1,INDEX(G:G,(ROW(L516)+1)/2),INDEX(I:I,ROW(L516)/2)),"")</f>
        <v>112.4</v>
      </c>
      <c r="N516" s="21"/>
      <c r="O516" s="21"/>
      <c r="P516" s="21"/>
      <c r="Q516" s="21"/>
      <c r="R516" s="21"/>
      <c r="S516" s="21">
        <f t="array" ref="S516">IF(ROW(S516)&lt;=COUNTA(N:N)*2,IF(MOD(ROW(S516),2)=1,INDEX(N:N,(ROW(S516)+1)/2),INDEX(P:P,ROW(S516)/2)),"")</f>
        <v>-609.3</v>
      </c>
      <c r="T516" s="21">
        <f t="array" ref="T516">IF(ROW(T516)&lt;=COUNTA(O:O)*2,IF(MOD(ROW(T516),2)=1,INDEX(O:O,(ROW(T516)+1)/2),INDEX(Q:Q,ROW(T516)/2)),"")</f>
        <v>118.5</v>
      </c>
      <c r="V516" s="22"/>
      <c r="W516" s="22"/>
      <c r="X516" s="22"/>
      <c r="Y516" s="22"/>
      <c r="Z516" s="22"/>
      <c r="AA516" s="22">
        <f t="array" ref="AA516">IF(ROW(AA516)&lt;=COUNTA(V:V)*2,IF(MOD(ROW(AA516),2)=1,INDEX(V:V,(ROW(AA516)+1)/2),INDEX(X:X,ROW(AA516)/2)),"")</f>
        <v>-609.3</v>
      </c>
      <c r="AB516" s="22">
        <f t="array" ref="AB516">IF(ROW(AB516)&lt;=COUNTA(W:W)*2,IF(MOD(ROW(AB516),2)=1,INDEX(W:W,(ROW(AB516)+1)/2),INDEX(Y:Y,ROW(AB516)/2)),"")</f>
        <v>122.712</v>
      </c>
    </row>
    <row r="517" spans="1:28" s="2" customFormat="1" x14ac:dyDescent="0.25">
      <c r="A517" s="19"/>
      <c r="B517" s="20"/>
      <c r="C517" s="21"/>
      <c r="D517" s="22"/>
      <c r="F517" s="20"/>
      <c r="G517" s="20"/>
      <c r="H517" s="20"/>
      <c r="I517" s="20"/>
      <c r="J517" s="20"/>
      <c r="K517" s="34">
        <f t="array" ref="K517">IF(ROW(K517)&lt;=COUNTA(F:F)*2,IF(MOD(ROW(K517),2)=1,INDEX(F:F,(ROW(K517)+1)/2),INDEX(H:H,ROW(K517)/2)),"")</f>
        <v>-609.3</v>
      </c>
      <c r="L517" s="34">
        <f t="array" ref="L517">IF(ROW(L517)&lt;=COUNTA(G:G)*2,IF(MOD(ROW(L517),2)=1,INDEX(G:G,(ROW(L517)+1)/2),INDEX(I:I,ROW(L517)/2)),"")</f>
        <v>112.4</v>
      </c>
      <c r="N517" s="21"/>
      <c r="O517" s="21"/>
      <c r="P517" s="21"/>
      <c r="Q517" s="21"/>
      <c r="R517" s="21"/>
      <c r="S517" s="21">
        <f t="array" ref="S517">IF(ROW(S517)&lt;=COUNTA(N:N)*2,IF(MOD(ROW(S517),2)=1,INDEX(N:N,(ROW(S517)+1)/2),INDEX(P:P,ROW(S517)/2)),"")</f>
        <v>-609.3</v>
      </c>
      <c r="T517" s="21">
        <f t="array" ref="T517">IF(ROW(T517)&lt;=COUNTA(O:O)*2,IF(MOD(ROW(T517),2)=1,INDEX(O:O,(ROW(T517)+1)/2),INDEX(Q:Q,ROW(T517)/2)),"")</f>
        <v>118.9</v>
      </c>
      <c r="V517" s="22"/>
      <c r="W517" s="22"/>
      <c r="X517" s="22"/>
      <c r="Y517" s="22"/>
      <c r="Z517" s="22"/>
      <c r="AA517" s="22">
        <f t="array" ref="AA517">IF(ROW(AA517)&lt;=COUNTA(V:V)*2,IF(MOD(ROW(AA517),2)=1,INDEX(V:V,(ROW(AA517)+1)/2),INDEX(X:X,ROW(AA517)/2)),"")</f>
        <v>-609.3</v>
      </c>
      <c r="AB517" s="22">
        <f t="array" ref="AB517">IF(ROW(AB517)&lt;=COUNTA(W:W)*2,IF(MOD(ROW(AB517),2)=1,INDEX(W:W,(ROW(AB517)+1)/2),INDEX(Y:Y,ROW(AB517)/2)),"")</f>
        <v>122.63435</v>
      </c>
    </row>
    <row r="518" spans="1:28" s="2" customFormat="1" x14ac:dyDescent="0.25">
      <c r="A518" s="19"/>
      <c r="B518" s="20"/>
      <c r="C518" s="21"/>
      <c r="D518" s="22"/>
      <c r="F518" s="20"/>
      <c r="G518" s="20"/>
      <c r="H518" s="20"/>
      <c r="I518" s="20"/>
      <c r="J518" s="20"/>
      <c r="K518" s="34">
        <f t="array" ref="K518">IF(ROW(K518)&lt;=COUNTA(F:F)*2,IF(MOD(ROW(K518),2)=1,INDEX(F:F,(ROW(K518)+1)/2),INDEX(H:H,ROW(K518)/2)),"")</f>
        <v>-612.3</v>
      </c>
      <c r="L518" s="34">
        <f t="array" ref="L518">IF(ROW(L518)&lt;=COUNTA(G:G)*2,IF(MOD(ROW(L518),2)=1,INDEX(G:G,(ROW(L518)+1)/2),INDEX(I:I,ROW(L518)/2)),"")</f>
        <v>112.4</v>
      </c>
      <c r="N518" s="21"/>
      <c r="O518" s="21"/>
      <c r="P518" s="21"/>
      <c r="Q518" s="21"/>
      <c r="R518" s="21"/>
      <c r="S518" s="21">
        <f t="array" ref="S518">IF(ROW(S518)&lt;=COUNTA(N:N)*2,IF(MOD(ROW(S518),2)=1,INDEX(N:N,(ROW(S518)+1)/2),INDEX(P:P,ROW(S518)/2)),"")</f>
        <v>-612.3</v>
      </c>
      <c r="T518" s="21">
        <f t="array" ref="T518">IF(ROW(T518)&lt;=COUNTA(O:O)*2,IF(MOD(ROW(T518),2)=1,INDEX(O:O,(ROW(T518)+1)/2),INDEX(Q:Q,ROW(T518)/2)),"")</f>
        <v>118.9</v>
      </c>
      <c r="V518" s="22"/>
      <c r="W518" s="22"/>
      <c r="X518" s="22"/>
      <c r="Y518" s="22"/>
      <c r="Z518" s="22"/>
      <c r="AA518" s="22">
        <f t="array" ref="AA518">IF(ROW(AA518)&lt;=COUNTA(V:V)*2,IF(MOD(ROW(AA518),2)=1,INDEX(V:V,(ROW(AA518)+1)/2),INDEX(X:X,ROW(AA518)/2)),"")</f>
        <v>-612.3</v>
      </c>
      <c r="AB518" s="22">
        <f t="array" ref="AB518">IF(ROW(AB518)&lt;=COUNTA(W:W)*2,IF(MOD(ROW(AB518),2)=1,INDEX(W:W,(ROW(AB518)+1)/2),INDEX(Y:Y,ROW(AB518)/2)),"")</f>
        <v>122.63435</v>
      </c>
    </row>
    <row r="519" spans="1:28" s="2" customFormat="1" x14ac:dyDescent="0.25">
      <c r="A519" s="19"/>
      <c r="B519" s="20"/>
      <c r="C519" s="21"/>
      <c r="D519" s="22"/>
      <c r="F519" s="20"/>
      <c r="G519" s="20"/>
      <c r="H519" s="20"/>
      <c r="I519" s="20"/>
      <c r="J519" s="20"/>
      <c r="K519" s="34">
        <f t="array" ref="K519">IF(ROW(K519)&lt;=COUNTA(F:F)*2,IF(MOD(ROW(K519),2)=1,INDEX(F:F,(ROW(K519)+1)/2),INDEX(H:H,ROW(K519)/2)),"")</f>
        <v>-612.3</v>
      </c>
      <c r="L519" s="34">
        <f t="array" ref="L519">IF(ROW(L519)&lt;=COUNTA(G:G)*2,IF(MOD(ROW(L519),2)=1,INDEX(G:G,(ROW(L519)+1)/2),INDEX(I:I,ROW(L519)/2)),"")</f>
        <v>112.4</v>
      </c>
      <c r="N519" s="21"/>
      <c r="O519" s="21"/>
      <c r="P519" s="21"/>
      <c r="Q519" s="21"/>
      <c r="R519" s="21"/>
      <c r="S519" s="21">
        <f t="array" ref="S519">IF(ROW(S519)&lt;=COUNTA(N:N)*2,IF(MOD(ROW(S519),2)=1,INDEX(N:N,(ROW(S519)+1)/2),INDEX(P:P,ROW(S519)/2)),"")</f>
        <v>-612.3</v>
      </c>
      <c r="T519" s="21">
        <f t="array" ref="T519">IF(ROW(T519)&lt;=COUNTA(O:O)*2,IF(MOD(ROW(T519),2)=1,INDEX(O:O,(ROW(T519)+1)/2),INDEX(Q:Q,ROW(T519)/2)),"")</f>
        <v>115.7</v>
      </c>
      <c r="V519" s="22"/>
      <c r="W519" s="22"/>
      <c r="X519" s="22"/>
      <c r="Y519" s="22"/>
      <c r="Z519" s="22"/>
      <c r="AA519" s="22">
        <f t="array" ref="AA519">IF(ROW(AA519)&lt;=COUNTA(V:V)*2,IF(MOD(ROW(AA519),2)=1,INDEX(V:V,(ROW(AA519)+1)/2),INDEX(X:X,ROW(AA519)/2)),"")</f>
        <v>-612.3</v>
      </c>
      <c r="AB519" s="22">
        <f t="array" ref="AB519">IF(ROW(AB519)&lt;=COUNTA(W:W)*2,IF(MOD(ROW(AB519),2)=1,INDEX(W:W,(ROW(AB519)+1)/2),INDEX(Y:Y,ROW(AB519)/2)),"")</f>
        <v>122.65795</v>
      </c>
    </row>
    <row r="520" spans="1:28" s="2" customFormat="1" x14ac:dyDescent="0.25">
      <c r="A520" s="19"/>
      <c r="B520" s="20"/>
      <c r="C520" s="21"/>
      <c r="D520" s="22"/>
      <c r="F520" s="20"/>
      <c r="G520" s="20"/>
      <c r="H520" s="20"/>
      <c r="I520" s="20"/>
      <c r="J520" s="20"/>
      <c r="K520" s="34">
        <f t="array" ref="K520">IF(ROW(K520)&lt;=COUNTA(F:F)*2,IF(MOD(ROW(K520),2)=1,INDEX(F:F,(ROW(K520)+1)/2),INDEX(H:H,ROW(K520)/2)),"")</f>
        <v>-615.3</v>
      </c>
      <c r="L520" s="34">
        <f t="array" ref="L520">IF(ROW(L520)&lt;=COUNTA(G:G)*2,IF(MOD(ROW(L520),2)=1,INDEX(G:G,(ROW(L520)+1)/2),INDEX(I:I,ROW(L520)/2)),"")</f>
        <v>112.4</v>
      </c>
      <c r="N520" s="21"/>
      <c r="O520" s="21"/>
      <c r="P520" s="21"/>
      <c r="Q520" s="21"/>
      <c r="R520" s="21"/>
      <c r="S520" s="21">
        <f t="array" ref="S520">IF(ROW(S520)&lt;=COUNTA(N:N)*2,IF(MOD(ROW(S520),2)=1,INDEX(N:N,(ROW(S520)+1)/2),INDEX(P:P,ROW(S520)/2)),"")</f>
        <v>-615.3</v>
      </c>
      <c r="T520" s="21">
        <f t="array" ref="T520">IF(ROW(T520)&lt;=COUNTA(O:O)*2,IF(MOD(ROW(T520),2)=1,INDEX(O:O,(ROW(T520)+1)/2),INDEX(Q:Q,ROW(T520)/2)),"")</f>
        <v>115.7</v>
      </c>
      <c r="V520" s="22"/>
      <c r="W520" s="22"/>
      <c r="X520" s="22"/>
      <c r="Y520" s="22"/>
      <c r="Z520" s="22"/>
      <c r="AA520" s="22">
        <f t="array" ref="AA520">IF(ROW(AA520)&lt;=COUNTA(V:V)*2,IF(MOD(ROW(AA520),2)=1,INDEX(V:V,(ROW(AA520)+1)/2),INDEX(X:X,ROW(AA520)/2)),"")</f>
        <v>-615.3</v>
      </c>
      <c r="AB520" s="22">
        <f t="array" ref="AB520">IF(ROW(AB520)&lt;=COUNTA(W:W)*2,IF(MOD(ROW(AB520),2)=1,INDEX(W:W,(ROW(AB520)+1)/2),INDEX(Y:Y,ROW(AB520)/2)),"")</f>
        <v>122.65795</v>
      </c>
    </row>
    <row r="521" spans="1:28" s="2" customFormat="1" x14ac:dyDescent="0.25">
      <c r="A521" s="19"/>
      <c r="B521" s="20"/>
      <c r="C521" s="21"/>
      <c r="D521" s="22"/>
      <c r="F521" s="20"/>
      <c r="G521" s="20"/>
      <c r="H521" s="20"/>
      <c r="I521" s="20"/>
      <c r="J521" s="20"/>
      <c r="K521" s="34">
        <f t="array" ref="K521">IF(ROW(K521)&lt;=COUNTA(F:F)*2,IF(MOD(ROW(K521),2)=1,INDEX(F:F,(ROW(K521)+1)/2),INDEX(H:H,ROW(K521)/2)),"")</f>
        <v>-615.3</v>
      </c>
      <c r="L521" s="34">
        <f t="array" ref="L521">IF(ROW(L521)&lt;=COUNTA(G:G)*2,IF(MOD(ROW(L521),2)=1,INDEX(G:G,(ROW(L521)+1)/2),INDEX(I:I,ROW(L521)/2)),"")</f>
        <v>112.2</v>
      </c>
      <c r="N521" s="21"/>
      <c r="O521" s="21"/>
      <c r="P521" s="21"/>
      <c r="Q521" s="21"/>
      <c r="R521" s="21"/>
      <c r="S521" s="21">
        <f t="array" ref="S521">IF(ROW(S521)&lt;=COUNTA(N:N)*2,IF(MOD(ROW(S521),2)=1,INDEX(N:N,(ROW(S521)+1)/2),INDEX(P:P,ROW(S521)/2)),"")</f>
        <v>-615.3</v>
      </c>
      <c r="T521" s="21">
        <f t="array" ref="T521">IF(ROW(T521)&lt;=COUNTA(O:O)*2,IF(MOD(ROW(T521),2)=1,INDEX(O:O,(ROW(T521)+1)/2),INDEX(Q:Q,ROW(T521)/2)),"")</f>
        <v>117.1</v>
      </c>
      <c r="V521" s="22"/>
      <c r="W521" s="22"/>
      <c r="X521" s="22"/>
      <c r="Y521" s="22"/>
      <c r="Z521" s="22"/>
      <c r="AA521" s="22">
        <f t="array" ref="AA521">IF(ROW(AA521)&lt;=COUNTA(V:V)*2,IF(MOD(ROW(AA521),2)=1,INDEX(V:V,(ROW(AA521)+1)/2),INDEX(X:X,ROW(AA521)/2)),"")</f>
        <v>-615.3</v>
      </c>
      <c r="AB521" s="22">
        <f t="array" ref="AB521">IF(ROW(AB521)&lt;=COUNTA(W:W)*2,IF(MOD(ROW(AB521),2)=1,INDEX(W:W,(ROW(AB521)+1)/2),INDEX(Y:Y,ROW(AB521)/2)),"")</f>
        <v>122.6534</v>
      </c>
    </row>
    <row r="522" spans="1:28" s="2" customFormat="1" x14ac:dyDescent="0.25">
      <c r="A522" s="19"/>
      <c r="B522" s="20"/>
      <c r="C522" s="21"/>
      <c r="D522" s="22"/>
      <c r="F522" s="20"/>
      <c r="G522" s="20"/>
      <c r="H522" s="20"/>
      <c r="I522" s="20"/>
      <c r="J522" s="20"/>
      <c r="K522" s="34">
        <f t="array" ref="K522">IF(ROW(K522)&lt;=COUNTA(F:F)*2,IF(MOD(ROW(K522),2)=1,INDEX(F:F,(ROW(K522)+1)/2),INDEX(H:H,ROW(K522)/2)),"")</f>
        <v>-617.7</v>
      </c>
      <c r="L522" s="34">
        <f t="array" ref="L522">IF(ROW(L522)&lt;=COUNTA(G:G)*2,IF(MOD(ROW(L522),2)=1,INDEX(G:G,(ROW(L522)+1)/2),INDEX(I:I,ROW(L522)/2)),"")</f>
        <v>112.2</v>
      </c>
      <c r="N522" s="21"/>
      <c r="O522" s="21"/>
      <c r="P522" s="21"/>
      <c r="Q522" s="21"/>
      <c r="R522" s="21"/>
      <c r="S522" s="21">
        <f t="array" ref="S522">IF(ROW(S522)&lt;=COUNTA(N:N)*2,IF(MOD(ROW(S522),2)=1,INDEX(N:N,(ROW(S522)+1)/2),INDEX(P:P,ROW(S522)/2)),"")</f>
        <v>-617.7</v>
      </c>
      <c r="T522" s="21">
        <f t="array" ref="T522">IF(ROW(T522)&lt;=COUNTA(O:O)*2,IF(MOD(ROW(T522),2)=1,INDEX(O:O,(ROW(T522)+1)/2),INDEX(Q:Q,ROW(T522)/2)),"")</f>
        <v>117.1</v>
      </c>
      <c r="V522" s="22"/>
      <c r="W522" s="22"/>
      <c r="X522" s="22"/>
      <c r="Y522" s="22"/>
      <c r="Z522" s="22"/>
      <c r="AA522" s="22">
        <f t="array" ref="AA522">IF(ROW(AA522)&lt;=COUNTA(V:V)*2,IF(MOD(ROW(AA522),2)=1,INDEX(V:V,(ROW(AA522)+1)/2),INDEX(X:X,ROW(AA522)/2)),"")</f>
        <v>-617.7</v>
      </c>
      <c r="AB522" s="22">
        <f t="array" ref="AB522">IF(ROW(AB522)&lt;=COUNTA(W:W)*2,IF(MOD(ROW(AB522),2)=1,INDEX(W:W,(ROW(AB522)+1)/2),INDEX(Y:Y,ROW(AB522)/2)),"")</f>
        <v>122.6534</v>
      </c>
    </row>
    <row r="523" spans="1:28" s="2" customFormat="1" x14ac:dyDescent="0.25">
      <c r="A523" s="19"/>
      <c r="B523" s="20"/>
      <c r="C523" s="21"/>
      <c r="D523" s="22"/>
      <c r="F523" s="20"/>
      <c r="G523" s="20"/>
      <c r="H523" s="20"/>
      <c r="I523" s="20"/>
      <c r="J523" s="20"/>
      <c r="K523" s="34">
        <f t="array" ref="K523">IF(ROW(K523)&lt;=COUNTA(F:F)*2,IF(MOD(ROW(K523),2)=1,INDEX(F:F,(ROW(K523)+1)/2),INDEX(H:H,ROW(K523)/2)),"")</f>
        <v>-617.7</v>
      </c>
      <c r="L523" s="34">
        <f t="array" ref="L523">IF(ROW(L523)&lt;=COUNTA(G:G)*2,IF(MOD(ROW(L523),2)=1,INDEX(G:G,(ROW(L523)+1)/2),INDEX(I:I,ROW(L523)/2)),"")</f>
        <v>112.1</v>
      </c>
      <c r="N523" s="21"/>
      <c r="O523" s="21"/>
      <c r="P523" s="21"/>
      <c r="Q523" s="21"/>
      <c r="R523" s="21"/>
      <c r="S523" s="21">
        <f t="array" ref="S523">IF(ROW(S523)&lt;=COUNTA(N:N)*2,IF(MOD(ROW(S523),2)=1,INDEX(N:N,(ROW(S523)+1)/2),INDEX(P:P,ROW(S523)/2)),"")</f>
        <v>-617.7</v>
      </c>
      <c r="T523" s="21">
        <f t="array" ref="T523">IF(ROW(T523)&lt;=COUNTA(O:O)*2,IF(MOD(ROW(T523),2)=1,INDEX(O:O,(ROW(T523)+1)/2),INDEX(Q:Q,ROW(T523)/2)),"")</f>
        <v>117.2</v>
      </c>
      <c r="V523" s="22"/>
      <c r="W523" s="22"/>
      <c r="X523" s="22"/>
      <c r="Y523" s="22"/>
      <c r="Z523" s="22"/>
      <c r="AA523" s="22">
        <f t="array" ref="AA523">IF(ROW(AA523)&lt;=COUNTA(V:V)*2,IF(MOD(ROW(AA523),2)=1,INDEX(V:V,(ROW(AA523)+1)/2),INDEX(X:X,ROW(AA523)/2)),"")</f>
        <v>-617.7</v>
      </c>
      <c r="AB523" s="22">
        <f t="array" ref="AB523">IF(ROW(AB523)&lt;=COUNTA(W:W)*2,IF(MOD(ROW(AB523),2)=1,INDEX(W:W,(ROW(AB523)+1)/2),INDEX(Y:Y,ROW(AB523)/2)),"")</f>
        <v>122.656525</v>
      </c>
    </row>
    <row r="524" spans="1:28" s="2" customFormat="1" x14ac:dyDescent="0.25">
      <c r="A524" s="19"/>
      <c r="B524" s="20"/>
      <c r="C524" s="21"/>
      <c r="D524" s="22"/>
      <c r="F524" s="20"/>
      <c r="G524" s="20"/>
      <c r="H524" s="20"/>
      <c r="I524" s="20"/>
      <c r="J524" s="20"/>
      <c r="K524" s="34">
        <f t="array" ref="K524">IF(ROW(K524)&lt;=COUNTA(F:F)*2,IF(MOD(ROW(K524),2)=1,INDEX(F:F,(ROW(K524)+1)/2),INDEX(H:H,ROW(K524)/2)),"")</f>
        <v>-619.1</v>
      </c>
      <c r="L524" s="34">
        <f t="array" ref="L524">IF(ROW(L524)&lt;=COUNTA(G:G)*2,IF(MOD(ROW(L524),2)=1,INDEX(G:G,(ROW(L524)+1)/2),INDEX(I:I,ROW(L524)/2)),"")</f>
        <v>112.1</v>
      </c>
      <c r="N524" s="21"/>
      <c r="O524" s="21"/>
      <c r="P524" s="21"/>
      <c r="Q524" s="21"/>
      <c r="R524" s="21"/>
      <c r="S524" s="21">
        <f t="array" ref="S524">IF(ROW(S524)&lt;=COUNTA(N:N)*2,IF(MOD(ROW(S524),2)=1,INDEX(N:N,(ROW(S524)+1)/2),INDEX(P:P,ROW(S524)/2)),"")</f>
        <v>-619.1</v>
      </c>
      <c r="T524" s="21">
        <f t="array" ref="T524">IF(ROW(T524)&lt;=COUNTA(O:O)*2,IF(MOD(ROW(T524),2)=1,INDEX(O:O,(ROW(T524)+1)/2),INDEX(Q:Q,ROW(T524)/2)),"")</f>
        <v>117.2</v>
      </c>
      <c r="V524" s="22"/>
      <c r="W524" s="22"/>
      <c r="X524" s="22"/>
      <c r="Y524" s="22"/>
      <c r="Z524" s="22"/>
      <c r="AA524" s="22">
        <f t="array" ref="AA524">IF(ROW(AA524)&lt;=COUNTA(V:V)*2,IF(MOD(ROW(AA524),2)=1,INDEX(V:V,(ROW(AA524)+1)/2),INDEX(X:X,ROW(AA524)/2)),"")</f>
        <v>-619.1</v>
      </c>
      <c r="AB524" s="22">
        <f t="array" ref="AB524">IF(ROW(AB524)&lt;=COUNTA(W:W)*2,IF(MOD(ROW(AB524),2)=1,INDEX(W:W,(ROW(AB524)+1)/2),INDEX(Y:Y,ROW(AB524)/2)),"")</f>
        <v>122.656525</v>
      </c>
    </row>
    <row r="525" spans="1:28" s="2" customFormat="1" x14ac:dyDescent="0.25">
      <c r="A525" s="19"/>
      <c r="B525" s="20"/>
      <c r="C525" s="21"/>
      <c r="D525" s="22"/>
      <c r="F525" s="20"/>
      <c r="G525" s="20"/>
      <c r="H525" s="20"/>
      <c r="I525" s="20"/>
      <c r="J525" s="20"/>
      <c r="K525" s="34">
        <f t="array" ref="K525">IF(ROW(K525)&lt;=COUNTA(F:F)*2,IF(MOD(ROW(K525),2)=1,INDEX(F:F,(ROW(K525)+1)/2),INDEX(H:H,ROW(K525)/2)),"")</f>
        <v>-619.1</v>
      </c>
      <c r="L525" s="34">
        <f t="array" ref="L525">IF(ROW(L525)&lt;=COUNTA(G:G)*2,IF(MOD(ROW(L525),2)=1,INDEX(G:G,(ROW(L525)+1)/2),INDEX(I:I,ROW(L525)/2)),"")</f>
        <v>111.9</v>
      </c>
      <c r="N525" s="21"/>
      <c r="O525" s="21"/>
      <c r="P525" s="21"/>
      <c r="Q525" s="21"/>
      <c r="R525" s="21"/>
      <c r="S525" s="21">
        <f t="array" ref="S525">IF(ROW(S525)&lt;=COUNTA(N:N)*2,IF(MOD(ROW(S525),2)=1,INDEX(N:N,(ROW(S525)+1)/2),INDEX(P:P,ROW(S525)/2)),"")</f>
        <v>-619.1</v>
      </c>
      <c r="T525" s="21">
        <f t="array" ref="T525">IF(ROW(T525)&lt;=COUNTA(O:O)*2,IF(MOD(ROW(T525),2)=1,INDEX(O:O,(ROW(T525)+1)/2),INDEX(Q:Q,ROW(T525)/2)),"")</f>
        <v>119.9</v>
      </c>
      <c r="V525" s="22"/>
      <c r="W525" s="22"/>
      <c r="X525" s="22"/>
      <c r="Y525" s="22"/>
      <c r="Z525" s="22"/>
      <c r="AA525" s="22">
        <f t="array" ref="AA525">IF(ROW(AA525)&lt;=COUNTA(V:V)*2,IF(MOD(ROW(AA525),2)=1,INDEX(V:V,(ROW(AA525)+1)/2),INDEX(X:X,ROW(AA525)/2)),"")</f>
        <v>-619.1</v>
      </c>
      <c r="AB525" s="22">
        <f t="array" ref="AB525">IF(ROW(AB525)&lt;=COUNTA(W:W)*2,IF(MOD(ROW(AB525),2)=1,INDEX(W:W,(ROW(AB525)+1)/2),INDEX(Y:Y,ROW(AB525)/2)),"")</f>
        <v>122.65365</v>
      </c>
    </row>
    <row r="526" spans="1:28" s="2" customFormat="1" x14ac:dyDescent="0.25">
      <c r="A526" s="19"/>
      <c r="B526" s="20"/>
      <c r="C526" s="21"/>
      <c r="D526" s="22"/>
      <c r="F526" s="20"/>
      <c r="G526" s="20"/>
      <c r="H526" s="20"/>
      <c r="I526" s="20"/>
      <c r="J526" s="20"/>
      <c r="K526" s="34">
        <f t="array" ref="K526">IF(ROW(K526)&lt;=COUNTA(F:F)*2,IF(MOD(ROW(K526),2)=1,INDEX(F:F,(ROW(K526)+1)/2),INDEX(H:H,ROW(K526)/2)),"")</f>
        <v>-620.1</v>
      </c>
      <c r="L526" s="34">
        <f t="array" ref="L526">IF(ROW(L526)&lt;=COUNTA(G:G)*2,IF(MOD(ROW(L526),2)=1,INDEX(G:G,(ROW(L526)+1)/2),INDEX(I:I,ROW(L526)/2)),"")</f>
        <v>111.9</v>
      </c>
      <c r="N526" s="21"/>
      <c r="O526" s="21"/>
      <c r="P526" s="21"/>
      <c r="Q526" s="21"/>
      <c r="R526" s="21"/>
      <c r="S526" s="21">
        <f t="array" ref="S526">IF(ROW(S526)&lt;=COUNTA(N:N)*2,IF(MOD(ROW(S526),2)=1,INDEX(N:N,(ROW(S526)+1)/2),INDEX(P:P,ROW(S526)/2)),"")</f>
        <v>-620.1</v>
      </c>
      <c r="T526" s="21">
        <f t="array" ref="T526">IF(ROW(T526)&lt;=COUNTA(O:O)*2,IF(MOD(ROW(T526),2)=1,INDEX(O:O,(ROW(T526)+1)/2),INDEX(Q:Q,ROW(T526)/2)),"")</f>
        <v>119.9</v>
      </c>
      <c r="V526" s="22"/>
      <c r="W526" s="22"/>
      <c r="X526" s="22"/>
      <c r="Y526" s="22"/>
      <c r="Z526" s="22"/>
      <c r="AA526" s="22">
        <f t="array" ref="AA526">IF(ROW(AA526)&lt;=COUNTA(V:V)*2,IF(MOD(ROW(AA526),2)=1,INDEX(V:V,(ROW(AA526)+1)/2),INDEX(X:X,ROW(AA526)/2)),"")</f>
        <v>-620.1</v>
      </c>
      <c r="AB526" s="22">
        <f t="array" ref="AB526">IF(ROW(AB526)&lt;=COUNTA(W:W)*2,IF(MOD(ROW(AB526),2)=1,INDEX(W:W,(ROW(AB526)+1)/2),INDEX(Y:Y,ROW(AB526)/2)),"")</f>
        <v>122.65365</v>
      </c>
    </row>
    <row r="527" spans="1:28" s="2" customFormat="1" x14ac:dyDescent="0.25">
      <c r="A527" s="19"/>
      <c r="B527" s="20"/>
      <c r="C527" s="21"/>
      <c r="D527" s="22"/>
      <c r="F527" s="20"/>
      <c r="G527" s="20"/>
      <c r="H527" s="20"/>
      <c r="I527" s="20"/>
      <c r="J527" s="20"/>
      <c r="K527" s="34">
        <f t="array" ref="K527">IF(ROW(K527)&lt;=COUNTA(F:F)*2,IF(MOD(ROW(K527),2)=1,INDEX(F:F,(ROW(K527)+1)/2),INDEX(H:H,ROW(K527)/2)),"")</f>
        <v>-620.1</v>
      </c>
      <c r="L527" s="34">
        <f t="array" ref="L527">IF(ROW(L527)&lt;=COUNTA(G:G)*2,IF(MOD(ROW(L527),2)=1,INDEX(G:G,(ROW(L527)+1)/2),INDEX(I:I,ROW(L527)/2)),"")</f>
        <v>112</v>
      </c>
      <c r="N527" s="21"/>
      <c r="O527" s="21"/>
      <c r="P527" s="21"/>
      <c r="Q527" s="21"/>
      <c r="R527" s="21"/>
      <c r="S527" s="21">
        <f t="array" ref="S527">IF(ROW(S527)&lt;=COUNTA(N:N)*2,IF(MOD(ROW(S527),2)=1,INDEX(N:N,(ROW(S527)+1)/2),INDEX(P:P,ROW(S527)/2)),"")</f>
        <v>-620.1</v>
      </c>
      <c r="T527" s="21">
        <f t="array" ref="T527">IF(ROW(T527)&lt;=COUNTA(O:O)*2,IF(MOD(ROW(T527),2)=1,INDEX(O:O,(ROW(T527)+1)/2),INDEX(Q:Q,ROW(T527)/2)),"")</f>
        <v>119.9</v>
      </c>
      <c r="V527" s="22"/>
      <c r="W527" s="22"/>
      <c r="X527" s="22"/>
      <c r="Y527" s="22"/>
      <c r="Z527" s="22"/>
      <c r="AA527" s="22">
        <f t="array" ref="AA527">IF(ROW(AA527)&lt;=COUNTA(V:V)*2,IF(MOD(ROW(AA527),2)=1,INDEX(V:V,(ROW(AA527)+1)/2),INDEX(X:X,ROW(AA527)/2)),"")</f>
        <v>-620.1</v>
      </c>
      <c r="AB527" s="22">
        <f t="array" ref="AB527">IF(ROW(AB527)&lt;=COUNTA(W:W)*2,IF(MOD(ROW(AB527),2)=1,INDEX(W:W,(ROW(AB527)+1)/2),INDEX(Y:Y,ROW(AB527)/2)),"")</f>
        <v>122.65195</v>
      </c>
    </row>
    <row r="528" spans="1:28" s="2" customFormat="1" x14ac:dyDescent="0.25">
      <c r="A528" s="19"/>
      <c r="B528" s="20"/>
      <c r="C528" s="21"/>
      <c r="D528" s="22"/>
      <c r="F528" s="20"/>
      <c r="G528" s="20"/>
      <c r="H528" s="20"/>
      <c r="I528" s="20"/>
      <c r="J528" s="20"/>
      <c r="K528" s="34">
        <f t="array" ref="K528">IF(ROW(K528)&lt;=COUNTA(F:F)*2,IF(MOD(ROW(K528),2)=1,INDEX(F:F,(ROW(K528)+1)/2),INDEX(H:H,ROW(K528)/2)),"")</f>
        <v>-621.6</v>
      </c>
      <c r="L528" s="34">
        <f t="array" ref="L528">IF(ROW(L528)&lt;=COUNTA(G:G)*2,IF(MOD(ROW(L528),2)=1,INDEX(G:G,(ROW(L528)+1)/2),INDEX(I:I,ROW(L528)/2)),"")</f>
        <v>112</v>
      </c>
      <c r="N528" s="21"/>
      <c r="O528" s="21"/>
      <c r="P528" s="21"/>
      <c r="Q528" s="21"/>
      <c r="R528" s="21"/>
      <c r="S528" s="21">
        <f t="array" ref="S528">IF(ROW(S528)&lt;=COUNTA(N:N)*2,IF(MOD(ROW(S528),2)=1,INDEX(N:N,(ROW(S528)+1)/2),INDEX(P:P,ROW(S528)/2)),"")</f>
        <v>-621.6</v>
      </c>
      <c r="T528" s="21">
        <f t="array" ref="T528">IF(ROW(T528)&lt;=COUNTA(O:O)*2,IF(MOD(ROW(T528),2)=1,INDEX(O:O,(ROW(T528)+1)/2),INDEX(Q:Q,ROW(T528)/2)),"")</f>
        <v>119.9</v>
      </c>
      <c r="V528" s="22"/>
      <c r="W528" s="22"/>
      <c r="X528" s="22"/>
      <c r="Y528" s="22"/>
      <c r="Z528" s="22"/>
      <c r="AA528" s="22">
        <f t="array" ref="AA528">IF(ROW(AA528)&lt;=COUNTA(V:V)*2,IF(MOD(ROW(AA528),2)=1,INDEX(V:V,(ROW(AA528)+1)/2),INDEX(X:X,ROW(AA528)/2)),"")</f>
        <v>-621.6</v>
      </c>
      <c r="AB528" s="22">
        <f t="array" ref="AB528">IF(ROW(AB528)&lt;=COUNTA(W:W)*2,IF(MOD(ROW(AB528),2)=1,INDEX(W:W,(ROW(AB528)+1)/2),INDEX(Y:Y,ROW(AB528)/2)),"")</f>
        <v>122.65195</v>
      </c>
    </row>
    <row r="529" spans="1:28" s="2" customFormat="1" x14ac:dyDescent="0.25">
      <c r="A529" s="19"/>
      <c r="B529" s="20"/>
      <c r="C529" s="21"/>
      <c r="D529" s="22"/>
      <c r="F529" s="20"/>
      <c r="G529" s="20"/>
      <c r="H529" s="20"/>
      <c r="I529" s="20"/>
      <c r="J529" s="20"/>
      <c r="K529" s="34">
        <f t="array" ref="K529">IF(ROW(K529)&lt;=COUNTA(F:F)*2,IF(MOD(ROW(K529),2)=1,INDEX(F:F,(ROW(K529)+1)/2),INDEX(H:H,ROW(K529)/2)),"")</f>
        <v>-621.6</v>
      </c>
      <c r="L529" s="34">
        <f t="array" ref="L529">IF(ROW(L529)&lt;=COUNTA(G:G)*2,IF(MOD(ROW(L529),2)=1,INDEX(G:G,(ROW(L529)+1)/2),INDEX(I:I,ROW(L529)/2)),"")</f>
        <v>112.4</v>
      </c>
      <c r="N529" s="21"/>
      <c r="O529" s="21"/>
      <c r="P529" s="21"/>
      <c r="Q529" s="21"/>
      <c r="R529" s="21"/>
      <c r="S529" s="21">
        <f t="array" ref="S529">IF(ROW(S529)&lt;=COUNTA(N:N)*2,IF(MOD(ROW(S529),2)=1,INDEX(N:N,(ROW(S529)+1)/2),INDEX(P:P,ROW(S529)/2)),"")</f>
        <v>-621.6</v>
      </c>
      <c r="T529" s="21">
        <f t="array" ref="T529">IF(ROW(T529)&lt;=COUNTA(O:O)*2,IF(MOD(ROW(T529),2)=1,INDEX(O:O,(ROW(T529)+1)/2),INDEX(Q:Q,ROW(T529)/2)),"")</f>
        <v>122.2</v>
      </c>
      <c r="V529" s="22"/>
      <c r="W529" s="22"/>
      <c r="X529" s="22"/>
      <c r="Y529" s="22"/>
      <c r="Z529" s="22"/>
      <c r="AA529" s="22">
        <f t="array" ref="AA529">IF(ROW(AA529)&lt;=COUNTA(V:V)*2,IF(MOD(ROW(AA529),2)=1,INDEX(V:V,(ROW(AA529)+1)/2),INDEX(X:X,ROW(AA529)/2)),"")</f>
        <v>-621.6</v>
      </c>
      <c r="AB529" s="22">
        <f t="array" ref="AB529">IF(ROW(AB529)&lt;=COUNTA(W:W)*2,IF(MOD(ROW(AB529),2)=1,INDEX(W:W,(ROW(AB529)+1)/2),INDEX(Y:Y,ROW(AB529)/2)),"")</f>
        <v>122.65635</v>
      </c>
    </row>
    <row r="530" spans="1:28" s="2" customFormat="1" x14ac:dyDescent="0.25">
      <c r="A530" s="19"/>
      <c r="B530" s="20"/>
      <c r="C530" s="21"/>
      <c r="D530" s="22"/>
      <c r="F530" s="20"/>
      <c r="G530" s="20"/>
      <c r="H530" s="20"/>
      <c r="I530" s="20"/>
      <c r="J530" s="20"/>
      <c r="K530" s="34">
        <f t="array" ref="K530">IF(ROW(K530)&lt;=COUNTA(F:F)*2,IF(MOD(ROW(K530),2)=1,INDEX(F:F,(ROW(K530)+1)/2),INDEX(H:H,ROW(K530)/2)),"")</f>
        <v>-623.75</v>
      </c>
      <c r="L530" s="34">
        <f t="array" ref="L530">IF(ROW(L530)&lt;=COUNTA(G:G)*2,IF(MOD(ROW(L530),2)=1,INDEX(G:G,(ROW(L530)+1)/2),INDEX(I:I,ROW(L530)/2)),"")</f>
        <v>112.4</v>
      </c>
      <c r="N530" s="21"/>
      <c r="O530" s="21"/>
      <c r="P530" s="21"/>
      <c r="Q530" s="21"/>
      <c r="R530" s="21"/>
      <c r="S530" s="21">
        <f t="array" ref="S530">IF(ROW(S530)&lt;=COUNTA(N:N)*2,IF(MOD(ROW(S530),2)=1,INDEX(N:N,(ROW(S530)+1)/2),INDEX(P:P,ROW(S530)/2)),"")</f>
        <v>-623.75</v>
      </c>
      <c r="T530" s="21">
        <f t="array" ref="T530">IF(ROW(T530)&lt;=COUNTA(O:O)*2,IF(MOD(ROW(T530),2)=1,INDEX(O:O,(ROW(T530)+1)/2),INDEX(Q:Q,ROW(T530)/2)),"")</f>
        <v>122.2</v>
      </c>
      <c r="V530" s="22"/>
      <c r="W530" s="22"/>
      <c r="X530" s="22"/>
      <c r="Y530" s="22"/>
      <c r="Z530" s="22"/>
      <c r="AA530" s="22">
        <f t="array" ref="AA530">IF(ROW(AA530)&lt;=COUNTA(V:V)*2,IF(MOD(ROW(AA530),2)=1,INDEX(V:V,(ROW(AA530)+1)/2),INDEX(X:X,ROW(AA530)/2)),"")</f>
        <v>-623.75</v>
      </c>
      <c r="AB530" s="22">
        <f t="array" ref="AB530">IF(ROW(AB530)&lt;=COUNTA(W:W)*2,IF(MOD(ROW(AB530),2)=1,INDEX(W:W,(ROW(AB530)+1)/2),INDEX(Y:Y,ROW(AB530)/2)),"")</f>
        <v>122.65635</v>
      </c>
    </row>
    <row r="531" spans="1:28" s="2" customFormat="1" x14ac:dyDescent="0.25">
      <c r="A531" s="19"/>
      <c r="B531" s="20"/>
      <c r="C531" s="21"/>
      <c r="D531" s="22"/>
      <c r="F531" s="20"/>
      <c r="G531" s="20"/>
      <c r="H531" s="20"/>
      <c r="I531" s="20"/>
      <c r="J531" s="20"/>
      <c r="K531" s="34">
        <f t="array" ref="K531">IF(ROW(K531)&lt;=COUNTA(F:F)*2,IF(MOD(ROW(K531),2)=1,INDEX(F:F,(ROW(K531)+1)/2),INDEX(H:H,ROW(K531)/2)),"")</f>
        <v>-623.75</v>
      </c>
      <c r="L531" s="34">
        <f t="array" ref="L531">IF(ROW(L531)&lt;=COUNTA(G:G)*2,IF(MOD(ROW(L531),2)=1,INDEX(G:G,(ROW(L531)+1)/2),INDEX(I:I,ROW(L531)/2)),"")</f>
        <v>112.3</v>
      </c>
      <c r="N531" s="21"/>
      <c r="O531" s="21"/>
      <c r="P531" s="21"/>
      <c r="Q531" s="21"/>
      <c r="R531" s="21"/>
      <c r="S531" s="21">
        <f t="array" ref="S531">IF(ROW(S531)&lt;=COUNTA(N:N)*2,IF(MOD(ROW(S531),2)=1,INDEX(N:N,(ROW(S531)+1)/2),INDEX(P:P,ROW(S531)/2)),"")</f>
        <v>-623.75</v>
      </c>
      <c r="T531" s="21">
        <f t="array" ref="T531">IF(ROW(T531)&lt;=COUNTA(O:O)*2,IF(MOD(ROW(T531),2)=1,INDEX(O:O,(ROW(T531)+1)/2),INDEX(Q:Q,ROW(T531)/2)),"")</f>
        <v>119.5</v>
      </c>
      <c r="V531" s="22"/>
      <c r="W531" s="22"/>
      <c r="X531" s="22"/>
      <c r="Y531" s="22"/>
      <c r="Z531" s="22"/>
      <c r="AA531" s="22">
        <f t="array" ref="AA531">IF(ROW(AA531)&lt;=COUNTA(V:V)*2,IF(MOD(ROW(AA531),2)=1,INDEX(V:V,(ROW(AA531)+1)/2),INDEX(X:X,ROW(AA531)/2)),"")</f>
        <v>-623.75</v>
      </c>
      <c r="AB531" s="22">
        <f t="array" ref="AB531">IF(ROW(AB531)&lt;=COUNTA(W:W)*2,IF(MOD(ROW(AB531),2)=1,INDEX(W:W,(ROW(AB531)+1)/2),INDEX(Y:Y,ROW(AB531)/2)),"")</f>
        <v>122.6596</v>
      </c>
    </row>
    <row r="532" spans="1:28" s="2" customFormat="1" x14ac:dyDescent="0.25">
      <c r="A532" s="19"/>
      <c r="B532" s="20"/>
      <c r="C532" s="21"/>
      <c r="D532" s="22"/>
      <c r="F532" s="20"/>
      <c r="G532" s="20"/>
      <c r="H532" s="20"/>
      <c r="I532" s="20"/>
      <c r="J532" s="20"/>
      <c r="K532" s="34">
        <f t="array" ref="K532">IF(ROW(K532)&lt;=COUNTA(F:F)*2,IF(MOD(ROW(K532),2)=1,INDEX(F:F,(ROW(K532)+1)/2),INDEX(H:H,ROW(K532)/2)),"")</f>
        <v>-625.8</v>
      </c>
      <c r="L532" s="34">
        <f t="array" ref="L532">IF(ROW(L532)&lt;=COUNTA(G:G)*2,IF(MOD(ROW(L532),2)=1,INDEX(G:G,(ROW(L532)+1)/2),INDEX(I:I,ROW(L532)/2)),"")</f>
        <v>112.3</v>
      </c>
      <c r="N532" s="21"/>
      <c r="O532" s="21"/>
      <c r="P532" s="21"/>
      <c r="Q532" s="21"/>
      <c r="R532" s="21"/>
      <c r="S532" s="21">
        <f t="array" ref="S532">IF(ROW(S532)&lt;=COUNTA(N:N)*2,IF(MOD(ROW(S532),2)=1,INDEX(N:N,(ROW(S532)+1)/2),INDEX(P:P,ROW(S532)/2)),"")</f>
        <v>-625.8</v>
      </c>
      <c r="T532" s="21">
        <f t="array" ref="T532">IF(ROW(T532)&lt;=COUNTA(O:O)*2,IF(MOD(ROW(T532),2)=1,INDEX(O:O,(ROW(T532)+1)/2),INDEX(Q:Q,ROW(T532)/2)),"")</f>
        <v>119.5</v>
      </c>
      <c r="V532" s="22"/>
      <c r="W532" s="22"/>
      <c r="X532" s="22"/>
      <c r="Y532" s="22"/>
      <c r="Z532" s="22"/>
      <c r="AA532" s="22">
        <f t="array" ref="AA532">IF(ROW(AA532)&lt;=COUNTA(V:V)*2,IF(MOD(ROW(AA532),2)=1,INDEX(V:V,(ROW(AA532)+1)/2),INDEX(X:X,ROW(AA532)/2)),"")</f>
        <v>-625.8</v>
      </c>
      <c r="AB532" s="22">
        <f t="array" ref="AB532">IF(ROW(AB532)&lt;=COUNTA(W:W)*2,IF(MOD(ROW(AB532),2)=1,INDEX(W:W,(ROW(AB532)+1)/2),INDEX(Y:Y,ROW(AB532)/2)),"")</f>
        <v>122.6596</v>
      </c>
    </row>
    <row r="533" spans="1:28" s="2" customFormat="1" x14ac:dyDescent="0.25">
      <c r="A533" s="19"/>
      <c r="B533" s="20"/>
      <c r="C533" s="21"/>
      <c r="D533" s="22"/>
      <c r="F533" s="20"/>
      <c r="G533" s="20"/>
      <c r="H533" s="20"/>
      <c r="I533" s="20"/>
      <c r="J533" s="20"/>
      <c r="K533" s="34">
        <f t="array" ref="K533">IF(ROW(K533)&lt;=COUNTA(F:F)*2,IF(MOD(ROW(K533),2)=1,INDEX(F:F,(ROW(K533)+1)/2),INDEX(H:H,ROW(K533)/2)),"")</f>
        <v>-625.8</v>
      </c>
      <c r="L533" s="34">
        <f t="array" ref="L533">IF(ROW(L533)&lt;=COUNTA(G:G)*2,IF(MOD(ROW(L533),2)=1,INDEX(G:G,(ROW(L533)+1)/2),INDEX(I:I,ROW(L533)/2)),"")</f>
        <v>112.4</v>
      </c>
      <c r="N533" s="21"/>
      <c r="O533" s="21"/>
      <c r="P533" s="21"/>
      <c r="Q533" s="21"/>
      <c r="R533" s="21"/>
      <c r="S533" s="21">
        <f t="array" ref="S533">IF(ROW(S533)&lt;=COUNTA(N:N)*2,IF(MOD(ROW(S533),2)=1,INDEX(N:N,(ROW(S533)+1)/2),INDEX(P:P,ROW(S533)/2)),"")</f>
        <v>-625.8</v>
      </c>
      <c r="T533" s="21">
        <f t="array" ref="T533">IF(ROW(T533)&lt;=COUNTA(O:O)*2,IF(MOD(ROW(T533),2)=1,INDEX(O:O,(ROW(T533)+1)/2),INDEX(Q:Q,ROW(T533)/2)),"")</f>
        <v>112.5</v>
      </c>
      <c r="V533" s="22"/>
      <c r="W533" s="22"/>
      <c r="X533" s="22"/>
      <c r="Y533" s="22"/>
      <c r="Z533" s="22"/>
      <c r="AA533" s="22">
        <f t="array" ref="AA533">IF(ROW(AA533)&lt;=COUNTA(V:V)*2,IF(MOD(ROW(AA533),2)=1,INDEX(V:V,(ROW(AA533)+1)/2),INDEX(X:X,ROW(AA533)/2)),"")</f>
        <v>-625.8</v>
      </c>
      <c r="AB533" s="22">
        <f t="array" ref="AB533">IF(ROW(AB533)&lt;=COUNTA(W:W)*2,IF(MOD(ROW(AB533),2)=1,INDEX(W:W,(ROW(AB533)+1)/2),INDEX(Y:Y,ROW(AB533)/2)),"")</f>
        <v>122.647675</v>
      </c>
    </row>
    <row r="534" spans="1:28" s="2" customFormat="1" x14ac:dyDescent="0.25">
      <c r="A534" s="19"/>
      <c r="B534" s="20"/>
      <c r="C534" s="21"/>
      <c r="D534" s="22"/>
      <c r="F534" s="20"/>
      <c r="G534" s="20"/>
      <c r="H534" s="20"/>
      <c r="I534" s="20"/>
      <c r="J534" s="20"/>
      <c r="K534" s="34">
        <f t="array" ref="K534">IF(ROW(K534)&lt;=COUNTA(F:F)*2,IF(MOD(ROW(K534),2)=1,INDEX(F:F,(ROW(K534)+1)/2),INDEX(H:H,ROW(K534)/2)),"")</f>
        <v>-628.8</v>
      </c>
      <c r="L534" s="34">
        <f t="array" ref="L534">IF(ROW(L534)&lt;=COUNTA(G:G)*2,IF(MOD(ROW(L534),2)=1,INDEX(G:G,(ROW(L534)+1)/2),INDEX(I:I,ROW(L534)/2)),"")</f>
        <v>112.4</v>
      </c>
      <c r="N534" s="21"/>
      <c r="O534" s="21"/>
      <c r="P534" s="21"/>
      <c r="Q534" s="21"/>
      <c r="R534" s="21"/>
      <c r="S534" s="21">
        <f t="array" ref="S534">IF(ROW(S534)&lt;=COUNTA(N:N)*2,IF(MOD(ROW(S534),2)=1,INDEX(N:N,(ROW(S534)+1)/2),INDEX(P:P,ROW(S534)/2)),"")</f>
        <v>-628.8</v>
      </c>
      <c r="T534" s="21">
        <f t="array" ref="T534">IF(ROW(T534)&lt;=COUNTA(O:O)*2,IF(MOD(ROW(T534),2)=1,INDEX(O:O,(ROW(T534)+1)/2),INDEX(Q:Q,ROW(T534)/2)),"")</f>
        <v>112.5</v>
      </c>
      <c r="V534" s="22"/>
      <c r="W534" s="22"/>
      <c r="X534" s="22"/>
      <c r="Y534" s="22"/>
      <c r="Z534" s="22"/>
      <c r="AA534" s="22">
        <f t="array" ref="AA534">IF(ROW(AA534)&lt;=COUNTA(V:V)*2,IF(MOD(ROW(AA534),2)=1,INDEX(V:V,(ROW(AA534)+1)/2),INDEX(X:X,ROW(AA534)/2)),"")</f>
        <v>-628.8</v>
      </c>
      <c r="AB534" s="22">
        <f t="array" ref="AB534">IF(ROW(AB534)&lt;=COUNTA(W:W)*2,IF(MOD(ROW(AB534),2)=1,INDEX(W:W,(ROW(AB534)+1)/2),INDEX(Y:Y,ROW(AB534)/2)),"")</f>
        <v>122.647675</v>
      </c>
    </row>
    <row r="535" spans="1:28" s="2" customFormat="1" x14ac:dyDescent="0.25">
      <c r="A535" s="19"/>
      <c r="B535" s="20"/>
      <c r="C535" s="21"/>
      <c r="D535" s="22"/>
      <c r="F535" s="20"/>
      <c r="G535" s="20"/>
      <c r="H535" s="20"/>
      <c r="I535" s="20"/>
      <c r="J535" s="20"/>
      <c r="K535" s="34">
        <f t="array" ref="K535">IF(ROW(K535)&lt;=COUNTA(F:F)*2,IF(MOD(ROW(K535),2)=1,INDEX(F:F,(ROW(K535)+1)/2),INDEX(H:H,ROW(K535)/2)),"")</f>
        <v>-628.8</v>
      </c>
      <c r="L535" s="34">
        <f t="array" ref="L535">IF(ROW(L535)&lt;=COUNTA(G:G)*2,IF(MOD(ROW(L535),2)=1,INDEX(G:G,(ROW(L535)+1)/2),INDEX(I:I,ROW(L535)/2)),"")</f>
        <v>112</v>
      </c>
      <c r="N535" s="21"/>
      <c r="O535" s="21"/>
      <c r="P535" s="21"/>
      <c r="Q535" s="21"/>
      <c r="R535" s="21"/>
      <c r="S535" s="21">
        <f t="array" ref="S535">IF(ROW(S535)&lt;=COUNTA(N:N)*2,IF(MOD(ROW(S535),2)=1,INDEX(N:N,(ROW(S535)+1)/2),INDEX(P:P,ROW(S535)/2)),"")</f>
        <v>-628.8</v>
      </c>
      <c r="T535" s="21">
        <f t="array" ref="T535">IF(ROW(T535)&lt;=COUNTA(O:O)*2,IF(MOD(ROW(T535),2)=1,INDEX(O:O,(ROW(T535)+1)/2),INDEX(Q:Q,ROW(T535)/2)),"")</f>
        <v>119.2</v>
      </c>
      <c r="V535" s="22"/>
      <c r="W535" s="22"/>
      <c r="X535" s="22"/>
      <c r="Y535" s="22"/>
      <c r="Z535" s="22"/>
      <c r="AA535" s="22">
        <f t="array" ref="AA535">IF(ROW(AA535)&lt;=COUNTA(V:V)*2,IF(MOD(ROW(AA535),2)=1,INDEX(V:V,(ROW(AA535)+1)/2),INDEX(X:X,ROW(AA535)/2)),"")</f>
        <v>-628.8</v>
      </c>
      <c r="AB535" s="22">
        <f t="array" ref="AB535">IF(ROW(AB535)&lt;=COUNTA(W:W)*2,IF(MOD(ROW(AB535),2)=1,INDEX(W:W,(ROW(AB535)+1)/2),INDEX(Y:Y,ROW(AB535)/2)),"")</f>
        <v>122.6514</v>
      </c>
    </row>
    <row r="536" spans="1:28" s="2" customFormat="1" x14ac:dyDescent="0.25">
      <c r="A536" s="19"/>
      <c r="B536" s="20"/>
      <c r="C536" s="21"/>
      <c r="D536" s="22"/>
      <c r="F536" s="20"/>
      <c r="G536" s="20"/>
      <c r="H536" s="20"/>
      <c r="I536" s="20"/>
      <c r="J536" s="20"/>
      <c r="K536" s="34">
        <f t="array" ref="K536">IF(ROW(K536)&lt;=COUNTA(F:F)*2,IF(MOD(ROW(K536),2)=1,INDEX(F:F,(ROW(K536)+1)/2),INDEX(H:H,ROW(K536)/2)),"")</f>
        <v>-629.35</v>
      </c>
      <c r="L536" s="34">
        <f t="array" ref="L536">IF(ROW(L536)&lt;=COUNTA(G:G)*2,IF(MOD(ROW(L536),2)=1,INDEX(G:G,(ROW(L536)+1)/2),INDEX(I:I,ROW(L536)/2)),"")</f>
        <v>112</v>
      </c>
      <c r="N536" s="21"/>
      <c r="O536" s="21"/>
      <c r="P536" s="21"/>
      <c r="Q536" s="21"/>
      <c r="R536" s="21"/>
      <c r="S536" s="21">
        <f t="array" ref="S536">IF(ROW(S536)&lt;=COUNTA(N:N)*2,IF(MOD(ROW(S536),2)=1,INDEX(N:N,(ROW(S536)+1)/2),INDEX(P:P,ROW(S536)/2)),"")</f>
        <v>-629.35</v>
      </c>
      <c r="T536" s="21">
        <f t="array" ref="T536">IF(ROW(T536)&lt;=COUNTA(O:O)*2,IF(MOD(ROW(T536),2)=1,INDEX(O:O,(ROW(T536)+1)/2),INDEX(Q:Q,ROW(T536)/2)),"")</f>
        <v>119.2</v>
      </c>
      <c r="V536" s="22"/>
      <c r="W536" s="22"/>
      <c r="X536" s="22"/>
      <c r="Y536" s="22"/>
      <c r="Z536" s="22"/>
      <c r="AA536" s="22">
        <f t="array" ref="AA536">IF(ROW(AA536)&lt;=COUNTA(V:V)*2,IF(MOD(ROW(AA536),2)=1,INDEX(V:V,(ROW(AA536)+1)/2),INDEX(X:X,ROW(AA536)/2)),"")</f>
        <v>-629.35</v>
      </c>
      <c r="AB536" s="22">
        <f t="array" ref="AB536">IF(ROW(AB536)&lt;=COUNTA(W:W)*2,IF(MOD(ROW(AB536),2)=1,INDEX(W:W,(ROW(AB536)+1)/2),INDEX(Y:Y,ROW(AB536)/2)),"")</f>
        <v>122.6514</v>
      </c>
    </row>
    <row r="537" spans="1:28" s="2" customFormat="1" x14ac:dyDescent="0.25">
      <c r="A537" s="19"/>
      <c r="B537" s="20"/>
      <c r="C537" s="21"/>
      <c r="D537" s="22"/>
      <c r="F537" s="20"/>
      <c r="G537" s="20"/>
      <c r="H537" s="20"/>
      <c r="I537" s="20"/>
      <c r="J537" s="20"/>
      <c r="K537" s="34">
        <f t="array" ref="K537">IF(ROW(K537)&lt;=COUNTA(F:F)*2,IF(MOD(ROW(K537),2)=1,INDEX(F:F,(ROW(K537)+1)/2),INDEX(H:H,ROW(K537)/2)),"")</f>
        <v>-629.35</v>
      </c>
      <c r="L537" s="34">
        <f t="array" ref="L537">IF(ROW(L537)&lt;=COUNTA(G:G)*2,IF(MOD(ROW(L537),2)=1,INDEX(G:G,(ROW(L537)+1)/2),INDEX(I:I,ROW(L537)/2)),"")</f>
        <v>111.6</v>
      </c>
      <c r="N537" s="21"/>
      <c r="O537" s="21"/>
      <c r="P537" s="21"/>
      <c r="Q537" s="21"/>
      <c r="R537" s="21"/>
      <c r="S537" s="21">
        <f t="array" ref="S537">IF(ROW(S537)&lt;=COUNTA(N:N)*2,IF(MOD(ROW(S537),2)=1,INDEX(N:N,(ROW(S537)+1)/2),INDEX(P:P,ROW(S537)/2)),"")</f>
        <v>-629.35</v>
      </c>
      <c r="T537" s="21">
        <f t="array" ref="T537">IF(ROW(T537)&lt;=COUNTA(O:O)*2,IF(MOD(ROW(T537),2)=1,INDEX(O:O,(ROW(T537)+1)/2),INDEX(Q:Q,ROW(T537)/2)),"")</f>
        <v>121.1</v>
      </c>
      <c r="V537" s="22"/>
      <c r="W537" s="22"/>
      <c r="X537" s="22"/>
      <c r="Y537" s="22"/>
      <c r="Z537" s="22"/>
      <c r="AA537" s="22">
        <f t="array" ref="AA537">IF(ROW(AA537)&lt;=COUNTA(V:V)*2,IF(MOD(ROW(AA537),2)=1,INDEX(V:V,(ROW(AA537)+1)/2),INDEX(X:X,ROW(AA537)/2)),"")</f>
        <v>-629.35</v>
      </c>
      <c r="AB537" s="22">
        <f t="array" ref="AB537">IF(ROW(AB537)&lt;=COUNTA(W:W)*2,IF(MOD(ROW(AB537),2)=1,INDEX(W:W,(ROW(AB537)+1)/2),INDEX(Y:Y,ROW(AB537)/2)),"")</f>
        <v>122.663675</v>
      </c>
    </row>
    <row r="538" spans="1:28" s="2" customFormat="1" x14ac:dyDescent="0.25">
      <c r="A538" s="19"/>
      <c r="B538" s="20"/>
      <c r="C538" s="21"/>
      <c r="D538" s="22"/>
      <c r="F538" s="20"/>
      <c r="G538" s="20"/>
      <c r="H538" s="20"/>
      <c r="I538" s="20"/>
      <c r="J538" s="20"/>
      <c r="K538" s="34">
        <f t="array" ref="K538">IF(ROW(K538)&lt;=COUNTA(F:F)*2,IF(MOD(ROW(K538),2)=1,INDEX(F:F,(ROW(K538)+1)/2),INDEX(H:H,ROW(K538)/2)),"")</f>
        <v>-631.8</v>
      </c>
      <c r="L538" s="34">
        <f t="array" ref="L538">IF(ROW(L538)&lt;=COUNTA(G:G)*2,IF(MOD(ROW(L538),2)=1,INDEX(G:G,(ROW(L538)+1)/2),INDEX(I:I,ROW(L538)/2)),"")</f>
        <v>111.6</v>
      </c>
      <c r="N538" s="21"/>
      <c r="O538" s="21"/>
      <c r="P538" s="21"/>
      <c r="Q538" s="21"/>
      <c r="R538" s="21"/>
      <c r="S538" s="21">
        <f t="array" ref="S538">IF(ROW(S538)&lt;=COUNTA(N:N)*2,IF(MOD(ROW(S538),2)=1,INDEX(N:N,(ROW(S538)+1)/2),INDEX(P:P,ROW(S538)/2)),"")</f>
        <v>-631.8</v>
      </c>
      <c r="T538" s="21">
        <f t="array" ref="T538">IF(ROW(T538)&lt;=COUNTA(O:O)*2,IF(MOD(ROW(T538),2)=1,INDEX(O:O,(ROW(T538)+1)/2),INDEX(Q:Q,ROW(T538)/2)),"")</f>
        <v>121.1</v>
      </c>
      <c r="V538" s="22"/>
      <c r="W538" s="22"/>
      <c r="X538" s="22"/>
      <c r="Y538" s="22"/>
      <c r="Z538" s="22"/>
      <c r="AA538" s="22">
        <f t="array" ref="AA538">IF(ROW(AA538)&lt;=COUNTA(V:V)*2,IF(MOD(ROW(AA538),2)=1,INDEX(V:V,(ROW(AA538)+1)/2),INDEX(X:X,ROW(AA538)/2)),"")</f>
        <v>-631.8</v>
      </c>
      <c r="AB538" s="22">
        <f t="array" ref="AB538">IF(ROW(AB538)&lt;=COUNTA(W:W)*2,IF(MOD(ROW(AB538),2)=1,INDEX(W:W,(ROW(AB538)+1)/2),INDEX(Y:Y,ROW(AB538)/2)),"")</f>
        <v>122.663675</v>
      </c>
    </row>
    <row r="539" spans="1:28" s="2" customFormat="1" x14ac:dyDescent="0.25">
      <c r="A539" s="19"/>
      <c r="B539" s="20"/>
      <c r="C539" s="21"/>
      <c r="D539" s="22"/>
      <c r="F539" s="20"/>
      <c r="G539" s="20"/>
      <c r="H539" s="20"/>
      <c r="I539" s="20"/>
      <c r="J539" s="20"/>
      <c r="K539" s="34">
        <f t="array" ref="K539">IF(ROW(K539)&lt;=COUNTA(F:F)*2,IF(MOD(ROW(K539),2)=1,INDEX(F:F,(ROW(K539)+1)/2),INDEX(H:H,ROW(K539)/2)),"")</f>
        <v>-631.8</v>
      </c>
      <c r="L539" s="34">
        <f t="array" ref="L539">IF(ROW(L539)&lt;=COUNTA(G:G)*2,IF(MOD(ROW(L539),2)=1,INDEX(G:G,(ROW(L539)+1)/2),INDEX(I:I,ROW(L539)/2)),"")</f>
        <v>112.4</v>
      </c>
      <c r="N539" s="21"/>
      <c r="O539" s="21"/>
      <c r="P539" s="21"/>
      <c r="Q539" s="21"/>
      <c r="R539" s="21"/>
      <c r="S539" s="21">
        <f t="array" ref="S539">IF(ROW(S539)&lt;=COUNTA(N:N)*2,IF(MOD(ROW(S539),2)=1,INDEX(N:N,(ROW(S539)+1)/2),INDEX(P:P,ROW(S539)/2)),"")</f>
        <v>-631.8</v>
      </c>
      <c r="T539" s="21">
        <f t="array" ref="T539">IF(ROW(T539)&lt;=COUNTA(O:O)*2,IF(MOD(ROW(T539),2)=1,INDEX(O:O,(ROW(T539)+1)/2),INDEX(Q:Q,ROW(T539)/2)),"")</f>
        <v>120.7</v>
      </c>
      <c r="V539" s="22"/>
      <c r="W539" s="22"/>
      <c r="X539" s="22"/>
      <c r="Y539" s="22"/>
      <c r="Z539" s="22"/>
      <c r="AA539" s="22">
        <f t="array" ref="AA539">IF(ROW(AA539)&lt;=COUNTA(V:V)*2,IF(MOD(ROW(AA539),2)=1,INDEX(V:V,(ROW(AA539)+1)/2),INDEX(X:X,ROW(AA539)/2)),"")</f>
        <v>-631.8</v>
      </c>
      <c r="AB539" s="22">
        <f t="array" ref="AB539">IF(ROW(AB539)&lt;=COUNTA(W:W)*2,IF(MOD(ROW(AB539),2)=1,INDEX(W:W,(ROW(AB539)+1)/2),INDEX(Y:Y,ROW(AB539)/2)),"")</f>
        <v>122.77185</v>
      </c>
    </row>
    <row r="540" spans="1:28" s="2" customFormat="1" x14ac:dyDescent="0.25">
      <c r="A540" s="19"/>
      <c r="B540" s="20"/>
      <c r="C540" s="21"/>
      <c r="D540" s="22"/>
      <c r="F540" s="20"/>
      <c r="G540" s="20"/>
      <c r="H540" s="20"/>
      <c r="I540" s="20"/>
      <c r="J540" s="20"/>
      <c r="K540" s="34">
        <f t="array" ref="K540">IF(ROW(K540)&lt;=COUNTA(F:F)*2,IF(MOD(ROW(K540),2)=1,INDEX(F:F,(ROW(K540)+1)/2),INDEX(H:H,ROW(K540)/2)),"")</f>
        <v>-634.8</v>
      </c>
      <c r="L540" s="34">
        <f t="array" ref="L540">IF(ROW(L540)&lt;=COUNTA(G:G)*2,IF(MOD(ROW(L540),2)=1,INDEX(G:G,(ROW(L540)+1)/2),INDEX(I:I,ROW(L540)/2)),"")</f>
        <v>112.4</v>
      </c>
      <c r="N540" s="21"/>
      <c r="O540" s="21"/>
      <c r="P540" s="21"/>
      <c r="Q540" s="21"/>
      <c r="R540" s="21"/>
      <c r="S540" s="21">
        <f t="array" ref="S540">IF(ROW(S540)&lt;=COUNTA(N:N)*2,IF(MOD(ROW(S540),2)=1,INDEX(N:N,(ROW(S540)+1)/2),INDEX(P:P,ROW(S540)/2)),"")</f>
        <v>-634.8</v>
      </c>
      <c r="T540" s="21">
        <f t="array" ref="T540">IF(ROW(T540)&lt;=COUNTA(O:O)*2,IF(MOD(ROW(T540),2)=1,INDEX(O:O,(ROW(T540)+1)/2),INDEX(Q:Q,ROW(T540)/2)),"")</f>
        <v>120.7</v>
      </c>
      <c r="V540" s="22"/>
      <c r="W540" s="22"/>
      <c r="X540" s="22"/>
      <c r="Y540" s="22"/>
      <c r="Z540" s="22"/>
      <c r="AA540" s="22">
        <f t="array" ref="AA540">IF(ROW(AA540)&lt;=COUNTA(V:V)*2,IF(MOD(ROW(AA540),2)=1,INDEX(V:V,(ROW(AA540)+1)/2),INDEX(X:X,ROW(AA540)/2)),"")</f>
        <v>-634.8</v>
      </c>
      <c r="AB540" s="22">
        <f t="array" ref="AB540">IF(ROW(AB540)&lt;=COUNTA(W:W)*2,IF(MOD(ROW(AB540),2)=1,INDEX(W:W,(ROW(AB540)+1)/2),INDEX(Y:Y,ROW(AB540)/2)),"")</f>
        <v>122.77185</v>
      </c>
    </row>
    <row r="541" spans="1:28" s="2" customFormat="1" x14ac:dyDescent="0.25">
      <c r="A541" s="19"/>
      <c r="B541" s="20"/>
      <c r="C541" s="21"/>
      <c r="D541" s="22"/>
      <c r="F541" s="20"/>
      <c r="G541" s="20"/>
      <c r="H541" s="20"/>
      <c r="I541" s="20"/>
      <c r="J541" s="20"/>
      <c r="K541" s="34">
        <f t="array" ref="K541">IF(ROW(K541)&lt;=COUNTA(F:F)*2,IF(MOD(ROW(K541),2)=1,INDEX(F:F,(ROW(K541)+1)/2),INDEX(H:H,ROW(K541)/2)),"")</f>
        <v>-634.8</v>
      </c>
      <c r="L541" s="34">
        <f t="array" ref="L541">IF(ROW(L541)&lt;=COUNTA(G:G)*2,IF(MOD(ROW(L541),2)=1,INDEX(G:G,(ROW(L541)+1)/2),INDEX(I:I,ROW(L541)/2)),"")</f>
        <v>111.8</v>
      </c>
      <c r="N541" s="21"/>
      <c r="O541" s="21"/>
      <c r="P541" s="21"/>
      <c r="Q541" s="21"/>
      <c r="R541" s="21"/>
      <c r="S541" s="21">
        <f t="array" ref="S541">IF(ROW(S541)&lt;=COUNTA(N:N)*2,IF(MOD(ROW(S541),2)=1,INDEX(N:N,(ROW(S541)+1)/2),INDEX(P:P,ROW(S541)/2)),"")</f>
        <v>-634.8</v>
      </c>
      <c r="T541" s="21">
        <f t="array" ref="T541">IF(ROW(T541)&lt;=COUNTA(O:O)*2,IF(MOD(ROW(T541),2)=1,INDEX(O:O,(ROW(T541)+1)/2),INDEX(Q:Q,ROW(T541)/2)),"")</f>
        <v>121</v>
      </c>
      <c r="V541" s="22"/>
      <c r="W541" s="22"/>
      <c r="X541" s="22"/>
      <c r="Y541" s="22"/>
      <c r="Z541" s="22"/>
      <c r="AA541" s="22">
        <f t="array" ref="AA541">IF(ROW(AA541)&lt;=COUNTA(V:V)*2,IF(MOD(ROW(AA541),2)=1,INDEX(V:V,(ROW(AA541)+1)/2),INDEX(X:X,ROW(AA541)/2)),"")</f>
        <v>-634.8</v>
      </c>
      <c r="AB541" s="22">
        <f t="array" ref="AB541">IF(ROW(AB541)&lt;=COUNTA(W:W)*2,IF(MOD(ROW(AB541),2)=1,INDEX(W:W,(ROW(AB541)+1)/2),INDEX(Y:Y,ROW(AB541)/2)),"")</f>
        <v>122.6649</v>
      </c>
    </row>
    <row r="542" spans="1:28" s="2" customFormat="1" x14ac:dyDescent="0.25">
      <c r="A542" s="19"/>
      <c r="B542" s="20"/>
      <c r="C542" s="21"/>
      <c r="D542" s="22"/>
      <c r="F542" s="20"/>
      <c r="G542" s="20"/>
      <c r="H542" s="20"/>
      <c r="I542" s="20"/>
      <c r="J542" s="20"/>
      <c r="K542" s="34">
        <f t="array" ref="K542">IF(ROW(K542)&lt;=COUNTA(F:F)*2,IF(MOD(ROW(K542),2)=1,INDEX(F:F,(ROW(K542)+1)/2),INDEX(H:H,ROW(K542)/2)),"")</f>
        <v>-636.3</v>
      </c>
      <c r="L542" s="34">
        <f t="array" ref="L542">IF(ROW(L542)&lt;=COUNTA(G:G)*2,IF(MOD(ROW(L542),2)=1,INDEX(G:G,(ROW(L542)+1)/2),INDEX(I:I,ROW(L542)/2)),"")</f>
        <v>111.8</v>
      </c>
      <c r="N542" s="21"/>
      <c r="O542" s="21"/>
      <c r="P542" s="21"/>
      <c r="Q542" s="21"/>
      <c r="R542" s="21"/>
      <c r="S542" s="21">
        <f t="array" ref="S542">IF(ROW(S542)&lt;=COUNTA(N:N)*2,IF(MOD(ROW(S542),2)=1,INDEX(N:N,(ROW(S542)+1)/2),INDEX(P:P,ROW(S542)/2)),"")</f>
        <v>-636.3</v>
      </c>
      <c r="T542" s="21">
        <f t="array" ref="T542">IF(ROW(T542)&lt;=COUNTA(O:O)*2,IF(MOD(ROW(T542),2)=1,INDEX(O:O,(ROW(T542)+1)/2),INDEX(Q:Q,ROW(T542)/2)),"")</f>
        <v>121</v>
      </c>
      <c r="V542" s="22"/>
      <c r="W542" s="22"/>
      <c r="X542" s="22"/>
      <c r="Y542" s="22"/>
      <c r="Z542" s="22"/>
      <c r="AA542" s="22">
        <f t="array" ref="AA542">IF(ROW(AA542)&lt;=COUNTA(V:V)*2,IF(MOD(ROW(AA542),2)=1,INDEX(V:V,(ROW(AA542)+1)/2),INDEX(X:X,ROW(AA542)/2)),"")</f>
        <v>-636.3</v>
      </c>
      <c r="AB542" s="22">
        <f t="array" ref="AB542">IF(ROW(AB542)&lt;=COUNTA(W:W)*2,IF(MOD(ROW(AB542),2)=1,INDEX(W:W,(ROW(AB542)+1)/2),INDEX(Y:Y,ROW(AB542)/2)),"")</f>
        <v>122.6649</v>
      </c>
    </row>
    <row r="543" spans="1:28" s="2" customFormat="1" x14ac:dyDescent="0.25">
      <c r="A543" s="19"/>
      <c r="B543" s="20"/>
      <c r="C543" s="21"/>
      <c r="D543" s="22"/>
      <c r="F543" s="20"/>
      <c r="G543" s="20"/>
      <c r="H543" s="20"/>
      <c r="I543" s="20"/>
      <c r="J543" s="20"/>
      <c r="K543" s="34">
        <f t="array" ref="K543">IF(ROW(K543)&lt;=COUNTA(F:F)*2,IF(MOD(ROW(K543),2)=1,INDEX(F:F,(ROW(K543)+1)/2),INDEX(H:H,ROW(K543)/2)),"")</f>
        <v>-636.3</v>
      </c>
      <c r="L543" s="34">
        <f t="array" ref="L543">IF(ROW(L543)&lt;=COUNTA(G:G)*2,IF(MOD(ROW(L543),2)=1,INDEX(G:G,(ROW(L543)+1)/2),INDEX(I:I,ROW(L543)/2)),"")</f>
        <v>112.4</v>
      </c>
      <c r="N543" s="21"/>
      <c r="O543" s="21"/>
      <c r="P543" s="21"/>
      <c r="Q543" s="21"/>
      <c r="R543" s="21"/>
      <c r="S543" s="21">
        <f t="array" ref="S543">IF(ROW(S543)&lt;=COUNTA(N:N)*2,IF(MOD(ROW(S543),2)=1,INDEX(N:N,(ROW(S543)+1)/2),INDEX(P:P,ROW(S543)/2)),"")</f>
        <v>-636.3</v>
      </c>
      <c r="T543" s="21">
        <f t="array" ref="T543">IF(ROW(T543)&lt;=COUNTA(O:O)*2,IF(MOD(ROW(T543),2)=1,INDEX(O:O,(ROW(T543)+1)/2),INDEX(Q:Q,ROW(T543)/2)),"")</f>
        <v>121.2</v>
      </c>
      <c r="V543" s="22"/>
      <c r="W543" s="22"/>
      <c r="X543" s="22"/>
      <c r="Y543" s="22"/>
      <c r="Z543" s="22"/>
      <c r="AA543" s="22">
        <f t="array" ref="AA543">IF(ROW(AA543)&lt;=COUNTA(V:V)*2,IF(MOD(ROW(AA543),2)=1,INDEX(V:V,(ROW(AA543)+1)/2),INDEX(X:X,ROW(AA543)/2)),"")</f>
        <v>-636.3</v>
      </c>
      <c r="AB543" s="22">
        <f t="array" ref="AB543">IF(ROW(AB543)&lt;=COUNTA(W:W)*2,IF(MOD(ROW(AB543),2)=1,INDEX(W:W,(ROW(AB543)+1)/2),INDEX(Y:Y,ROW(AB543)/2)),"")</f>
        <v>122.6684</v>
      </c>
    </row>
    <row r="544" spans="1:28" s="2" customFormat="1" x14ac:dyDescent="0.25">
      <c r="A544" s="19"/>
      <c r="B544" s="20"/>
      <c r="C544" s="21"/>
      <c r="D544" s="22"/>
      <c r="F544" s="20"/>
      <c r="G544" s="20"/>
      <c r="H544" s="20"/>
      <c r="I544" s="20"/>
      <c r="J544" s="20"/>
      <c r="K544" s="34">
        <f t="array" ref="K544">IF(ROW(K544)&lt;=COUNTA(F:F)*2,IF(MOD(ROW(K544),2)=1,INDEX(F:F,(ROW(K544)+1)/2),INDEX(H:H,ROW(K544)/2)),"")</f>
        <v>-639.3</v>
      </c>
      <c r="L544" s="34">
        <f t="array" ref="L544">IF(ROW(L544)&lt;=COUNTA(G:G)*2,IF(MOD(ROW(L544),2)=1,INDEX(G:G,(ROW(L544)+1)/2),INDEX(I:I,ROW(L544)/2)),"")</f>
        <v>112.4</v>
      </c>
      <c r="N544" s="21"/>
      <c r="O544" s="21"/>
      <c r="P544" s="21"/>
      <c r="Q544" s="21"/>
      <c r="R544" s="21"/>
      <c r="S544" s="21">
        <f t="array" ref="S544">IF(ROW(S544)&lt;=COUNTA(N:N)*2,IF(MOD(ROW(S544),2)=1,INDEX(N:N,(ROW(S544)+1)/2),INDEX(P:P,ROW(S544)/2)),"")</f>
        <v>-639.3</v>
      </c>
      <c r="T544" s="21">
        <f t="array" ref="T544">IF(ROW(T544)&lt;=COUNTA(O:O)*2,IF(MOD(ROW(T544),2)=1,INDEX(O:O,(ROW(T544)+1)/2),INDEX(Q:Q,ROW(T544)/2)),"")</f>
        <v>121.2</v>
      </c>
      <c r="V544" s="22"/>
      <c r="W544" s="22"/>
      <c r="X544" s="22"/>
      <c r="Y544" s="22"/>
      <c r="Z544" s="22"/>
      <c r="AA544" s="22">
        <f t="array" ref="AA544">IF(ROW(AA544)&lt;=COUNTA(V:V)*2,IF(MOD(ROW(AA544),2)=1,INDEX(V:V,(ROW(AA544)+1)/2),INDEX(X:X,ROW(AA544)/2)),"")</f>
        <v>-639.3</v>
      </c>
      <c r="AB544" s="22">
        <f t="array" ref="AB544">IF(ROW(AB544)&lt;=COUNTA(W:W)*2,IF(MOD(ROW(AB544),2)=1,INDEX(W:W,(ROW(AB544)+1)/2),INDEX(Y:Y,ROW(AB544)/2)),"")</f>
        <v>122.6684</v>
      </c>
    </row>
    <row r="545" spans="1:28" s="2" customFormat="1" x14ac:dyDescent="0.25">
      <c r="A545" s="19"/>
      <c r="B545" s="20"/>
      <c r="C545" s="21"/>
      <c r="D545" s="22"/>
      <c r="F545" s="20"/>
      <c r="G545" s="20"/>
      <c r="H545" s="20"/>
      <c r="I545" s="20"/>
      <c r="J545" s="20"/>
      <c r="K545" s="34">
        <f t="array" ref="K545">IF(ROW(K545)&lt;=COUNTA(F:F)*2,IF(MOD(ROW(K545),2)=1,INDEX(F:F,(ROW(K545)+1)/2),INDEX(H:H,ROW(K545)/2)),"")</f>
        <v>-639.3</v>
      </c>
      <c r="L545" s="34">
        <f t="array" ref="L545">IF(ROW(L545)&lt;=COUNTA(G:G)*2,IF(MOD(ROW(L545),2)=1,INDEX(G:G,(ROW(L545)+1)/2),INDEX(I:I,ROW(L545)/2)),"")</f>
        <v>112.4</v>
      </c>
      <c r="N545" s="21"/>
      <c r="O545" s="21"/>
      <c r="P545" s="21"/>
      <c r="Q545" s="21"/>
      <c r="R545" s="21"/>
      <c r="S545" s="21">
        <f t="array" ref="S545">IF(ROW(S545)&lt;=COUNTA(N:N)*2,IF(MOD(ROW(S545),2)=1,INDEX(N:N,(ROW(S545)+1)/2),INDEX(P:P,ROW(S545)/2)),"")</f>
        <v>-639.3</v>
      </c>
      <c r="T545" s="21">
        <f t="array" ref="T545">IF(ROW(T545)&lt;=COUNTA(O:O)*2,IF(MOD(ROW(T545),2)=1,INDEX(O:O,(ROW(T545)+1)/2),INDEX(Q:Q,ROW(T545)/2)),"")</f>
        <v>121.4</v>
      </c>
      <c r="V545" s="22"/>
      <c r="W545" s="22"/>
      <c r="X545" s="22"/>
      <c r="Y545" s="22"/>
      <c r="Z545" s="22"/>
      <c r="AA545" s="22">
        <f t="array" ref="AA545">IF(ROW(AA545)&lt;=COUNTA(V:V)*2,IF(MOD(ROW(AA545),2)=1,INDEX(V:V,(ROW(AA545)+1)/2),INDEX(X:X,ROW(AA545)/2)),"")</f>
        <v>-639.3</v>
      </c>
      <c r="AB545" s="22">
        <f t="array" ref="AB545">IF(ROW(AB545)&lt;=COUNTA(W:W)*2,IF(MOD(ROW(AB545),2)=1,INDEX(W:W,(ROW(AB545)+1)/2),INDEX(Y:Y,ROW(AB545)/2)),"")</f>
        <v>122.763275</v>
      </c>
    </row>
    <row r="546" spans="1:28" s="2" customFormat="1" x14ac:dyDescent="0.25">
      <c r="A546" s="19"/>
      <c r="B546" s="20"/>
      <c r="C546" s="21"/>
      <c r="D546" s="22"/>
      <c r="F546" s="20"/>
      <c r="G546" s="20"/>
      <c r="H546" s="20"/>
      <c r="I546" s="20"/>
      <c r="J546" s="20"/>
      <c r="K546" s="34">
        <f t="array" ref="K546">IF(ROW(K546)&lt;=COUNTA(F:F)*2,IF(MOD(ROW(K546),2)=1,INDEX(F:F,(ROW(K546)+1)/2),INDEX(H:H,ROW(K546)/2)),"")</f>
        <v>-642.3</v>
      </c>
      <c r="L546" s="34">
        <f t="array" ref="L546">IF(ROW(L546)&lt;=COUNTA(G:G)*2,IF(MOD(ROW(L546),2)=1,INDEX(G:G,(ROW(L546)+1)/2),INDEX(I:I,ROW(L546)/2)),"")</f>
        <v>112.4</v>
      </c>
      <c r="N546" s="21"/>
      <c r="O546" s="21"/>
      <c r="P546" s="21"/>
      <c r="Q546" s="21"/>
      <c r="R546" s="21"/>
      <c r="S546" s="21">
        <f t="array" ref="S546">IF(ROW(S546)&lt;=COUNTA(N:N)*2,IF(MOD(ROW(S546),2)=1,INDEX(N:N,(ROW(S546)+1)/2),INDEX(P:P,ROW(S546)/2)),"")</f>
        <v>-642.3</v>
      </c>
      <c r="T546" s="21">
        <f t="array" ref="T546">IF(ROW(T546)&lt;=COUNTA(O:O)*2,IF(MOD(ROW(T546),2)=1,INDEX(O:O,(ROW(T546)+1)/2),INDEX(Q:Q,ROW(T546)/2)),"")</f>
        <v>121.4</v>
      </c>
      <c r="V546" s="22"/>
      <c r="W546" s="22"/>
      <c r="X546" s="22"/>
      <c r="Y546" s="22"/>
      <c r="Z546" s="22"/>
      <c r="AA546" s="22">
        <f t="array" ref="AA546">IF(ROW(AA546)&lt;=COUNTA(V:V)*2,IF(MOD(ROW(AA546),2)=1,INDEX(V:V,(ROW(AA546)+1)/2),INDEX(X:X,ROW(AA546)/2)),"")</f>
        <v>-642.3</v>
      </c>
      <c r="AB546" s="22">
        <f t="array" ref="AB546">IF(ROW(AB546)&lt;=COUNTA(W:W)*2,IF(MOD(ROW(AB546),2)=1,INDEX(W:W,(ROW(AB546)+1)/2),INDEX(Y:Y,ROW(AB546)/2)),"")</f>
        <v>122.763275</v>
      </c>
    </row>
    <row r="547" spans="1:28" s="2" customFormat="1" x14ac:dyDescent="0.25">
      <c r="A547" s="19"/>
      <c r="B547" s="20"/>
      <c r="C547" s="21"/>
      <c r="D547" s="22"/>
      <c r="F547" s="20"/>
      <c r="G547" s="20"/>
      <c r="H547" s="20"/>
      <c r="I547" s="20"/>
      <c r="J547" s="20"/>
      <c r="K547" s="34">
        <f t="array" ref="K547">IF(ROW(K547)&lt;=COUNTA(F:F)*2,IF(MOD(ROW(K547),2)=1,INDEX(F:F,(ROW(K547)+1)/2),INDEX(H:H,ROW(K547)/2)),"")</f>
        <v>-642.3</v>
      </c>
      <c r="L547" s="34">
        <f t="array" ref="L547">IF(ROW(L547)&lt;=COUNTA(G:G)*2,IF(MOD(ROW(L547),2)=1,INDEX(G:G,(ROW(L547)+1)/2),INDEX(I:I,ROW(L547)/2)),"")</f>
        <v>112.4</v>
      </c>
      <c r="N547" s="21"/>
      <c r="O547" s="21"/>
      <c r="P547" s="21"/>
      <c r="Q547" s="21"/>
      <c r="R547" s="21"/>
      <c r="S547" s="21">
        <f t="array" ref="S547">IF(ROW(S547)&lt;=COUNTA(N:N)*2,IF(MOD(ROW(S547),2)=1,INDEX(N:N,(ROW(S547)+1)/2),INDEX(P:P,ROW(S547)/2)),"")</f>
        <v>-642.3</v>
      </c>
      <c r="T547" s="21">
        <f t="array" ref="T547">IF(ROW(T547)&lt;=COUNTA(O:O)*2,IF(MOD(ROW(T547),2)=1,INDEX(O:O,(ROW(T547)+1)/2),INDEX(Q:Q,ROW(T547)/2)),"")</f>
        <v>120</v>
      </c>
      <c r="V547" s="22"/>
      <c r="W547" s="22"/>
      <c r="X547" s="22"/>
      <c r="Y547" s="22"/>
      <c r="Z547" s="22"/>
      <c r="AA547" s="22">
        <f t="array" ref="AA547">IF(ROW(AA547)&lt;=COUNTA(V:V)*2,IF(MOD(ROW(AA547),2)=1,INDEX(V:V,(ROW(AA547)+1)/2),INDEX(X:X,ROW(AA547)/2)),"")</f>
        <v>-642.3</v>
      </c>
      <c r="AB547" s="22">
        <f t="array" ref="AB547">IF(ROW(AB547)&lt;=COUNTA(W:W)*2,IF(MOD(ROW(AB547),2)=1,INDEX(W:W,(ROW(AB547)+1)/2),INDEX(Y:Y,ROW(AB547)/2)),"")</f>
        <v>122.664125</v>
      </c>
    </row>
    <row r="548" spans="1:28" s="2" customFormat="1" x14ac:dyDescent="0.25">
      <c r="A548" s="19"/>
      <c r="B548" s="20"/>
      <c r="C548" s="21"/>
      <c r="D548" s="22"/>
      <c r="F548" s="20"/>
      <c r="G548" s="20"/>
      <c r="H548" s="20"/>
      <c r="I548" s="20"/>
      <c r="J548" s="20"/>
      <c r="K548" s="34">
        <f t="array" ref="K548">IF(ROW(K548)&lt;=COUNTA(F:F)*2,IF(MOD(ROW(K548),2)=1,INDEX(F:F,(ROW(K548)+1)/2),INDEX(H:H,ROW(K548)/2)),"")</f>
        <v>-645.3</v>
      </c>
      <c r="L548" s="34">
        <f t="array" ref="L548">IF(ROW(L548)&lt;=COUNTA(G:G)*2,IF(MOD(ROW(L548),2)=1,INDEX(G:G,(ROW(L548)+1)/2),INDEX(I:I,ROW(L548)/2)),"")</f>
        <v>112.4</v>
      </c>
      <c r="N548" s="21"/>
      <c r="O548" s="21"/>
      <c r="P548" s="21"/>
      <c r="Q548" s="21"/>
      <c r="R548" s="21"/>
      <c r="S548" s="21">
        <f t="array" ref="S548">IF(ROW(S548)&lt;=COUNTA(N:N)*2,IF(MOD(ROW(S548),2)=1,INDEX(N:N,(ROW(S548)+1)/2),INDEX(P:P,ROW(S548)/2)),"")</f>
        <v>-645.3</v>
      </c>
      <c r="T548" s="21">
        <f t="array" ref="T548">IF(ROW(T548)&lt;=COUNTA(O:O)*2,IF(MOD(ROW(T548),2)=1,INDEX(O:O,(ROW(T548)+1)/2),INDEX(Q:Q,ROW(T548)/2)),"")</f>
        <v>120</v>
      </c>
      <c r="V548" s="22"/>
      <c r="W548" s="22"/>
      <c r="X548" s="22"/>
      <c r="Y548" s="22"/>
      <c r="Z548" s="22"/>
      <c r="AA548" s="22">
        <f t="array" ref="AA548">IF(ROW(AA548)&lt;=COUNTA(V:V)*2,IF(MOD(ROW(AA548),2)=1,INDEX(V:V,(ROW(AA548)+1)/2),INDEX(X:X,ROW(AA548)/2)),"")</f>
        <v>-645.3</v>
      </c>
      <c r="AB548" s="22">
        <f t="array" ref="AB548">IF(ROW(AB548)&lt;=COUNTA(W:W)*2,IF(MOD(ROW(AB548),2)=1,INDEX(W:W,(ROW(AB548)+1)/2),INDEX(Y:Y,ROW(AB548)/2)),"")</f>
        <v>122.664125</v>
      </c>
    </row>
    <row r="549" spans="1:28" s="2" customFormat="1" x14ac:dyDescent="0.25">
      <c r="A549" s="19"/>
      <c r="B549" s="20"/>
      <c r="C549" s="21"/>
      <c r="D549" s="22"/>
      <c r="F549" s="20"/>
      <c r="G549" s="20"/>
      <c r="H549" s="20"/>
      <c r="I549" s="20"/>
      <c r="J549" s="20"/>
      <c r="K549" s="34">
        <f t="array" ref="K549">IF(ROW(K549)&lt;=COUNTA(F:F)*2,IF(MOD(ROW(K549),2)=1,INDEX(F:F,(ROW(K549)+1)/2),INDEX(H:H,ROW(K549)/2)),"")</f>
        <v>-645.3</v>
      </c>
      <c r="L549" s="34">
        <f t="array" ref="L549">IF(ROW(L549)&lt;=COUNTA(G:G)*2,IF(MOD(ROW(L549),2)=1,INDEX(G:G,(ROW(L549)+1)/2),INDEX(I:I,ROW(L549)/2)),"")</f>
        <v>112.3</v>
      </c>
      <c r="N549" s="21"/>
      <c r="O549" s="21"/>
      <c r="P549" s="21"/>
      <c r="Q549" s="21"/>
      <c r="R549" s="21"/>
      <c r="S549" s="21">
        <f t="array" ref="S549">IF(ROW(S549)&lt;=COUNTA(N:N)*2,IF(MOD(ROW(S549),2)=1,INDEX(N:N,(ROW(S549)+1)/2),INDEX(P:P,ROW(S549)/2)),"")</f>
        <v>-645.3</v>
      </c>
      <c r="T549" s="21">
        <f t="array" ref="T549">IF(ROW(T549)&lt;=COUNTA(O:O)*2,IF(MOD(ROW(T549),2)=1,INDEX(O:O,(ROW(T549)+1)/2),INDEX(Q:Q,ROW(T549)/2)),"")</f>
        <v>120</v>
      </c>
      <c r="V549" s="22"/>
      <c r="W549" s="22"/>
      <c r="X549" s="22"/>
      <c r="Y549" s="22"/>
      <c r="Z549" s="22"/>
      <c r="AA549" s="22">
        <f t="array" ref="AA549">IF(ROW(AA549)&lt;=COUNTA(V:V)*2,IF(MOD(ROW(AA549),2)=1,INDEX(V:V,(ROW(AA549)+1)/2),INDEX(X:X,ROW(AA549)/2)),"")</f>
        <v>-645.3</v>
      </c>
      <c r="AB549" s="22">
        <f t="array" ref="AB549">IF(ROW(AB549)&lt;=COUNTA(W:W)*2,IF(MOD(ROW(AB549),2)=1,INDEX(W:W,(ROW(AB549)+1)/2),INDEX(Y:Y,ROW(AB549)/2)),"")</f>
        <v>122.66325</v>
      </c>
    </row>
    <row r="550" spans="1:28" s="2" customFormat="1" x14ac:dyDescent="0.25">
      <c r="A550" s="19"/>
      <c r="B550" s="20"/>
      <c r="C550" s="21"/>
      <c r="D550" s="22"/>
      <c r="F550" s="20"/>
      <c r="G550" s="20"/>
      <c r="H550" s="20"/>
      <c r="I550" s="20"/>
      <c r="J550" s="20"/>
      <c r="K550" s="34">
        <f t="array" ref="K550">IF(ROW(K550)&lt;=COUNTA(F:F)*2,IF(MOD(ROW(K550),2)=1,INDEX(F:F,(ROW(K550)+1)/2),INDEX(H:H,ROW(K550)/2)),"")</f>
        <v>-648.3</v>
      </c>
      <c r="L550" s="34">
        <f t="array" ref="L550">IF(ROW(L550)&lt;=COUNTA(G:G)*2,IF(MOD(ROW(L550),2)=1,INDEX(G:G,(ROW(L550)+1)/2),INDEX(I:I,ROW(L550)/2)),"")</f>
        <v>112.3</v>
      </c>
      <c r="N550" s="21"/>
      <c r="O550" s="21"/>
      <c r="P550" s="21"/>
      <c r="Q550" s="21"/>
      <c r="R550" s="21"/>
      <c r="S550" s="21">
        <f t="array" ref="S550">IF(ROW(S550)&lt;=COUNTA(N:N)*2,IF(MOD(ROW(S550),2)=1,INDEX(N:N,(ROW(S550)+1)/2),INDEX(P:P,ROW(S550)/2)),"")</f>
        <v>-648.3</v>
      </c>
      <c r="T550" s="21">
        <f t="array" ref="T550">IF(ROW(T550)&lt;=COUNTA(O:O)*2,IF(MOD(ROW(T550),2)=1,INDEX(O:O,(ROW(T550)+1)/2),INDEX(Q:Q,ROW(T550)/2)),"")</f>
        <v>120</v>
      </c>
      <c r="V550" s="22"/>
      <c r="W550" s="22"/>
      <c r="X550" s="22"/>
      <c r="Y550" s="22"/>
      <c r="Z550" s="22"/>
      <c r="AA550" s="22">
        <f t="array" ref="AA550">IF(ROW(AA550)&lt;=COUNTA(V:V)*2,IF(MOD(ROW(AA550),2)=1,INDEX(V:V,(ROW(AA550)+1)/2),INDEX(X:X,ROW(AA550)/2)),"")</f>
        <v>-648.3</v>
      </c>
      <c r="AB550" s="22">
        <f t="array" ref="AB550">IF(ROW(AB550)&lt;=COUNTA(W:W)*2,IF(MOD(ROW(AB550),2)=1,INDEX(W:W,(ROW(AB550)+1)/2),INDEX(Y:Y,ROW(AB550)/2)),"")</f>
        <v>122.66325</v>
      </c>
    </row>
    <row r="551" spans="1:28" s="2" customFormat="1" x14ac:dyDescent="0.25">
      <c r="A551" s="19"/>
      <c r="B551" s="20"/>
      <c r="C551" s="21"/>
      <c r="D551" s="22"/>
      <c r="F551" s="20"/>
      <c r="G551" s="20"/>
      <c r="H551" s="20"/>
      <c r="I551" s="20"/>
      <c r="J551" s="20"/>
      <c r="K551" s="34">
        <f t="array" ref="K551">IF(ROW(K551)&lt;=COUNTA(F:F)*2,IF(MOD(ROW(K551),2)=1,INDEX(F:F,(ROW(K551)+1)/2),INDEX(H:H,ROW(K551)/2)),"")</f>
        <v>-648.3</v>
      </c>
      <c r="L551" s="34">
        <f t="array" ref="L551">IF(ROW(L551)&lt;=COUNTA(G:G)*2,IF(MOD(ROW(L551),2)=1,INDEX(G:G,(ROW(L551)+1)/2),INDEX(I:I,ROW(L551)/2)),"")</f>
        <v>112.3</v>
      </c>
      <c r="N551" s="21"/>
      <c r="O551" s="21"/>
      <c r="P551" s="21"/>
      <c r="Q551" s="21"/>
      <c r="R551" s="21"/>
      <c r="S551" s="21">
        <f t="array" ref="S551">IF(ROW(S551)&lt;=COUNTA(N:N)*2,IF(MOD(ROW(S551),2)=1,INDEX(N:N,(ROW(S551)+1)/2),INDEX(P:P,ROW(S551)/2)),"")</f>
        <v>-648.3</v>
      </c>
      <c r="T551" s="21">
        <f t="array" ref="T551">IF(ROW(T551)&lt;=COUNTA(O:O)*2,IF(MOD(ROW(T551),2)=1,INDEX(O:O,(ROW(T551)+1)/2),INDEX(Q:Q,ROW(T551)/2)),"")</f>
        <v>119.7</v>
      </c>
      <c r="V551" s="22"/>
      <c r="W551" s="22"/>
      <c r="X551" s="22"/>
      <c r="Y551" s="22"/>
      <c r="Z551" s="22"/>
      <c r="AA551" s="22">
        <f t="array" ref="AA551">IF(ROW(AA551)&lt;=COUNTA(V:V)*2,IF(MOD(ROW(AA551),2)=1,INDEX(V:V,(ROW(AA551)+1)/2),INDEX(X:X,ROW(AA551)/2)),"")</f>
        <v>-648.3</v>
      </c>
      <c r="AB551" s="22">
        <f t="array" ref="AB551">IF(ROW(AB551)&lt;=COUNTA(W:W)*2,IF(MOD(ROW(AB551),2)=1,INDEX(W:W,(ROW(AB551)+1)/2),INDEX(Y:Y,ROW(AB551)/2)),"")</f>
        <v>122.67095</v>
      </c>
    </row>
    <row r="552" spans="1:28" s="2" customFormat="1" x14ac:dyDescent="0.25">
      <c r="A552" s="19"/>
      <c r="B552" s="20"/>
      <c r="C552" s="21"/>
      <c r="D552" s="22"/>
      <c r="F552" s="20"/>
      <c r="G552" s="20"/>
      <c r="H552" s="20"/>
      <c r="I552" s="20"/>
      <c r="J552" s="20"/>
      <c r="K552" s="34">
        <f t="array" ref="K552">IF(ROW(K552)&lt;=COUNTA(F:F)*2,IF(MOD(ROW(K552),2)=1,INDEX(F:F,(ROW(K552)+1)/2),INDEX(H:H,ROW(K552)/2)),"")</f>
        <v>-651.3</v>
      </c>
      <c r="L552" s="34">
        <f t="array" ref="L552">IF(ROW(L552)&lt;=COUNTA(G:G)*2,IF(MOD(ROW(L552),2)=1,INDEX(G:G,(ROW(L552)+1)/2),INDEX(I:I,ROW(L552)/2)),"")</f>
        <v>112.3</v>
      </c>
      <c r="N552" s="21"/>
      <c r="O552" s="21"/>
      <c r="P552" s="21"/>
      <c r="Q552" s="21"/>
      <c r="R552" s="21"/>
      <c r="S552" s="21">
        <f t="array" ref="S552">IF(ROW(S552)&lt;=COUNTA(N:N)*2,IF(MOD(ROW(S552),2)=1,INDEX(N:N,(ROW(S552)+1)/2),INDEX(P:P,ROW(S552)/2)),"")</f>
        <v>-651.3</v>
      </c>
      <c r="T552" s="21">
        <f t="array" ref="T552">IF(ROW(T552)&lt;=COUNTA(O:O)*2,IF(MOD(ROW(T552),2)=1,INDEX(O:O,(ROW(T552)+1)/2),INDEX(Q:Q,ROW(T552)/2)),"")</f>
        <v>119.7</v>
      </c>
      <c r="V552" s="22"/>
      <c r="W552" s="22"/>
      <c r="X552" s="22"/>
      <c r="Y552" s="22"/>
      <c r="Z552" s="22"/>
      <c r="AA552" s="22">
        <f t="array" ref="AA552">IF(ROW(AA552)&lt;=COUNTA(V:V)*2,IF(MOD(ROW(AA552),2)=1,INDEX(V:V,(ROW(AA552)+1)/2),INDEX(X:X,ROW(AA552)/2)),"")</f>
        <v>-651.3</v>
      </c>
      <c r="AB552" s="22">
        <f t="array" ref="AB552">IF(ROW(AB552)&lt;=COUNTA(W:W)*2,IF(MOD(ROW(AB552),2)=1,INDEX(W:W,(ROW(AB552)+1)/2),INDEX(Y:Y,ROW(AB552)/2)),"")</f>
        <v>122.67095</v>
      </c>
    </row>
    <row r="553" spans="1:28" s="2" customFormat="1" x14ac:dyDescent="0.25">
      <c r="A553" s="19"/>
      <c r="B553" s="20"/>
      <c r="C553" s="21"/>
      <c r="D553" s="22"/>
      <c r="F553" s="20"/>
      <c r="G553" s="20"/>
      <c r="H553" s="20"/>
      <c r="I553" s="20"/>
      <c r="J553" s="20"/>
      <c r="K553" s="34">
        <f t="array" ref="K553">IF(ROW(K553)&lt;=COUNTA(F:F)*2,IF(MOD(ROW(K553),2)=1,INDEX(F:F,(ROW(K553)+1)/2),INDEX(H:H,ROW(K553)/2)),"")</f>
        <v>-651.3</v>
      </c>
      <c r="L553" s="34">
        <f t="array" ref="L553">IF(ROW(L553)&lt;=COUNTA(G:G)*2,IF(MOD(ROW(L553),2)=1,INDEX(G:G,(ROW(L553)+1)/2),INDEX(I:I,ROW(L553)/2)),"")</f>
        <v>112</v>
      </c>
      <c r="N553" s="21"/>
      <c r="O553" s="21"/>
      <c r="P553" s="21"/>
      <c r="Q553" s="21"/>
      <c r="R553" s="21"/>
      <c r="S553" s="21">
        <f t="array" ref="S553">IF(ROW(S553)&lt;=COUNTA(N:N)*2,IF(MOD(ROW(S553),2)=1,INDEX(N:N,(ROW(S553)+1)/2),INDEX(P:P,ROW(S553)/2)),"")</f>
        <v>-651.3</v>
      </c>
      <c r="T553" s="21">
        <f t="array" ref="T553">IF(ROW(T553)&lt;=COUNTA(O:O)*2,IF(MOD(ROW(T553),2)=1,INDEX(O:O,(ROW(T553)+1)/2),INDEX(Q:Q,ROW(T553)/2)),"")</f>
        <v>113.5</v>
      </c>
      <c r="V553" s="22"/>
      <c r="W553" s="22"/>
      <c r="X553" s="22"/>
      <c r="Y553" s="22"/>
      <c r="Z553" s="22"/>
      <c r="AA553" s="22">
        <f t="array" ref="AA553">IF(ROW(AA553)&lt;=COUNTA(V:V)*2,IF(MOD(ROW(AA553),2)=1,INDEX(V:V,(ROW(AA553)+1)/2),INDEX(X:X,ROW(AA553)/2)),"")</f>
        <v>-651.3</v>
      </c>
      <c r="AB553" s="22">
        <f t="array" ref="AB553">IF(ROW(AB553)&lt;=COUNTA(W:W)*2,IF(MOD(ROW(AB553),2)=1,INDEX(W:W,(ROW(AB553)+1)/2),INDEX(Y:Y,ROW(AB553)/2)),"")</f>
        <v>122.677425</v>
      </c>
    </row>
    <row r="554" spans="1:28" s="2" customFormat="1" x14ac:dyDescent="0.25">
      <c r="A554" s="19"/>
      <c r="B554" s="20"/>
      <c r="C554" s="21"/>
      <c r="D554" s="22"/>
      <c r="F554" s="20"/>
      <c r="G554" s="20"/>
      <c r="H554" s="20"/>
      <c r="I554" s="20"/>
      <c r="J554" s="20"/>
      <c r="K554" s="34">
        <f t="array" ref="K554">IF(ROW(K554)&lt;=COUNTA(F:F)*2,IF(MOD(ROW(K554),2)=1,INDEX(F:F,(ROW(K554)+1)/2),INDEX(H:H,ROW(K554)/2)),"")</f>
        <v>-654.3</v>
      </c>
      <c r="L554" s="34">
        <f t="array" ref="L554">IF(ROW(L554)&lt;=COUNTA(G:G)*2,IF(MOD(ROW(L554),2)=1,INDEX(G:G,(ROW(L554)+1)/2),INDEX(I:I,ROW(L554)/2)),"")</f>
        <v>112</v>
      </c>
      <c r="N554" s="21"/>
      <c r="O554" s="21"/>
      <c r="P554" s="21"/>
      <c r="Q554" s="21"/>
      <c r="R554" s="21"/>
      <c r="S554" s="21">
        <f t="array" ref="S554">IF(ROW(S554)&lt;=COUNTA(N:N)*2,IF(MOD(ROW(S554),2)=1,INDEX(N:N,(ROW(S554)+1)/2),INDEX(P:P,ROW(S554)/2)),"")</f>
        <v>-654.3</v>
      </c>
      <c r="T554" s="21">
        <f t="array" ref="T554">IF(ROW(T554)&lt;=COUNTA(O:O)*2,IF(MOD(ROW(T554),2)=1,INDEX(O:O,(ROW(T554)+1)/2),INDEX(Q:Q,ROW(T554)/2)),"")</f>
        <v>113.5</v>
      </c>
      <c r="V554" s="22"/>
      <c r="W554" s="22"/>
      <c r="X554" s="22"/>
      <c r="Y554" s="22"/>
      <c r="Z554" s="22"/>
      <c r="AA554" s="22">
        <f t="array" ref="AA554">IF(ROW(AA554)&lt;=COUNTA(V:V)*2,IF(MOD(ROW(AA554),2)=1,INDEX(V:V,(ROW(AA554)+1)/2),INDEX(X:X,ROW(AA554)/2)),"")</f>
        <v>-654.3</v>
      </c>
      <c r="AB554" s="22">
        <f t="array" ref="AB554">IF(ROW(AB554)&lt;=COUNTA(W:W)*2,IF(MOD(ROW(AB554),2)=1,INDEX(W:W,(ROW(AB554)+1)/2),INDEX(Y:Y,ROW(AB554)/2)),"")</f>
        <v>122.677425</v>
      </c>
    </row>
    <row r="555" spans="1:28" s="2" customFormat="1" x14ac:dyDescent="0.25">
      <c r="A555" s="19"/>
      <c r="B555" s="20"/>
      <c r="C555" s="21"/>
      <c r="D555" s="22"/>
      <c r="F555" s="20"/>
      <c r="G555" s="20"/>
      <c r="H555" s="20"/>
      <c r="I555" s="20"/>
      <c r="J555" s="20"/>
      <c r="K555" s="34">
        <f t="array" ref="K555">IF(ROW(K555)&lt;=COUNTA(F:F)*2,IF(MOD(ROW(K555),2)=1,INDEX(F:F,(ROW(K555)+1)/2),INDEX(H:H,ROW(K555)/2)),"")</f>
        <v>-654.3</v>
      </c>
      <c r="L555" s="34">
        <f t="array" ref="L555">IF(ROW(L555)&lt;=COUNTA(G:G)*2,IF(MOD(ROW(L555),2)=1,INDEX(G:G,(ROW(L555)+1)/2),INDEX(I:I,ROW(L555)/2)),"")</f>
        <v>111.6</v>
      </c>
      <c r="N555" s="21"/>
      <c r="O555" s="21"/>
      <c r="P555" s="21"/>
      <c r="Q555" s="21"/>
      <c r="R555" s="21"/>
      <c r="S555" s="21">
        <f t="array" ref="S555">IF(ROW(S555)&lt;=COUNTA(N:N)*2,IF(MOD(ROW(S555),2)=1,INDEX(N:N,(ROW(S555)+1)/2),INDEX(P:P,ROW(S555)/2)),"")</f>
        <v>-654.3</v>
      </c>
      <c r="T555" s="21">
        <f t="array" ref="T555">IF(ROW(T555)&lt;=COUNTA(O:O)*2,IF(MOD(ROW(T555),2)=1,INDEX(O:O,(ROW(T555)+1)/2),INDEX(Q:Q,ROW(T555)/2)),"")</f>
        <v>112.5</v>
      </c>
      <c r="V555" s="22"/>
      <c r="W555" s="22"/>
      <c r="X555" s="22"/>
      <c r="Y555" s="22"/>
      <c r="Z555" s="22"/>
      <c r="AA555" s="22">
        <f t="array" ref="AA555">IF(ROW(AA555)&lt;=COUNTA(V:V)*2,IF(MOD(ROW(AA555),2)=1,INDEX(V:V,(ROW(AA555)+1)/2),INDEX(X:X,ROW(AA555)/2)),"")</f>
        <v>-654.3</v>
      </c>
      <c r="AB555" s="22">
        <f t="array" ref="AB555">IF(ROW(AB555)&lt;=COUNTA(W:W)*2,IF(MOD(ROW(AB555),2)=1,INDEX(W:W,(ROW(AB555)+1)/2),INDEX(Y:Y,ROW(AB555)/2)),"")</f>
        <v>122.67985</v>
      </c>
    </row>
    <row r="556" spans="1:28" s="2" customFormat="1" x14ac:dyDescent="0.25">
      <c r="A556" s="19"/>
      <c r="B556" s="20"/>
      <c r="C556" s="21"/>
      <c r="D556" s="22"/>
      <c r="F556" s="20"/>
      <c r="G556" s="20"/>
      <c r="H556" s="20"/>
      <c r="I556" s="20"/>
      <c r="J556" s="20"/>
      <c r="K556" s="34">
        <f t="array" ref="K556">IF(ROW(K556)&lt;=COUNTA(F:F)*2,IF(MOD(ROW(K556),2)=1,INDEX(F:F,(ROW(K556)+1)/2),INDEX(H:H,ROW(K556)/2)),"")</f>
        <v>-657</v>
      </c>
      <c r="L556" s="34">
        <f t="array" ref="L556">IF(ROW(L556)&lt;=COUNTA(G:G)*2,IF(MOD(ROW(L556),2)=1,INDEX(G:G,(ROW(L556)+1)/2),INDEX(I:I,ROW(L556)/2)),"")</f>
        <v>111.6</v>
      </c>
      <c r="N556" s="21"/>
      <c r="O556" s="21"/>
      <c r="P556" s="21"/>
      <c r="Q556" s="21"/>
      <c r="R556" s="21"/>
      <c r="S556" s="21">
        <f t="array" ref="S556">IF(ROW(S556)&lt;=COUNTA(N:N)*2,IF(MOD(ROW(S556),2)=1,INDEX(N:N,(ROW(S556)+1)/2),INDEX(P:P,ROW(S556)/2)),"")</f>
        <v>-657</v>
      </c>
      <c r="T556" s="21">
        <f t="array" ref="T556">IF(ROW(T556)&lt;=COUNTA(O:O)*2,IF(MOD(ROW(T556),2)=1,INDEX(O:O,(ROW(T556)+1)/2),INDEX(Q:Q,ROW(T556)/2)),"")</f>
        <v>112.5</v>
      </c>
      <c r="V556" s="22"/>
      <c r="W556" s="22"/>
      <c r="X556" s="22"/>
      <c r="Y556" s="22"/>
      <c r="Z556" s="22"/>
      <c r="AA556" s="22">
        <f t="array" ref="AA556">IF(ROW(AA556)&lt;=COUNTA(V:V)*2,IF(MOD(ROW(AA556),2)=1,INDEX(V:V,(ROW(AA556)+1)/2),INDEX(X:X,ROW(AA556)/2)),"")</f>
        <v>-657</v>
      </c>
      <c r="AB556" s="22">
        <f t="array" ref="AB556">IF(ROW(AB556)&lt;=COUNTA(W:W)*2,IF(MOD(ROW(AB556),2)=1,INDEX(W:W,(ROW(AB556)+1)/2),INDEX(Y:Y,ROW(AB556)/2)),"")</f>
        <v>122.67985</v>
      </c>
    </row>
    <row r="557" spans="1:28" s="2" customFormat="1" x14ac:dyDescent="0.25">
      <c r="A557" s="19"/>
      <c r="B557" s="20"/>
      <c r="C557" s="21"/>
      <c r="D557" s="22"/>
      <c r="F557" s="20"/>
      <c r="G557" s="20"/>
      <c r="H557" s="20"/>
      <c r="I557" s="20"/>
      <c r="J557" s="20"/>
      <c r="K557" s="34">
        <f t="array" ref="K557">IF(ROW(K557)&lt;=COUNTA(F:F)*2,IF(MOD(ROW(K557),2)=1,INDEX(F:F,(ROW(K557)+1)/2),INDEX(H:H,ROW(K557)/2)),"")</f>
        <v>-657</v>
      </c>
      <c r="L557" s="34">
        <f t="array" ref="L557">IF(ROW(L557)&lt;=COUNTA(G:G)*2,IF(MOD(ROW(L557),2)=1,INDEX(G:G,(ROW(L557)+1)/2),INDEX(I:I,ROW(L557)/2)),"")</f>
        <v>112.4</v>
      </c>
      <c r="N557" s="21"/>
      <c r="O557" s="21"/>
      <c r="P557" s="21"/>
      <c r="Q557" s="21"/>
      <c r="R557" s="21"/>
      <c r="S557" s="21">
        <f t="array" ref="S557">IF(ROW(S557)&lt;=COUNTA(N:N)*2,IF(MOD(ROW(S557),2)=1,INDEX(N:N,(ROW(S557)+1)/2),INDEX(P:P,ROW(S557)/2)),"")</f>
        <v>-657</v>
      </c>
      <c r="T557" s="21">
        <f t="array" ref="T557">IF(ROW(T557)&lt;=COUNTA(O:O)*2,IF(MOD(ROW(T557),2)=1,INDEX(O:O,(ROW(T557)+1)/2),INDEX(Q:Q,ROW(T557)/2)),"")</f>
        <v>120.3</v>
      </c>
      <c r="V557" s="22"/>
      <c r="W557" s="22"/>
      <c r="X557" s="22"/>
      <c r="Y557" s="22"/>
      <c r="Z557" s="22"/>
      <c r="AA557" s="22">
        <f t="array" ref="AA557">IF(ROW(AA557)&lt;=COUNTA(V:V)*2,IF(MOD(ROW(AA557),2)=1,INDEX(V:V,(ROW(AA557)+1)/2),INDEX(X:X,ROW(AA557)/2)),"")</f>
        <v>-657</v>
      </c>
      <c r="AB557" s="22">
        <f t="array" ref="AB557">IF(ROW(AB557)&lt;=COUNTA(W:W)*2,IF(MOD(ROW(AB557),2)=1,INDEX(W:W,(ROW(AB557)+1)/2),INDEX(Y:Y,ROW(AB557)/2)),"")</f>
        <v>122.6237</v>
      </c>
    </row>
    <row r="558" spans="1:28" s="2" customFormat="1" x14ac:dyDescent="0.25">
      <c r="A558" s="19"/>
      <c r="B558" s="20"/>
      <c r="C558" s="21"/>
      <c r="D558" s="22"/>
      <c r="F558" s="20"/>
      <c r="G558" s="20"/>
      <c r="H558" s="20"/>
      <c r="I558" s="20"/>
      <c r="J558" s="20"/>
      <c r="K558" s="34">
        <f t="array" ref="K558">IF(ROW(K558)&lt;=COUNTA(F:F)*2,IF(MOD(ROW(K558),2)=1,INDEX(F:F,(ROW(K558)+1)/2),INDEX(H:H,ROW(K558)/2)),"")</f>
        <v>-657.7</v>
      </c>
      <c r="L558" s="34">
        <f t="array" ref="L558">IF(ROW(L558)&lt;=COUNTA(G:G)*2,IF(MOD(ROW(L558),2)=1,INDEX(G:G,(ROW(L558)+1)/2),INDEX(I:I,ROW(L558)/2)),"")</f>
        <v>112.4</v>
      </c>
      <c r="N558" s="21"/>
      <c r="O558" s="21"/>
      <c r="P558" s="21"/>
      <c r="Q558" s="21"/>
      <c r="R558" s="21"/>
      <c r="S558" s="21">
        <f t="array" ref="S558">IF(ROW(S558)&lt;=COUNTA(N:N)*2,IF(MOD(ROW(S558),2)=1,INDEX(N:N,(ROW(S558)+1)/2),INDEX(P:P,ROW(S558)/2)),"")</f>
        <v>-657.7</v>
      </c>
      <c r="T558" s="21">
        <f t="array" ref="T558">IF(ROW(T558)&lt;=COUNTA(O:O)*2,IF(MOD(ROW(T558),2)=1,INDEX(O:O,(ROW(T558)+1)/2),INDEX(Q:Q,ROW(T558)/2)),"")</f>
        <v>120.3</v>
      </c>
      <c r="V558" s="22"/>
      <c r="W558" s="22"/>
      <c r="X558" s="22"/>
      <c r="Y558" s="22"/>
      <c r="Z558" s="22"/>
      <c r="AA558" s="22">
        <f t="array" ref="AA558">IF(ROW(AA558)&lt;=COUNTA(V:V)*2,IF(MOD(ROW(AA558),2)=1,INDEX(V:V,(ROW(AA558)+1)/2),INDEX(X:X,ROW(AA558)/2)),"")</f>
        <v>-657.7</v>
      </c>
      <c r="AB558" s="22">
        <f t="array" ref="AB558">IF(ROW(AB558)&lt;=COUNTA(W:W)*2,IF(MOD(ROW(AB558),2)=1,INDEX(W:W,(ROW(AB558)+1)/2),INDEX(Y:Y,ROW(AB558)/2)),"")</f>
        <v>122.6237</v>
      </c>
    </row>
    <row r="559" spans="1:28" s="2" customFormat="1" x14ac:dyDescent="0.25">
      <c r="A559" s="19"/>
      <c r="B559" s="20"/>
      <c r="C559" s="21"/>
      <c r="D559" s="22"/>
      <c r="F559" s="20"/>
      <c r="G559" s="20"/>
      <c r="H559" s="20"/>
      <c r="I559" s="20"/>
      <c r="J559" s="20"/>
      <c r="K559" s="34">
        <f t="array" ref="K559">IF(ROW(K559)&lt;=COUNTA(F:F)*2,IF(MOD(ROW(K559),2)=1,INDEX(F:F,(ROW(K559)+1)/2),INDEX(H:H,ROW(K559)/2)),"")</f>
        <v>-657.7</v>
      </c>
      <c r="L559" s="34">
        <f t="array" ref="L559">IF(ROW(L559)&lt;=COUNTA(G:G)*2,IF(MOD(ROW(L559),2)=1,INDEX(G:G,(ROW(L559)+1)/2),INDEX(I:I,ROW(L559)/2)),"")</f>
        <v>112.1</v>
      </c>
      <c r="N559" s="21"/>
      <c r="O559" s="21"/>
      <c r="P559" s="21"/>
      <c r="Q559" s="21"/>
      <c r="R559" s="21"/>
      <c r="S559" s="21">
        <f t="array" ref="S559">IF(ROW(S559)&lt;=COUNTA(N:N)*2,IF(MOD(ROW(S559),2)=1,INDEX(N:N,(ROW(S559)+1)/2),INDEX(P:P,ROW(S559)/2)),"")</f>
        <v>-657.7</v>
      </c>
      <c r="T559" s="21">
        <f t="array" ref="T559">IF(ROW(T559)&lt;=COUNTA(O:O)*2,IF(MOD(ROW(T559),2)=1,INDEX(O:O,(ROW(T559)+1)/2),INDEX(Q:Q,ROW(T559)/2)),"")</f>
        <v>118.3</v>
      </c>
      <c r="V559" s="22"/>
      <c r="W559" s="22"/>
      <c r="X559" s="22"/>
      <c r="Y559" s="22"/>
      <c r="Z559" s="22"/>
      <c r="AA559" s="22">
        <f t="array" ref="AA559">IF(ROW(AA559)&lt;=COUNTA(V:V)*2,IF(MOD(ROW(AA559),2)=1,INDEX(V:V,(ROW(AA559)+1)/2),INDEX(X:X,ROW(AA559)/2)),"")</f>
        <v>-657.7</v>
      </c>
      <c r="AB559" s="22">
        <f t="array" ref="AB559">IF(ROW(AB559)&lt;=COUNTA(W:W)*2,IF(MOD(ROW(AB559),2)=1,INDEX(W:W,(ROW(AB559)+1)/2),INDEX(Y:Y,ROW(AB559)/2)),"")</f>
        <v>122.720575</v>
      </c>
    </row>
    <row r="560" spans="1:28" s="2" customFormat="1" x14ac:dyDescent="0.25">
      <c r="A560" s="19"/>
      <c r="B560" s="20"/>
      <c r="C560" s="21"/>
      <c r="D560" s="22"/>
      <c r="F560" s="20"/>
      <c r="G560" s="20"/>
      <c r="H560" s="20"/>
      <c r="I560" s="20"/>
      <c r="J560" s="20"/>
      <c r="K560" s="34">
        <f t="array" ref="K560">IF(ROW(K560)&lt;=COUNTA(F:F)*2,IF(MOD(ROW(K560),2)=1,INDEX(F:F,(ROW(K560)+1)/2),INDEX(H:H,ROW(K560)/2)),"")</f>
        <v>-660.3</v>
      </c>
      <c r="L560" s="34">
        <f t="array" ref="L560">IF(ROW(L560)&lt;=COUNTA(G:G)*2,IF(MOD(ROW(L560),2)=1,INDEX(G:G,(ROW(L560)+1)/2),INDEX(I:I,ROW(L560)/2)),"")</f>
        <v>112.1</v>
      </c>
      <c r="N560" s="21"/>
      <c r="O560" s="21"/>
      <c r="P560" s="21"/>
      <c r="Q560" s="21"/>
      <c r="R560" s="21"/>
      <c r="S560" s="21">
        <f t="array" ref="S560">IF(ROW(S560)&lt;=COUNTA(N:N)*2,IF(MOD(ROW(S560),2)=1,INDEX(N:N,(ROW(S560)+1)/2),INDEX(P:P,ROW(S560)/2)),"")</f>
        <v>-660.3</v>
      </c>
      <c r="T560" s="21">
        <f t="array" ref="T560">IF(ROW(T560)&lt;=COUNTA(O:O)*2,IF(MOD(ROW(T560),2)=1,INDEX(O:O,(ROW(T560)+1)/2),INDEX(Q:Q,ROW(T560)/2)),"")</f>
        <v>118.3</v>
      </c>
      <c r="V560" s="22"/>
      <c r="W560" s="22"/>
      <c r="X560" s="22"/>
      <c r="Y560" s="22"/>
      <c r="Z560" s="22"/>
      <c r="AA560" s="22">
        <f t="array" ref="AA560">IF(ROW(AA560)&lt;=COUNTA(V:V)*2,IF(MOD(ROW(AA560),2)=1,INDEX(V:V,(ROW(AA560)+1)/2),INDEX(X:X,ROW(AA560)/2)),"")</f>
        <v>-660.3</v>
      </c>
      <c r="AB560" s="22">
        <f t="array" ref="AB560">IF(ROW(AB560)&lt;=COUNTA(W:W)*2,IF(MOD(ROW(AB560),2)=1,INDEX(W:W,(ROW(AB560)+1)/2),INDEX(Y:Y,ROW(AB560)/2)),"")</f>
        <v>122.720575</v>
      </c>
    </row>
    <row r="561" spans="1:28" s="2" customFormat="1" x14ac:dyDescent="0.25">
      <c r="A561" s="19"/>
      <c r="B561" s="20"/>
      <c r="C561" s="21"/>
      <c r="D561" s="22"/>
      <c r="F561" s="20"/>
      <c r="G561" s="20"/>
      <c r="H561" s="20"/>
      <c r="I561" s="20"/>
      <c r="J561" s="20"/>
      <c r="K561" s="34">
        <f t="array" ref="K561">IF(ROW(K561)&lt;=COUNTA(F:F)*2,IF(MOD(ROW(K561),2)=1,INDEX(F:F,(ROW(K561)+1)/2),INDEX(H:H,ROW(K561)/2)),"")</f>
        <v>-660.3</v>
      </c>
      <c r="L561" s="34">
        <f t="array" ref="L561">IF(ROW(L561)&lt;=COUNTA(G:G)*2,IF(MOD(ROW(L561),2)=1,INDEX(G:G,(ROW(L561)+1)/2),INDEX(I:I,ROW(L561)/2)),"")</f>
        <v>112.5</v>
      </c>
      <c r="N561" s="21"/>
      <c r="O561" s="21"/>
      <c r="P561" s="21"/>
      <c r="Q561" s="21"/>
      <c r="R561" s="21"/>
      <c r="S561" s="21">
        <f t="array" ref="S561">IF(ROW(S561)&lt;=COUNTA(N:N)*2,IF(MOD(ROW(S561),2)=1,INDEX(N:N,(ROW(S561)+1)/2),INDEX(P:P,ROW(S561)/2)),"")</f>
        <v>-660.3</v>
      </c>
      <c r="T561" s="21">
        <f t="array" ref="T561">IF(ROW(T561)&lt;=COUNTA(O:O)*2,IF(MOD(ROW(T561),2)=1,INDEX(O:O,(ROW(T561)+1)/2),INDEX(Q:Q,ROW(T561)/2)),"")</f>
        <v>117</v>
      </c>
      <c r="V561" s="22"/>
      <c r="W561" s="22"/>
      <c r="X561" s="22"/>
      <c r="Y561" s="22"/>
      <c r="Z561" s="22"/>
      <c r="AA561" s="22">
        <f t="array" ref="AA561">IF(ROW(AA561)&lt;=COUNTA(V:V)*2,IF(MOD(ROW(AA561),2)=1,INDEX(V:V,(ROW(AA561)+1)/2),INDEX(X:X,ROW(AA561)/2)),"")</f>
        <v>-660.3</v>
      </c>
      <c r="AB561" s="22">
        <f t="array" ref="AB561">IF(ROW(AB561)&lt;=COUNTA(W:W)*2,IF(MOD(ROW(AB561),2)=1,INDEX(W:W,(ROW(AB561)+1)/2),INDEX(Y:Y,ROW(AB561)/2)),"")</f>
        <v>122.7631</v>
      </c>
    </row>
    <row r="562" spans="1:28" s="2" customFormat="1" x14ac:dyDescent="0.25">
      <c r="A562" s="19"/>
      <c r="B562" s="20"/>
      <c r="C562" s="21"/>
      <c r="D562" s="22"/>
      <c r="F562" s="20"/>
      <c r="G562" s="20"/>
      <c r="H562" s="20"/>
      <c r="I562" s="20"/>
      <c r="J562" s="20"/>
      <c r="K562" s="34">
        <f t="array" ref="K562">IF(ROW(K562)&lt;=COUNTA(F:F)*2,IF(MOD(ROW(K562),2)=1,INDEX(F:F,(ROW(K562)+1)/2),INDEX(H:H,ROW(K562)/2)),"")</f>
        <v>-662.5</v>
      </c>
      <c r="L562" s="34">
        <f t="array" ref="L562">IF(ROW(L562)&lt;=COUNTA(G:G)*2,IF(MOD(ROW(L562),2)=1,INDEX(G:G,(ROW(L562)+1)/2),INDEX(I:I,ROW(L562)/2)),"")</f>
        <v>112.5</v>
      </c>
      <c r="N562" s="21"/>
      <c r="O562" s="21"/>
      <c r="P562" s="21"/>
      <c r="Q562" s="21"/>
      <c r="R562" s="21"/>
      <c r="S562" s="21">
        <f t="array" ref="S562">IF(ROW(S562)&lt;=COUNTA(N:N)*2,IF(MOD(ROW(S562),2)=1,INDEX(N:N,(ROW(S562)+1)/2),INDEX(P:P,ROW(S562)/2)),"")</f>
        <v>-662.5</v>
      </c>
      <c r="T562" s="21">
        <f t="array" ref="T562">IF(ROW(T562)&lt;=COUNTA(O:O)*2,IF(MOD(ROW(T562),2)=1,INDEX(O:O,(ROW(T562)+1)/2),INDEX(Q:Q,ROW(T562)/2)),"")</f>
        <v>117</v>
      </c>
      <c r="V562" s="22"/>
      <c r="W562" s="22"/>
      <c r="X562" s="22"/>
      <c r="Y562" s="22"/>
      <c r="Z562" s="22"/>
      <c r="AA562" s="22">
        <f t="array" ref="AA562">IF(ROW(AA562)&lt;=COUNTA(V:V)*2,IF(MOD(ROW(AA562),2)=1,INDEX(V:V,(ROW(AA562)+1)/2),INDEX(X:X,ROW(AA562)/2)),"")</f>
        <v>-662.5</v>
      </c>
      <c r="AB562" s="22">
        <f t="array" ref="AB562">IF(ROW(AB562)&lt;=COUNTA(W:W)*2,IF(MOD(ROW(AB562),2)=1,INDEX(W:W,(ROW(AB562)+1)/2),INDEX(Y:Y,ROW(AB562)/2)),"")</f>
        <v>122.7631</v>
      </c>
    </row>
    <row r="563" spans="1:28" s="2" customFormat="1" x14ac:dyDescent="0.25">
      <c r="A563" s="19"/>
      <c r="B563" s="20"/>
      <c r="C563" s="21"/>
      <c r="D563" s="22"/>
      <c r="F563" s="20"/>
      <c r="G563" s="20"/>
      <c r="H563" s="20"/>
      <c r="I563" s="20"/>
      <c r="J563" s="20"/>
      <c r="K563" s="34">
        <f t="array" ref="K563">IF(ROW(K563)&lt;=COUNTA(F:F)*2,IF(MOD(ROW(K563),2)=1,INDEX(F:F,(ROW(K563)+1)/2),INDEX(H:H,ROW(K563)/2)),"")</f>
        <v>-662.5</v>
      </c>
      <c r="L563" s="34">
        <f t="array" ref="L563">IF(ROW(L563)&lt;=COUNTA(G:G)*2,IF(MOD(ROW(L563),2)=1,INDEX(G:G,(ROW(L563)+1)/2),INDEX(I:I,ROW(L563)/2)),"")</f>
        <v>112.4</v>
      </c>
      <c r="N563" s="21"/>
      <c r="O563" s="21"/>
      <c r="P563" s="21"/>
      <c r="Q563" s="21"/>
      <c r="R563" s="21"/>
      <c r="S563" s="21">
        <f t="array" ref="S563">IF(ROW(S563)&lt;=COUNTA(N:N)*2,IF(MOD(ROW(S563),2)=1,INDEX(N:N,(ROW(S563)+1)/2),INDEX(P:P,ROW(S563)/2)),"")</f>
        <v>-662.5</v>
      </c>
      <c r="T563" s="21">
        <f t="array" ref="T563">IF(ROW(T563)&lt;=COUNTA(O:O)*2,IF(MOD(ROW(T563),2)=1,INDEX(O:O,(ROW(T563)+1)/2),INDEX(Q:Q,ROW(T563)/2)),"")</f>
        <v>119</v>
      </c>
      <c r="V563" s="22"/>
      <c r="W563" s="22"/>
      <c r="X563" s="22"/>
      <c r="Y563" s="22"/>
      <c r="Z563" s="22"/>
      <c r="AA563" s="22">
        <f t="array" ref="AA563">IF(ROW(AA563)&lt;=COUNTA(V:V)*2,IF(MOD(ROW(AA563),2)=1,INDEX(V:V,(ROW(AA563)+1)/2),INDEX(X:X,ROW(AA563)/2)),"")</f>
        <v>-662.5</v>
      </c>
      <c r="AB563" s="22">
        <f t="array" ref="AB563">IF(ROW(AB563)&lt;=COUNTA(W:W)*2,IF(MOD(ROW(AB563),2)=1,INDEX(W:W,(ROW(AB563)+1)/2),INDEX(Y:Y,ROW(AB563)/2)),"")</f>
        <v>122.66785</v>
      </c>
    </row>
    <row r="564" spans="1:28" s="2" customFormat="1" x14ac:dyDescent="0.25">
      <c r="A564" s="19"/>
      <c r="B564" s="20"/>
      <c r="C564" s="21"/>
      <c r="D564" s="22"/>
      <c r="F564" s="20"/>
      <c r="G564" s="20"/>
      <c r="H564" s="20"/>
      <c r="I564" s="20"/>
      <c r="J564" s="20"/>
      <c r="K564" s="34">
        <f t="array" ref="K564">IF(ROW(K564)&lt;=COUNTA(F:F)*2,IF(MOD(ROW(K564),2)=1,INDEX(F:F,(ROW(K564)+1)/2),INDEX(H:H,ROW(K564)/2)),"")</f>
        <v>-665.5</v>
      </c>
      <c r="L564" s="34">
        <f t="array" ref="L564">IF(ROW(L564)&lt;=COUNTA(G:G)*2,IF(MOD(ROW(L564),2)=1,INDEX(G:G,(ROW(L564)+1)/2),INDEX(I:I,ROW(L564)/2)),"")</f>
        <v>112.4</v>
      </c>
      <c r="N564" s="21"/>
      <c r="O564" s="21"/>
      <c r="P564" s="21"/>
      <c r="Q564" s="21"/>
      <c r="R564" s="21"/>
      <c r="S564" s="21">
        <f t="array" ref="S564">IF(ROW(S564)&lt;=COUNTA(N:N)*2,IF(MOD(ROW(S564),2)=1,INDEX(N:N,(ROW(S564)+1)/2),INDEX(P:P,ROW(S564)/2)),"")</f>
        <v>-665.5</v>
      </c>
      <c r="T564" s="21">
        <f t="array" ref="T564">IF(ROW(T564)&lt;=COUNTA(O:O)*2,IF(MOD(ROW(T564),2)=1,INDEX(O:O,(ROW(T564)+1)/2),INDEX(Q:Q,ROW(T564)/2)),"")</f>
        <v>119</v>
      </c>
      <c r="V564" s="22"/>
      <c r="W564" s="22"/>
      <c r="X564" s="22"/>
      <c r="Y564" s="22"/>
      <c r="Z564" s="22"/>
      <c r="AA564" s="22">
        <f t="array" ref="AA564">IF(ROW(AA564)&lt;=COUNTA(V:V)*2,IF(MOD(ROW(AA564),2)=1,INDEX(V:V,(ROW(AA564)+1)/2),INDEX(X:X,ROW(AA564)/2)),"")</f>
        <v>-665.5</v>
      </c>
      <c r="AB564" s="22">
        <f t="array" ref="AB564">IF(ROW(AB564)&lt;=COUNTA(W:W)*2,IF(MOD(ROW(AB564),2)=1,INDEX(W:W,(ROW(AB564)+1)/2),INDEX(Y:Y,ROW(AB564)/2)),"")</f>
        <v>122.66785</v>
      </c>
    </row>
    <row r="565" spans="1:28" s="2" customFormat="1" x14ac:dyDescent="0.25">
      <c r="A565" s="19"/>
      <c r="B565" s="20"/>
      <c r="C565" s="21"/>
      <c r="D565" s="22"/>
      <c r="F565" s="20"/>
      <c r="G565" s="20"/>
      <c r="H565" s="20"/>
      <c r="I565" s="20"/>
      <c r="J565" s="20"/>
      <c r="K565" s="34">
        <f t="array" ref="K565">IF(ROW(K565)&lt;=COUNTA(F:F)*2,IF(MOD(ROW(K565),2)=1,INDEX(F:F,(ROW(K565)+1)/2),INDEX(H:H,ROW(K565)/2)),"")</f>
        <v>-665.5</v>
      </c>
      <c r="L565" s="34">
        <f t="array" ref="L565">IF(ROW(L565)&lt;=COUNTA(G:G)*2,IF(MOD(ROW(L565),2)=1,INDEX(G:G,(ROW(L565)+1)/2),INDEX(I:I,ROW(L565)/2)),"")</f>
        <v>112.4</v>
      </c>
      <c r="N565" s="21"/>
      <c r="O565" s="21"/>
      <c r="P565" s="21"/>
      <c r="Q565" s="21"/>
      <c r="R565" s="21"/>
      <c r="S565" s="21">
        <f t="array" ref="S565">IF(ROW(S565)&lt;=COUNTA(N:N)*2,IF(MOD(ROW(S565),2)=1,INDEX(N:N,(ROW(S565)+1)/2),INDEX(P:P,ROW(S565)/2)),"")</f>
        <v>-665.5</v>
      </c>
      <c r="T565" s="21">
        <f t="array" ref="T565">IF(ROW(T565)&lt;=COUNTA(O:O)*2,IF(MOD(ROW(T565),2)=1,INDEX(O:O,(ROW(T565)+1)/2),INDEX(Q:Q,ROW(T565)/2)),"")</f>
        <v>112.9</v>
      </c>
      <c r="V565" s="22"/>
      <c r="W565" s="22"/>
      <c r="X565" s="22"/>
      <c r="Y565" s="22"/>
      <c r="Z565" s="22"/>
      <c r="AA565" s="22">
        <f t="array" ref="AA565">IF(ROW(AA565)&lt;=COUNTA(V:V)*2,IF(MOD(ROW(AA565),2)=1,INDEX(V:V,(ROW(AA565)+1)/2),INDEX(X:X,ROW(AA565)/2)),"")</f>
        <v>-665.5</v>
      </c>
      <c r="AB565" s="22">
        <f t="array" ref="AB565">IF(ROW(AB565)&lt;=COUNTA(W:W)*2,IF(MOD(ROW(AB565),2)=1,INDEX(W:W,(ROW(AB565)+1)/2),INDEX(Y:Y,ROW(AB565)/2)),"")</f>
        <v>122.6292</v>
      </c>
    </row>
    <row r="566" spans="1:28" s="2" customFormat="1" x14ac:dyDescent="0.25">
      <c r="A566" s="19"/>
      <c r="B566" s="20"/>
      <c r="C566" s="21"/>
      <c r="D566" s="22"/>
      <c r="F566" s="20"/>
      <c r="G566" s="20"/>
      <c r="H566" s="20"/>
      <c r="I566" s="20"/>
      <c r="J566" s="20"/>
      <c r="K566" s="34">
        <f t="array" ref="K566">IF(ROW(K566)&lt;=COUNTA(F:F)*2,IF(MOD(ROW(K566),2)=1,INDEX(F:F,(ROW(K566)+1)/2),INDEX(H:H,ROW(K566)/2)),"")</f>
        <v>-668.5</v>
      </c>
      <c r="L566" s="34">
        <f t="array" ref="L566">IF(ROW(L566)&lt;=COUNTA(G:G)*2,IF(MOD(ROW(L566),2)=1,INDEX(G:G,(ROW(L566)+1)/2),INDEX(I:I,ROW(L566)/2)),"")</f>
        <v>112.4</v>
      </c>
      <c r="N566" s="21"/>
      <c r="O566" s="21"/>
      <c r="P566" s="21"/>
      <c r="Q566" s="21"/>
      <c r="R566" s="21"/>
      <c r="S566" s="21">
        <f t="array" ref="S566">IF(ROW(S566)&lt;=COUNTA(N:N)*2,IF(MOD(ROW(S566),2)=1,INDEX(N:N,(ROW(S566)+1)/2),INDEX(P:P,ROW(S566)/2)),"")</f>
        <v>-668.5</v>
      </c>
      <c r="T566" s="21">
        <f t="array" ref="T566">IF(ROW(T566)&lt;=COUNTA(O:O)*2,IF(MOD(ROW(T566),2)=1,INDEX(O:O,(ROW(T566)+1)/2),INDEX(Q:Q,ROW(T566)/2)),"")</f>
        <v>112.9</v>
      </c>
      <c r="V566" s="22"/>
      <c r="W566" s="22"/>
      <c r="X566" s="22"/>
      <c r="Y566" s="22"/>
      <c r="Z566" s="22"/>
      <c r="AA566" s="22">
        <f t="array" ref="AA566">IF(ROW(AA566)&lt;=COUNTA(V:V)*2,IF(MOD(ROW(AA566),2)=1,INDEX(V:V,(ROW(AA566)+1)/2),INDEX(X:X,ROW(AA566)/2)),"")</f>
        <v>-668.5</v>
      </c>
      <c r="AB566" s="22">
        <f t="array" ref="AB566">IF(ROW(AB566)&lt;=COUNTA(W:W)*2,IF(MOD(ROW(AB566),2)=1,INDEX(W:W,(ROW(AB566)+1)/2),INDEX(Y:Y,ROW(AB566)/2)),"")</f>
        <v>122.6292</v>
      </c>
    </row>
    <row r="567" spans="1:28" s="2" customFormat="1" x14ac:dyDescent="0.25">
      <c r="A567" s="19"/>
      <c r="B567" s="20"/>
      <c r="C567" s="21"/>
      <c r="D567" s="22"/>
      <c r="F567" s="20"/>
      <c r="G567" s="20"/>
      <c r="H567" s="20"/>
      <c r="I567" s="20"/>
      <c r="J567" s="20"/>
      <c r="K567" s="34">
        <f t="array" ref="K567">IF(ROW(K567)&lt;=COUNTA(F:F)*2,IF(MOD(ROW(K567),2)=1,INDEX(F:F,(ROW(K567)+1)/2),INDEX(H:H,ROW(K567)/2)),"")</f>
        <v>-668.5</v>
      </c>
      <c r="L567" s="34">
        <f t="array" ref="L567">IF(ROW(L567)&lt;=COUNTA(G:G)*2,IF(MOD(ROW(L567),2)=1,INDEX(G:G,(ROW(L567)+1)/2),INDEX(I:I,ROW(L567)/2)),"")</f>
        <v>112.5</v>
      </c>
      <c r="N567" s="21"/>
      <c r="O567" s="21"/>
      <c r="P567" s="21"/>
      <c r="Q567" s="21"/>
      <c r="R567" s="21"/>
      <c r="S567" s="21">
        <f t="array" ref="S567">IF(ROW(S567)&lt;=COUNTA(N:N)*2,IF(MOD(ROW(S567),2)=1,INDEX(N:N,(ROW(S567)+1)/2),INDEX(P:P,ROW(S567)/2)),"")</f>
        <v>-668.5</v>
      </c>
      <c r="T567" s="21">
        <f t="array" ref="T567">IF(ROW(T567)&lt;=COUNTA(O:O)*2,IF(MOD(ROW(T567),2)=1,INDEX(O:O,(ROW(T567)+1)/2),INDEX(Q:Q,ROW(T567)/2)),"")</f>
        <v>113.3</v>
      </c>
      <c r="V567" s="22"/>
      <c r="W567" s="22"/>
      <c r="X567" s="22"/>
      <c r="Y567" s="22"/>
      <c r="Z567" s="22"/>
      <c r="AA567" s="22">
        <f t="array" ref="AA567">IF(ROW(AA567)&lt;=COUNTA(V:V)*2,IF(MOD(ROW(AA567),2)=1,INDEX(V:V,(ROW(AA567)+1)/2),INDEX(X:X,ROW(AA567)/2)),"")</f>
        <v>-668.5</v>
      </c>
      <c r="AB567" s="22">
        <f t="array" ref="AB567">IF(ROW(AB567)&lt;=COUNTA(W:W)*2,IF(MOD(ROW(AB567),2)=1,INDEX(W:W,(ROW(AB567)+1)/2),INDEX(Y:Y,ROW(AB567)/2)),"")</f>
        <v>122.626175</v>
      </c>
    </row>
    <row r="568" spans="1:28" s="2" customFormat="1" x14ac:dyDescent="0.25">
      <c r="A568" s="19"/>
      <c r="B568" s="20"/>
      <c r="C568" s="21"/>
      <c r="D568" s="22"/>
      <c r="F568" s="20"/>
      <c r="G568" s="20"/>
      <c r="H568" s="20"/>
      <c r="I568" s="20"/>
      <c r="J568" s="20"/>
      <c r="K568" s="34">
        <f t="array" ref="K568">IF(ROW(K568)&lt;=COUNTA(F:F)*2,IF(MOD(ROW(K568),2)=1,INDEX(F:F,(ROW(K568)+1)/2),INDEX(H:H,ROW(K568)/2)),"")</f>
        <v>-670.8</v>
      </c>
      <c r="L568" s="34">
        <f t="array" ref="L568">IF(ROW(L568)&lt;=COUNTA(G:G)*2,IF(MOD(ROW(L568),2)=1,INDEX(G:G,(ROW(L568)+1)/2),INDEX(I:I,ROW(L568)/2)),"")</f>
        <v>112.5</v>
      </c>
      <c r="N568" s="21"/>
      <c r="O568" s="21"/>
      <c r="P568" s="21"/>
      <c r="Q568" s="21"/>
      <c r="R568" s="21"/>
      <c r="S568" s="21">
        <f t="array" ref="S568">IF(ROW(S568)&lt;=COUNTA(N:N)*2,IF(MOD(ROW(S568),2)=1,INDEX(N:N,(ROW(S568)+1)/2),INDEX(P:P,ROW(S568)/2)),"")</f>
        <v>-670.8</v>
      </c>
      <c r="T568" s="21">
        <f t="array" ref="T568">IF(ROW(T568)&lt;=COUNTA(O:O)*2,IF(MOD(ROW(T568),2)=1,INDEX(O:O,(ROW(T568)+1)/2),INDEX(Q:Q,ROW(T568)/2)),"")</f>
        <v>113.3</v>
      </c>
      <c r="V568" s="22"/>
      <c r="W568" s="22"/>
      <c r="X568" s="22"/>
      <c r="Y568" s="22"/>
      <c r="Z568" s="22"/>
      <c r="AA568" s="22">
        <f t="array" ref="AA568">IF(ROW(AA568)&lt;=COUNTA(V:V)*2,IF(MOD(ROW(AA568),2)=1,INDEX(V:V,(ROW(AA568)+1)/2),INDEX(X:X,ROW(AA568)/2)),"")</f>
        <v>-670.8</v>
      </c>
      <c r="AB568" s="22">
        <f t="array" ref="AB568">IF(ROW(AB568)&lt;=COUNTA(W:W)*2,IF(MOD(ROW(AB568),2)=1,INDEX(W:W,(ROW(AB568)+1)/2),INDEX(Y:Y,ROW(AB568)/2)),"")</f>
        <v>122.626175</v>
      </c>
    </row>
    <row r="569" spans="1:28" s="2" customFormat="1" x14ac:dyDescent="0.25">
      <c r="A569" s="19"/>
      <c r="B569" s="20"/>
      <c r="C569" s="21"/>
      <c r="D569" s="22"/>
      <c r="F569" s="20"/>
      <c r="G569" s="20"/>
      <c r="H569" s="20"/>
      <c r="I569" s="20"/>
      <c r="J569" s="20"/>
      <c r="K569" s="34">
        <f t="array" ref="K569">IF(ROW(K569)&lt;=COUNTA(F:F)*2,IF(MOD(ROW(K569),2)=1,INDEX(F:F,(ROW(K569)+1)/2),INDEX(H:H,ROW(K569)/2)),"")</f>
        <v>-670.8</v>
      </c>
      <c r="L569" s="34">
        <f t="array" ref="L569">IF(ROW(L569)&lt;=COUNTA(G:G)*2,IF(MOD(ROW(L569),2)=1,INDEX(G:G,(ROW(L569)+1)/2),INDEX(I:I,ROW(L569)/2)),"")</f>
        <v>112.5</v>
      </c>
      <c r="N569" s="21"/>
      <c r="O569" s="21"/>
      <c r="P569" s="21"/>
      <c r="Q569" s="21"/>
      <c r="R569" s="21"/>
      <c r="S569" s="21">
        <f t="array" ref="S569">IF(ROW(S569)&lt;=COUNTA(N:N)*2,IF(MOD(ROW(S569),2)=1,INDEX(N:N,(ROW(S569)+1)/2),INDEX(P:P,ROW(S569)/2)),"")</f>
        <v>-670.8</v>
      </c>
      <c r="T569" s="21">
        <f t="array" ref="T569">IF(ROW(T569)&lt;=COUNTA(O:O)*2,IF(MOD(ROW(T569),2)=1,INDEX(O:O,(ROW(T569)+1)/2),INDEX(Q:Q,ROW(T569)/2)),"")</f>
        <v>113.7</v>
      </c>
      <c r="V569" s="22"/>
      <c r="W569" s="22"/>
      <c r="X569" s="22"/>
      <c r="Y569" s="22"/>
      <c r="Z569" s="22"/>
      <c r="AA569" s="22">
        <f t="array" ref="AA569">IF(ROW(AA569)&lt;=COUNTA(V:V)*2,IF(MOD(ROW(AA569),2)=1,INDEX(V:V,(ROW(AA569)+1)/2),INDEX(X:X,ROW(AA569)/2)),"")</f>
        <v>-670.8</v>
      </c>
      <c r="AB569" s="22">
        <f t="array" ref="AB569">IF(ROW(AB569)&lt;=COUNTA(W:W)*2,IF(MOD(ROW(AB569),2)=1,INDEX(W:W,(ROW(AB569)+1)/2),INDEX(Y:Y,ROW(AB569)/2)),"")</f>
        <v>122.6245</v>
      </c>
    </row>
    <row r="570" spans="1:28" s="2" customFormat="1" x14ac:dyDescent="0.25">
      <c r="A570" s="19"/>
      <c r="B570" s="20"/>
      <c r="C570" s="21"/>
      <c r="D570" s="22"/>
      <c r="F570" s="20"/>
      <c r="G570" s="20"/>
      <c r="H570" s="20"/>
      <c r="I570" s="20"/>
      <c r="J570" s="20"/>
      <c r="K570" s="34">
        <f t="array" ref="K570">IF(ROW(K570)&lt;=COUNTA(F:F)*2,IF(MOD(ROW(K570),2)=1,INDEX(F:F,(ROW(K570)+1)/2),INDEX(H:H,ROW(K570)/2)),"")</f>
        <v>-672.3</v>
      </c>
      <c r="L570" s="34">
        <f t="array" ref="L570">IF(ROW(L570)&lt;=COUNTA(G:G)*2,IF(MOD(ROW(L570),2)=1,INDEX(G:G,(ROW(L570)+1)/2),INDEX(I:I,ROW(L570)/2)),"")</f>
        <v>112.5</v>
      </c>
      <c r="N570" s="21"/>
      <c r="O570" s="21"/>
      <c r="P570" s="21"/>
      <c r="Q570" s="21"/>
      <c r="R570" s="21"/>
      <c r="S570" s="21">
        <f t="array" ref="S570">IF(ROW(S570)&lt;=COUNTA(N:N)*2,IF(MOD(ROW(S570),2)=1,INDEX(N:N,(ROW(S570)+1)/2),INDEX(P:P,ROW(S570)/2)),"")</f>
        <v>-672.3</v>
      </c>
      <c r="T570" s="21">
        <f t="array" ref="T570">IF(ROW(T570)&lt;=COUNTA(O:O)*2,IF(MOD(ROW(T570),2)=1,INDEX(O:O,(ROW(T570)+1)/2),INDEX(Q:Q,ROW(T570)/2)),"")</f>
        <v>113.7</v>
      </c>
      <c r="V570" s="22"/>
      <c r="W570" s="22"/>
      <c r="X570" s="22"/>
      <c r="Y570" s="22"/>
      <c r="Z570" s="22"/>
      <c r="AA570" s="22">
        <f t="array" ref="AA570">IF(ROW(AA570)&lt;=COUNTA(V:V)*2,IF(MOD(ROW(AA570),2)=1,INDEX(V:V,(ROW(AA570)+1)/2),INDEX(X:X,ROW(AA570)/2)),"")</f>
        <v>-672.3</v>
      </c>
      <c r="AB570" s="22">
        <f t="array" ref="AB570">IF(ROW(AB570)&lt;=COUNTA(W:W)*2,IF(MOD(ROW(AB570),2)=1,INDEX(W:W,(ROW(AB570)+1)/2),INDEX(Y:Y,ROW(AB570)/2)),"")</f>
        <v>122.6245</v>
      </c>
    </row>
    <row r="571" spans="1:28" s="2" customFormat="1" x14ac:dyDescent="0.25">
      <c r="A571" s="19"/>
      <c r="B571" s="20"/>
      <c r="C571" s="21"/>
      <c r="D571" s="22"/>
      <c r="F571" s="20"/>
      <c r="G571" s="20"/>
      <c r="H571" s="20"/>
      <c r="I571" s="20"/>
      <c r="J571" s="20"/>
      <c r="K571" s="34">
        <f t="array" ref="K571">IF(ROW(K571)&lt;=COUNTA(F:F)*2,IF(MOD(ROW(K571),2)=1,INDEX(F:F,(ROW(K571)+1)/2),INDEX(H:H,ROW(K571)/2)),"")</f>
        <v>-672.3</v>
      </c>
      <c r="L571" s="34">
        <f t="array" ref="L571">IF(ROW(L571)&lt;=COUNTA(G:G)*2,IF(MOD(ROW(L571),2)=1,INDEX(G:G,(ROW(L571)+1)/2),INDEX(I:I,ROW(L571)/2)),"")</f>
        <v>112.5</v>
      </c>
      <c r="N571" s="21"/>
      <c r="O571" s="21"/>
      <c r="P571" s="21"/>
      <c r="Q571" s="21"/>
      <c r="R571" s="21"/>
      <c r="S571" s="21">
        <f t="array" ref="S571">IF(ROW(S571)&lt;=COUNTA(N:N)*2,IF(MOD(ROW(S571),2)=1,INDEX(N:N,(ROW(S571)+1)/2),INDEX(P:P,ROW(S571)/2)),"")</f>
        <v>-672.3</v>
      </c>
      <c r="T571" s="21">
        <f t="array" ref="T571">IF(ROW(T571)&lt;=COUNTA(O:O)*2,IF(MOD(ROW(T571),2)=1,INDEX(O:O,(ROW(T571)+1)/2),INDEX(Q:Q,ROW(T571)/2)),"")</f>
        <v>112.5</v>
      </c>
      <c r="V571" s="22"/>
      <c r="W571" s="22"/>
      <c r="X571" s="22"/>
      <c r="Y571" s="22"/>
      <c r="Z571" s="22"/>
      <c r="AA571" s="22">
        <f t="array" ref="AA571">IF(ROW(AA571)&lt;=COUNTA(V:V)*2,IF(MOD(ROW(AA571),2)=1,INDEX(V:V,(ROW(AA571)+1)/2),INDEX(X:X,ROW(AA571)/2)),"")</f>
        <v>-672.3</v>
      </c>
      <c r="AB571" s="22">
        <f t="array" ref="AB571">IF(ROW(AB571)&lt;=COUNTA(W:W)*2,IF(MOD(ROW(AB571),2)=1,INDEX(W:W,(ROW(AB571)+1)/2),INDEX(Y:Y,ROW(AB571)/2)),"")</f>
        <v>122.664225</v>
      </c>
    </row>
    <row r="572" spans="1:28" s="2" customFormat="1" x14ac:dyDescent="0.25">
      <c r="A572" s="19"/>
      <c r="B572" s="20"/>
      <c r="C572" s="21"/>
      <c r="D572" s="22"/>
      <c r="F572" s="20"/>
      <c r="G572" s="20"/>
      <c r="H572" s="20"/>
      <c r="I572" s="20"/>
      <c r="J572" s="20"/>
      <c r="K572" s="34">
        <f t="array" ref="K572">IF(ROW(K572)&lt;=COUNTA(F:F)*2,IF(MOD(ROW(K572),2)=1,INDEX(F:F,(ROW(K572)+1)/2),INDEX(H:H,ROW(K572)/2)),"")</f>
        <v>-673.6</v>
      </c>
      <c r="L572" s="34">
        <f t="array" ref="L572">IF(ROW(L572)&lt;=COUNTA(G:G)*2,IF(MOD(ROW(L572),2)=1,INDEX(G:G,(ROW(L572)+1)/2),INDEX(I:I,ROW(L572)/2)),"")</f>
        <v>112.5</v>
      </c>
      <c r="N572" s="21"/>
      <c r="O572" s="21"/>
      <c r="P572" s="21"/>
      <c r="Q572" s="21"/>
      <c r="R572" s="21"/>
      <c r="S572" s="21">
        <f t="array" ref="S572">IF(ROW(S572)&lt;=COUNTA(N:N)*2,IF(MOD(ROW(S572),2)=1,INDEX(N:N,(ROW(S572)+1)/2),INDEX(P:P,ROW(S572)/2)),"")</f>
        <v>-673.6</v>
      </c>
      <c r="T572" s="21">
        <f t="array" ref="T572">IF(ROW(T572)&lt;=COUNTA(O:O)*2,IF(MOD(ROW(T572),2)=1,INDEX(O:O,(ROW(T572)+1)/2),INDEX(Q:Q,ROW(T572)/2)),"")</f>
        <v>112.5</v>
      </c>
      <c r="V572" s="22"/>
      <c r="W572" s="22"/>
      <c r="X572" s="22"/>
      <c r="Y572" s="22"/>
      <c r="Z572" s="22"/>
      <c r="AA572" s="22">
        <f t="array" ref="AA572">IF(ROW(AA572)&lt;=COUNTA(V:V)*2,IF(MOD(ROW(AA572),2)=1,INDEX(V:V,(ROW(AA572)+1)/2),INDEX(X:X,ROW(AA572)/2)),"")</f>
        <v>-673.6</v>
      </c>
      <c r="AB572" s="22">
        <f t="array" ref="AB572">IF(ROW(AB572)&lt;=COUNTA(W:W)*2,IF(MOD(ROW(AB572),2)=1,INDEX(W:W,(ROW(AB572)+1)/2),INDEX(Y:Y,ROW(AB572)/2)),"")</f>
        <v>122.664225</v>
      </c>
    </row>
    <row r="573" spans="1:28" s="2" customFormat="1" x14ac:dyDescent="0.25">
      <c r="A573" s="19"/>
      <c r="B573" s="20"/>
      <c r="C573" s="21"/>
      <c r="D573" s="22"/>
      <c r="F573" s="20"/>
      <c r="G573" s="20"/>
      <c r="H573" s="20"/>
      <c r="I573" s="20"/>
      <c r="J573" s="20"/>
      <c r="K573" s="34">
        <f t="array" ref="K573">IF(ROW(K573)&lt;=COUNTA(F:F)*2,IF(MOD(ROW(K573),2)=1,INDEX(F:F,(ROW(K573)+1)/2),INDEX(H:H,ROW(K573)/2)),"")</f>
        <v>-673.6</v>
      </c>
      <c r="L573" s="34">
        <f t="array" ref="L573">IF(ROW(L573)&lt;=COUNTA(G:G)*2,IF(MOD(ROW(L573),2)=1,INDEX(G:G,(ROW(L573)+1)/2),INDEX(I:I,ROW(L573)/2)),"")</f>
        <v>112.3</v>
      </c>
      <c r="N573" s="21"/>
      <c r="O573" s="21"/>
      <c r="P573" s="21"/>
      <c r="Q573" s="21"/>
      <c r="R573" s="21"/>
      <c r="S573" s="21">
        <f t="array" ref="S573">IF(ROW(S573)&lt;=COUNTA(N:N)*2,IF(MOD(ROW(S573),2)=1,INDEX(N:N,(ROW(S573)+1)/2),INDEX(P:P,ROW(S573)/2)),"")</f>
        <v>-673.6</v>
      </c>
      <c r="T573" s="21">
        <f t="array" ref="T573">IF(ROW(T573)&lt;=COUNTA(O:O)*2,IF(MOD(ROW(T573),2)=1,INDEX(O:O,(ROW(T573)+1)/2),INDEX(Q:Q,ROW(T573)/2)),"")</f>
        <v>112.5</v>
      </c>
      <c r="V573" s="22"/>
      <c r="W573" s="22"/>
      <c r="X573" s="22"/>
      <c r="Y573" s="22"/>
      <c r="Z573" s="22"/>
      <c r="AA573" s="22">
        <f t="array" ref="AA573">IF(ROW(AA573)&lt;=COUNTA(V:V)*2,IF(MOD(ROW(AA573),2)=1,INDEX(V:V,(ROW(AA573)+1)/2),INDEX(X:X,ROW(AA573)/2)),"")</f>
        <v>-673.6</v>
      </c>
      <c r="AB573" s="22">
        <f t="array" ref="AB573">IF(ROW(AB573)&lt;=COUNTA(W:W)*2,IF(MOD(ROW(AB573),2)=1,INDEX(W:W,(ROW(AB573)+1)/2),INDEX(Y:Y,ROW(AB573)/2)),"")</f>
        <v>122.675525</v>
      </c>
    </row>
    <row r="574" spans="1:28" s="2" customFormat="1" x14ac:dyDescent="0.25">
      <c r="A574" s="19"/>
      <c r="B574" s="20"/>
      <c r="C574" s="21"/>
      <c r="D574" s="22"/>
      <c r="F574" s="20"/>
      <c r="G574" s="20"/>
      <c r="H574" s="20"/>
      <c r="I574" s="20"/>
      <c r="J574" s="20"/>
      <c r="K574" s="34">
        <f t="array" ref="K574">IF(ROW(K574)&lt;=COUNTA(F:F)*2,IF(MOD(ROW(K574),2)=1,INDEX(F:F,(ROW(K574)+1)/2),INDEX(H:H,ROW(K574)/2)),"")</f>
        <v>-675.3</v>
      </c>
      <c r="L574" s="34">
        <f t="array" ref="L574">IF(ROW(L574)&lt;=COUNTA(G:G)*2,IF(MOD(ROW(L574),2)=1,INDEX(G:G,(ROW(L574)+1)/2),INDEX(I:I,ROW(L574)/2)),"")</f>
        <v>112.3</v>
      </c>
      <c r="N574" s="21"/>
      <c r="O574" s="21"/>
      <c r="P574" s="21"/>
      <c r="Q574" s="21"/>
      <c r="R574" s="21"/>
      <c r="S574" s="21">
        <f t="array" ref="S574">IF(ROW(S574)&lt;=COUNTA(N:N)*2,IF(MOD(ROW(S574),2)=1,INDEX(N:N,(ROW(S574)+1)/2),INDEX(P:P,ROW(S574)/2)),"")</f>
        <v>-675.3</v>
      </c>
      <c r="T574" s="21">
        <f t="array" ref="T574">IF(ROW(T574)&lt;=COUNTA(O:O)*2,IF(MOD(ROW(T574),2)=1,INDEX(O:O,(ROW(T574)+1)/2),INDEX(Q:Q,ROW(T574)/2)),"")</f>
        <v>112.5</v>
      </c>
      <c r="V574" s="22"/>
      <c r="W574" s="22"/>
      <c r="X574" s="22"/>
      <c r="Y574" s="22"/>
      <c r="Z574" s="22"/>
      <c r="AA574" s="22">
        <f t="array" ref="AA574">IF(ROW(AA574)&lt;=COUNTA(V:V)*2,IF(MOD(ROW(AA574),2)=1,INDEX(V:V,(ROW(AA574)+1)/2),INDEX(X:X,ROW(AA574)/2)),"")</f>
        <v>-675.3</v>
      </c>
      <c r="AB574" s="22">
        <f t="array" ref="AB574">IF(ROW(AB574)&lt;=COUNTA(W:W)*2,IF(MOD(ROW(AB574),2)=1,INDEX(W:W,(ROW(AB574)+1)/2),INDEX(Y:Y,ROW(AB574)/2)),"")</f>
        <v>122.675525</v>
      </c>
    </row>
    <row r="575" spans="1:28" s="2" customFormat="1" x14ac:dyDescent="0.25">
      <c r="A575" s="19"/>
      <c r="B575" s="20"/>
      <c r="C575" s="21"/>
      <c r="D575" s="22"/>
      <c r="F575" s="20"/>
      <c r="G575" s="20"/>
      <c r="H575" s="20"/>
      <c r="I575" s="20"/>
      <c r="J575" s="20"/>
      <c r="K575" s="34">
        <f t="array" ref="K575">IF(ROW(K575)&lt;=COUNTA(F:F)*2,IF(MOD(ROW(K575),2)=1,INDEX(F:F,(ROW(K575)+1)/2),INDEX(H:H,ROW(K575)/2)),"")</f>
        <v>-675.3</v>
      </c>
      <c r="L575" s="34">
        <f t="array" ref="L575">IF(ROW(L575)&lt;=COUNTA(G:G)*2,IF(MOD(ROW(L575),2)=1,INDEX(G:G,(ROW(L575)+1)/2),INDEX(I:I,ROW(L575)/2)),"")</f>
        <v>112.4</v>
      </c>
      <c r="N575" s="21"/>
      <c r="O575" s="21"/>
      <c r="P575" s="21"/>
      <c r="Q575" s="21"/>
      <c r="R575" s="21"/>
      <c r="S575" s="21">
        <f t="array" ref="S575">IF(ROW(S575)&lt;=COUNTA(N:N)*2,IF(MOD(ROW(S575),2)=1,INDEX(N:N,(ROW(S575)+1)/2),INDEX(P:P,ROW(S575)/2)),"")</f>
        <v>-675.3</v>
      </c>
      <c r="T575" s="21">
        <f t="array" ref="T575">IF(ROW(T575)&lt;=COUNTA(O:O)*2,IF(MOD(ROW(T575),2)=1,INDEX(O:O,(ROW(T575)+1)/2),INDEX(Q:Q,ROW(T575)/2)),"")</f>
        <v>112.5</v>
      </c>
      <c r="V575" s="22"/>
      <c r="W575" s="22"/>
      <c r="X575" s="22"/>
      <c r="Y575" s="22"/>
      <c r="Z575" s="22"/>
      <c r="AA575" s="22">
        <f t="array" ref="AA575">IF(ROW(AA575)&lt;=COUNTA(V:V)*2,IF(MOD(ROW(AA575),2)=1,INDEX(V:V,(ROW(AA575)+1)/2),INDEX(X:X,ROW(AA575)/2)),"")</f>
        <v>-675.3</v>
      </c>
      <c r="AB575" s="22">
        <f t="array" ref="AB575">IF(ROW(AB575)&lt;=COUNTA(W:W)*2,IF(MOD(ROW(AB575),2)=1,INDEX(W:W,(ROW(AB575)+1)/2),INDEX(Y:Y,ROW(AB575)/2)),"")</f>
        <v>122.653075</v>
      </c>
    </row>
    <row r="576" spans="1:28" s="2" customFormat="1" x14ac:dyDescent="0.25">
      <c r="A576" s="19"/>
      <c r="B576" s="20"/>
      <c r="C576" s="21"/>
      <c r="D576" s="22"/>
      <c r="F576" s="20"/>
      <c r="G576" s="20"/>
      <c r="H576" s="20"/>
      <c r="I576" s="20"/>
      <c r="J576" s="20"/>
      <c r="K576" s="34">
        <f t="array" ref="K576">IF(ROW(K576)&lt;=COUNTA(F:F)*2,IF(MOD(ROW(K576),2)=1,INDEX(F:F,(ROW(K576)+1)/2),INDEX(H:H,ROW(K576)/2)),"")</f>
        <v>-676.8</v>
      </c>
      <c r="L576" s="34">
        <f t="array" ref="L576">IF(ROW(L576)&lt;=COUNTA(G:G)*2,IF(MOD(ROW(L576),2)=1,INDEX(G:G,(ROW(L576)+1)/2),INDEX(I:I,ROW(L576)/2)),"")</f>
        <v>112.4</v>
      </c>
      <c r="N576" s="21"/>
      <c r="O576" s="21"/>
      <c r="P576" s="21"/>
      <c r="Q576" s="21"/>
      <c r="R576" s="21"/>
      <c r="S576" s="21">
        <f t="array" ref="S576">IF(ROW(S576)&lt;=COUNTA(N:N)*2,IF(MOD(ROW(S576),2)=1,INDEX(N:N,(ROW(S576)+1)/2),INDEX(P:P,ROW(S576)/2)),"")</f>
        <v>-676.8</v>
      </c>
      <c r="T576" s="21">
        <f t="array" ref="T576">IF(ROW(T576)&lt;=COUNTA(O:O)*2,IF(MOD(ROW(T576),2)=1,INDEX(O:O,(ROW(T576)+1)/2),INDEX(Q:Q,ROW(T576)/2)),"")</f>
        <v>112.5</v>
      </c>
      <c r="V576" s="22"/>
      <c r="W576" s="22"/>
      <c r="X576" s="22"/>
      <c r="Y576" s="22"/>
      <c r="Z576" s="22"/>
      <c r="AA576" s="22">
        <f t="array" ref="AA576">IF(ROW(AA576)&lt;=COUNTA(V:V)*2,IF(MOD(ROW(AA576),2)=1,INDEX(V:V,(ROW(AA576)+1)/2),INDEX(X:X,ROW(AA576)/2)),"")</f>
        <v>-676.8</v>
      </c>
      <c r="AB576" s="22">
        <f t="array" ref="AB576">IF(ROW(AB576)&lt;=COUNTA(W:W)*2,IF(MOD(ROW(AB576),2)=1,INDEX(W:W,(ROW(AB576)+1)/2),INDEX(Y:Y,ROW(AB576)/2)),"")</f>
        <v>122.653075</v>
      </c>
    </row>
    <row r="577" spans="1:28" s="2" customFormat="1" x14ac:dyDescent="0.25">
      <c r="A577" s="19"/>
      <c r="B577" s="20"/>
      <c r="C577" s="21"/>
      <c r="D577" s="22"/>
      <c r="F577" s="20"/>
      <c r="G577" s="20"/>
      <c r="H577" s="20"/>
      <c r="I577" s="20"/>
      <c r="J577" s="20"/>
      <c r="K577" s="34">
        <f t="array" ref="K577">IF(ROW(K577)&lt;=COUNTA(F:F)*2,IF(MOD(ROW(K577),2)=1,INDEX(F:F,(ROW(K577)+1)/2),INDEX(H:H,ROW(K577)/2)),"")</f>
        <v>-676.8</v>
      </c>
      <c r="L577" s="34">
        <f t="array" ref="L577">IF(ROW(L577)&lt;=COUNTA(G:G)*2,IF(MOD(ROW(L577),2)=1,INDEX(G:G,(ROW(L577)+1)/2),INDEX(I:I,ROW(L577)/2)),"")</f>
        <v>112.4</v>
      </c>
      <c r="N577" s="21"/>
      <c r="O577" s="21"/>
      <c r="P577" s="21"/>
      <c r="Q577" s="21"/>
      <c r="R577" s="21"/>
      <c r="S577" s="21">
        <f t="array" ref="S577">IF(ROW(S577)&lt;=COUNTA(N:N)*2,IF(MOD(ROW(S577),2)=1,INDEX(N:N,(ROW(S577)+1)/2),INDEX(P:P,ROW(S577)/2)),"")</f>
        <v>-676.8</v>
      </c>
      <c r="T577" s="21">
        <f t="array" ref="T577">IF(ROW(T577)&lt;=COUNTA(O:O)*2,IF(MOD(ROW(T577),2)=1,INDEX(O:O,(ROW(T577)+1)/2),INDEX(Q:Q,ROW(T577)/2)),"")</f>
        <v>112.5</v>
      </c>
      <c r="V577" s="22"/>
      <c r="W577" s="22"/>
      <c r="X577" s="22"/>
      <c r="Y577" s="22"/>
      <c r="Z577" s="22"/>
      <c r="AA577" s="22">
        <f t="array" ref="AA577">IF(ROW(AA577)&lt;=COUNTA(V:V)*2,IF(MOD(ROW(AA577),2)=1,INDEX(V:V,(ROW(AA577)+1)/2),INDEX(X:X,ROW(AA577)/2)),"")</f>
        <v>-676.8</v>
      </c>
      <c r="AB577" s="22">
        <f t="array" ref="AB577">IF(ROW(AB577)&lt;=COUNTA(W:W)*2,IF(MOD(ROW(AB577),2)=1,INDEX(W:W,(ROW(AB577)+1)/2),INDEX(Y:Y,ROW(AB577)/2)),"")</f>
        <v>122.666325</v>
      </c>
    </row>
    <row r="578" spans="1:28" s="2" customFormat="1" x14ac:dyDescent="0.25">
      <c r="A578" s="19"/>
      <c r="B578" s="20"/>
      <c r="C578" s="21"/>
      <c r="D578" s="22"/>
      <c r="F578" s="20"/>
      <c r="G578" s="20"/>
      <c r="H578" s="20"/>
      <c r="I578" s="20"/>
      <c r="J578" s="20"/>
      <c r="K578" s="34">
        <f t="array" ref="K578">IF(ROW(K578)&lt;=COUNTA(F:F)*2,IF(MOD(ROW(K578),2)=1,INDEX(F:F,(ROW(K578)+1)/2),INDEX(H:H,ROW(K578)/2)),"")</f>
        <v>-678.3</v>
      </c>
      <c r="L578" s="34">
        <f t="array" ref="L578">IF(ROW(L578)&lt;=COUNTA(G:G)*2,IF(MOD(ROW(L578),2)=1,INDEX(G:G,(ROW(L578)+1)/2),INDEX(I:I,ROW(L578)/2)),"")</f>
        <v>112.4</v>
      </c>
      <c r="N578" s="21"/>
      <c r="O578" s="21"/>
      <c r="P578" s="21"/>
      <c r="Q578" s="21"/>
      <c r="R578" s="21"/>
      <c r="S578" s="21">
        <f t="array" ref="S578">IF(ROW(S578)&lt;=COUNTA(N:N)*2,IF(MOD(ROW(S578),2)=1,INDEX(N:N,(ROW(S578)+1)/2),INDEX(P:P,ROW(S578)/2)),"")</f>
        <v>-678.3</v>
      </c>
      <c r="T578" s="21">
        <f t="array" ref="T578">IF(ROW(T578)&lt;=COUNTA(O:O)*2,IF(MOD(ROW(T578),2)=1,INDEX(O:O,(ROW(T578)+1)/2),INDEX(Q:Q,ROW(T578)/2)),"")</f>
        <v>112.5</v>
      </c>
      <c r="V578" s="22"/>
      <c r="W578" s="22"/>
      <c r="X578" s="22"/>
      <c r="Y578" s="22"/>
      <c r="Z578" s="22"/>
      <c r="AA578" s="22">
        <f t="array" ref="AA578">IF(ROW(AA578)&lt;=COUNTA(V:V)*2,IF(MOD(ROW(AA578),2)=1,INDEX(V:V,(ROW(AA578)+1)/2),INDEX(X:X,ROW(AA578)/2)),"")</f>
        <v>-678.3</v>
      </c>
      <c r="AB578" s="22">
        <f t="array" ref="AB578">IF(ROW(AB578)&lt;=COUNTA(W:W)*2,IF(MOD(ROW(AB578),2)=1,INDEX(W:W,(ROW(AB578)+1)/2),INDEX(Y:Y,ROW(AB578)/2)),"")</f>
        <v>122.666325</v>
      </c>
    </row>
    <row r="579" spans="1:28" s="2" customFormat="1" x14ac:dyDescent="0.25">
      <c r="A579" s="19"/>
      <c r="B579" s="20"/>
      <c r="C579" s="21"/>
      <c r="D579" s="22"/>
      <c r="F579" s="20"/>
      <c r="G579" s="20"/>
      <c r="H579" s="20"/>
      <c r="I579" s="20"/>
      <c r="J579" s="20"/>
      <c r="K579" s="34">
        <f t="array" ref="K579">IF(ROW(K579)&lt;=COUNTA(F:F)*2,IF(MOD(ROW(K579),2)=1,INDEX(F:F,(ROW(K579)+1)/2),INDEX(H:H,ROW(K579)/2)),"")</f>
        <v>-678.3</v>
      </c>
      <c r="L579" s="34">
        <f t="array" ref="L579">IF(ROW(L579)&lt;=COUNTA(G:G)*2,IF(MOD(ROW(L579),2)=1,INDEX(G:G,(ROW(L579)+1)/2),INDEX(I:I,ROW(L579)/2)),"")</f>
        <v>112.4</v>
      </c>
      <c r="N579" s="21"/>
      <c r="O579" s="21"/>
      <c r="P579" s="21"/>
      <c r="Q579" s="21"/>
      <c r="R579" s="21"/>
      <c r="S579" s="21">
        <f t="array" ref="S579">IF(ROW(S579)&lt;=COUNTA(N:N)*2,IF(MOD(ROW(S579),2)=1,INDEX(N:N,(ROW(S579)+1)/2),INDEX(P:P,ROW(S579)/2)),"")</f>
        <v>-678.3</v>
      </c>
      <c r="T579" s="21">
        <f t="array" ref="T579">IF(ROW(T579)&lt;=COUNTA(O:O)*2,IF(MOD(ROW(T579),2)=1,INDEX(O:O,(ROW(T579)+1)/2),INDEX(Q:Q,ROW(T579)/2)),"")</f>
        <v>112.5</v>
      </c>
      <c r="V579" s="22"/>
      <c r="W579" s="22"/>
      <c r="X579" s="22"/>
      <c r="Y579" s="22"/>
      <c r="Z579" s="22"/>
      <c r="AA579" s="22">
        <f t="array" ref="AA579">IF(ROW(AA579)&lt;=COUNTA(V:V)*2,IF(MOD(ROW(AA579),2)=1,INDEX(V:V,(ROW(AA579)+1)/2),INDEX(X:X,ROW(AA579)/2)),"")</f>
        <v>-678.3</v>
      </c>
      <c r="AB579" s="22">
        <f t="array" ref="AB579">IF(ROW(AB579)&lt;=COUNTA(W:W)*2,IF(MOD(ROW(AB579),2)=1,INDEX(W:W,(ROW(AB579)+1)/2),INDEX(Y:Y,ROW(AB579)/2)),"")</f>
        <v>122.656325</v>
      </c>
    </row>
    <row r="580" spans="1:28" s="2" customFormat="1" x14ac:dyDescent="0.25">
      <c r="A580" s="19"/>
      <c r="B580" s="20"/>
      <c r="C580" s="21"/>
      <c r="D580" s="22"/>
      <c r="F580" s="20"/>
      <c r="G580" s="20"/>
      <c r="H580" s="20"/>
      <c r="I580" s="20"/>
      <c r="J580" s="20"/>
      <c r="K580" s="34">
        <f t="array" ref="K580">IF(ROW(K580)&lt;=COUNTA(F:F)*2,IF(MOD(ROW(K580),2)=1,INDEX(F:F,(ROW(K580)+1)/2),INDEX(H:H,ROW(K580)/2)),"")</f>
        <v>-679.8</v>
      </c>
      <c r="L580" s="34">
        <f t="array" ref="L580">IF(ROW(L580)&lt;=COUNTA(G:G)*2,IF(MOD(ROW(L580),2)=1,INDEX(G:G,(ROW(L580)+1)/2),INDEX(I:I,ROW(L580)/2)),"")</f>
        <v>112.4</v>
      </c>
      <c r="N580" s="21"/>
      <c r="O580" s="21"/>
      <c r="P580" s="21"/>
      <c r="Q580" s="21"/>
      <c r="R580" s="21"/>
      <c r="S580" s="21">
        <f t="array" ref="S580">IF(ROW(S580)&lt;=COUNTA(N:N)*2,IF(MOD(ROW(S580),2)=1,INDEX(N:N,(ROW(S580)+1)/2),INDEX(P:P,ROW(S580)/2)),"")</f>
        <v>-679.8</v>
      </c>
      <c r="T580" s="21">
        <f t="array" ref="T580">IF(ROW(T580)&lt;=COUNTA(O:O)*2,IF(MOD(ROW(T580),2)=1,INDEX(O:O,(ROW(T580)+1)/2),INDEX(Q:Q,ROW(T580)/2)),"")</f>
        <v>112.5</v>
      </c>
      <c r="V580" s="22"/>
      <c r="W580" s="22"/>
      <c r="X580" s="22"/>
      <c r="Y580" s="22"/>
      <c r="Z580" s="22"/>
      <c r="AA580" s="22">
        <f t="array" ref="AA580">IF(ROW(AA580)&lt;=COUNTA(V:V)*2,IF(MOD(ROW(AA580),2)=1,INDEX(V:V,(ROW(AA580)+1)/2),INDEX(X:X,ROW(AA580)/2)),"")</f>
        <v>-679.8</v>
      </c>
      <c r="AB580" s="22">
        <f t="array" ref="AB580">IF(ROW(AB580)&lt;=COUNTA(W:W)*2,IF(MOD(ROW(AB580),2)=1,INDEX(W:W,(ROW(AB580)+1)/2),INDEX(Y:Y,ROW(AB580)/2)),"")</f>
        <v>122.656325</v>
      </c>
    </row>
    <row r="581" spans="1:28" s="2" customFormat="1" x14ac:dyDescent="0.25">
      <c r="A581" s="19"/>
      <c r="B581" s="20"/>
      <c r="C581" s="21"/>
      <c r="D581" s="22"/>
      <c r="F581" s="20"/>
      <c r="G581" s="20"/>
      <c r="H581" s="20"/>
      <c r="I581" s="20"/>
      <c r="J581" s="20"/>
      <c r="K581" s="34">
        <f t="array" ref="K581">IF(ROW(K581)&lt;=COUNTA(F:F)*2,IF(MOD(ROW(K581),2)=1,INDEX(F:F,(ROW(K581)+1)/2),INDEX(H:H,ROW(K581)/2)),"")</f>
        <v>-679.8</v>
      </c>
      <c r="L581" s="34">
        <f t="array" ref="L581">IF(ROW(L581)&lt;=COUNTA(G:G)*2,IF(MOD(ROW(L581),2)=1,INDEX(G:G,(ROW(L581)+1)/2),INDEX(I:I,ROW(L581)/2)),"")</f>
        <v>112.4</v>
      </c>
      <c r="N581" s="21"/>
      <c r="O581" s="21"/>
      <c r="P581" s="21"/>
      <c r="Q581" s="21"/>
      <c r="R581" s="21"/>
      <c r="S581" s="21">
        <f t="array" ref="S581">IF(ROW(S581)&lt;=COUNTA(N:N)*2,IF(MOD(ROW(S581),2)=1,INDEX(N:N,(ROW(S581)+1)/2),INDEX(P:P,ROW(S581)/2)),"")</f>
        <v>-679.8</v>
      </c>
      <c r="T581" s="21">
        <f t="array" ref="T581">IF(ROW(T581)&lt;=COUNTA(O:O)*2,IF(MOD(ROW(T581),2)=1,INDEX(O:O,(ROW(T581)+1)/2),INDEX(Q:Q,ROW(T581)/2)),"")</f>
        <v>117.8</v>
      </c>
      <c r="V581" s="22"/>
      <c r="W581" s="22"/>
      <c r="X581" s="22"/>
      <c r="Y581" s="22"/>
      <c r="Z581" s="22"/>
      <c r="AA581" s="22">
        <f t="array" ref="AA581">IF(ROW(AA581)&lt;=COUNTA(V:V)*2,IF(MOD(ROW(AA581),2)=1,INDEX(V:V,(ROW(AA581)+1)/2),INDEX(X:X,ROW(AA581)/2)),"")</f>
        <v>-679.8</v>
      </c>
      <c r="AB581" s="22">
        <f t="array" ref="AB581">IF(ROW(AB581)&lt;=COUNTA(W:W)*2,IF(MOD(ROW(AB581),2)=1,INDEX(W:W,(ROW(AB581)+1)/2),INDEX(Y:Y,ROW(AB581)/2)),"")</f>
        <v>122.669225</v>
      </c>
    </row>
    <row r="582" spans="1:28" s="2" customFormat="1" x14ac:dyDescent="0.25">
      <c r="A582" s="19"/>
      <c r="B582" s="20"/>
      <c r="C582" s="21"/>
      <c r="D582" s="22"/>
      <c r="F582" s="20"/>
      <c r="G582" s="20"/>
      <c r="H582" s="20"/>
      <c r="I582" s="20"/>
      <c r="J582" s="20"/>
      <c r="K582" s="34">
        <f t="array" ref="K582">IF(ROW(K582)&lt;=COUNTA(F:F)*2,IF(MOD(ROW(K582),2)=1,INDEX(F:F,(ROW(K582)+1)/2),INDEX(H:H,ROW(K582)/2)),"")</f>
        <v>-681.25</v>
      </c>
      <c r="L582" s="34">
        <f t="array" ref="L582">IF(ROW(L582)&lt;=COUNTA(G:G)*2,IF(MOD(ROW(L582),2)=1,INDEX(G:G,(ROW(L582)+1)/2),INDEX(I:I,ROW(L582)/2)),"")</f>
        <v>112.4</v>
      </c>
      <c r="N582" s="21"/>
      <c r="O582" s="21"/>
      <c r="P582" s="21"/>
      <c r="Q582" s="21"/>
      <c r="R582" s="21"/>
      <c r="S582" s="21">
        <f t="array" ref="S582">IF(ROW(S582)&lt;=COUNTA(N:N)*2,IF(MOD(ROW(S582),2)=1,INDEX(N:N,(ROW(S582)+1)/2),INDEX(P:P,ROW(S582)/2)),"")</f>
        <v>-681.25</v>
      </c>
      <c r="T582" s="21">
        <f t="array" ref="T582">IF(ROW(T582)&lt;=COUNTA(O:O)*2,IF(MOD(ROW(T582),2)=1,INDEX(O:O,(ROW(T582)+1)/2),INDEX(Q:Q,ROW(T582)/2)),"")</f>
        <v>117.8</v>
      </c>
      <c r="V582" s="22"/>
      <c r="W582" s="22"/>
      <c r="X582" s="22"/>
      <c r="Y582" s="22"/>
      <c r="Z582" s="22"/>
      <c r="AA582" s="22">
        <f t="array" ref="AA582">IF(ROW(AA582)&lt;=COUNTA(V:V)*2,IF(MOD(ROW(AA582),2)=1,INDEX(V:V,(ROW(AA582)+1)/2),INDEX(X:X,ROW(AA582)/2)),"")</f>
        <v>-681.25</v>
      </c>
      <c r="AB582" s="22">
        <f t="array" ref="AB582">IF(ROW(AB582)&lt;=COUNTA(W:W)*2,IF(MOD(ROW(AB582),2)=1,INDEX(W:W,(ROW(AB582)+1)/2),INDEX(Y:Y,ROW(AB582)/2)),"")</f>
        <v>122.669225</v>
      </c>
    </row>
    <row r="583" spans="1:28" x14ac:dyDescent="0.25">
      <c r="A583" s="19"/>
      <c r="B583" s="20"/>
      <c r="C583" s="21"/>
      <c r="D583" s="22"/>
      <c r="K583" s="34">
        <f t="array" ref="K583">IF(ROW(K583)&lt;=COUNTA(F:F)*2,IF(MOD(ROW(K583),2)=1,INDEX(F:F,(ROW(K583)+1)/2),INDEX(H:H,ROW(K583)/2)),"")</f>
        <v>-681.25</v>
      </c>
      <c r="L583" s="34">
        <f t="array" ref="L583">IF(ROW(L583)&lt;=COUNTA(G:G)*2,IF(MOD(ROW(L583),2)=1,INDEX(G:G,(ROW(L583)+1)/2),INDEX(I:I,ROW(L583)/2)),"")</f>
        <v>112.4</v>
      </c>
      <c r="S583" s="21">
        <f t="array" ref="S583">IF(ROW(S583)&lt;=COUNTA(N:N)*2,IF(MOD(ROW(S583),2)=1,INDEX(N:N,(ROW(S583)+1)/2),INDEX(P:P,ROW(S583)/2)),"")</f>
        <v>-681.25</v>
      </c>
      <c r="T583" s="21">
        <f t="array" ref="T583">IF(ROW(T583)&lt;=COUNTA(O:O)*2,IF(MOD(ROW(T583),2)=1,INDEX(O:O,(ROW(T583)+1)/2),INDEX(Q:Q,ROW(T583)/2)),"")</f>
        <v>113.3</v>
      </c>
      <c r="AA583" s="22">
        <f t="array" ref="AA583">IF(ROW(AA583)&lt;=COUNTA(V:V)*2,IF(MOD(ROW(AA583),2)=1,INDEX(V:V,(ROW(AA583)+1)/2),INDEX(X:X,ROW(AA583)/2)),"")</f>
        <v>-681.25</v>
      </c>
      <c r="AB583" s="22">
        <f t="array" ref="AB583">IF(ROW(AB583)&lt;=COUNTA(W:W)*2,IF(MOD(ROW(AB583),2)=1,INDEX(W:W,(ROW(AB583)+1)/2),INDEX(Y:Y,ROW(AB583)/2)),"")</f>
        <v>122.6214</v>
      </c>
    </row>
    <row r="584" spans="1:28" x14ac:dyDescent="0.25">
      <c r="A584" s="19"/>
      <c r="B584" s="20"/>
      <c r="C584" s="21"/>
      <c r="D584" s="22"/>
      <c r="K584" s="34">
        <f t="array" ref="K584">IF(ROW(K584)&lt;=COUNTA(F:F)*2,IF(MOD(ROW(K584),2)=1,INDEX(F:F,(ROW(K584)+1)/2),INDEX(H:H,ROW(K584)/2)),"")</f>
        <v>-682.75</v>
      </c>
      <c r="L584" s="34">
        <f t="array" ref="L584">IF(ROW(L584)&lt;=COUNTA(G:G)*2,IF(MOD(ROW(L584),2)=1,INDEX(G:G,(ROW(L584)+1)/2),INDEX(I:I,ROW(L584)/2)),"")</f>
        <v>112.4</v>
      </c>
      <c r="S584" s="21">
        <f t="array" ref="S584">IF(ROW(S584)&lt;=COUNTA(N:N)*2,IF(MOD(ROW(S584),2)=1,INDEX(N:N,(ROW(S584)+1)/2),INDEX(P:P,ROW(S584)/2)),"")</f>
        <v>-682.75</v>
      </c>
      <c r="T584" s="21">
        <f t="array" ref="T584">IF(ROW(T584)&lt;=COUNTA(O:O)*2,IF(MOD(ROW(T584),2)=1,INDEX(O:O,(ROW(T584)+1)/2),INDEX(Q:Q,ROW(T584)/2)),"")</f>
        <v>113.3</v>
      </c>
      <c r="AA584" s="22">
        <f t="array" ref="AA584">IF(ROW(AA584)&lt;=COUNTA(V:V)*2,IF(MOD(ROW(AA584),2)=1,INDEX(V:V,(ROW(AA584)+1)/2),INDEX(X:X,ROW(AA584)/2)),"")</f>
        <v>-682.75</v>
      </c>
      <c r="AB584" s="22">
        <f t="array" ref="AB584">IF(ROW(AB584)&lt;=COUNTA(W:W)*2,IF(MOD(ROW(AB584),2)=1,INDEX(W:W,(ROW(AB584)+1)/2),INDEX(Y:Y,ROW(AB584)/2)),"")</f>
        <v>122.6214</v>
      </c>
    </row>
    <row r="585" spans="1:28" x14ac:dyDescent="0.25">
      <c r="A585" s="19"/>
      <c r="B585" s="20"/>
      <c r="C585" s="21"/>
      <c r="D585" s="22"/>
      <c r="K585" s="34">
        <f t="array" ref="K585">IF(ROW(K585)&lt;=COUNTA(F:F)*2,IF(MOD(ROW(K585),2)=1,INDEX(F:F,(ROW(K585)+1)/2),INDEX(H:H,ROW(K585)/2)),"")</f>
        <v>-682.75</v>
      </c>
      <c r="L585" s="34">
        <f t="array" ref="L585">IF(ROW(L585)&lt;=COUNTA(G:G)*2,IF(MOD(ROW(L585),2)=1,INDEX(G:G,(ROW(L585)+1)/2),INDEX(I:I,ROW(L585)/2)),"")</f>
        <v>112.4</v>
      </c>
      <c r="S585" s="21">
        <f t="array" ref="S585">IF(ROW(S585)&lt;=COUNTA(N:N)*2,IF(MOD(ROW(S585),2)=1,INDEX(N:N,(ROW(S585)+1)/2),INDEX(P:P,ROW(S585)/2)),"")</f>
        <v>-682.75</v>
      </c>
      <c r="T585" s="21">
        <f t="array" ref="T585">IF(ROW(T585)&lt;=COUNTA(O:O)*2,IF(MOD(ROW(T585),2)=1,INDEX(O:O,(ROW(T585)+1)/2),INDEX(Q:Q,ROW(T585)/2)),"")</f>
        <v>115</v>
      </c>
      <c r="AA585" s="22">
        <f t="array" ref="AA585">IF(ROW(AA585)&lt;=COUNTA(V:V)*2,IF(MOD(ROW(AA585),2)=1,INDEX(V:V,(ROW(AA585)+1)/2),INDEX(X:X,ROW(AA585)/2)),"")</f>
        <v>-682.75</v>
      </c>
      <c r="AB585" s="22">
        <f t="array" ref="AB585">IF(ROW(AB585)&lt;=COUNTA(W:W)*2,IF(MOD(ROW(AB585),2)=1,INDEX(W:W,(ROW(AB585)+1)/2),INDEX(Y:Y,ROW(AB585)/2)),"")</f>
        <v>122.68205</v>
      </c>
    </row>
    <row r="586" spans="1:28" x14ac:dyDescent="0.25">
      <c r="A586" s="19"/>
      <c r="B586" s="20"/>
      <c r="C586" s="21"/>
      <c r="D586" s="22"/>
      <c r="K586" s="34">
        <f t="array" ref="K586">IF(ROW(K586)&lt;=COUNTA(F:F)*2,IF(MOD(ROW(K586),2)=1,INDEX(F:F,(ROW(K586)+1)/2),INDEX(H:H,ROW(K586)/2)),"")</f>
        <v>-684.25</v>
      </c>
      <c r="L586" s="34">
        <f t="array" ref="L586">IF(ROW(L586)&lt;=COUNTA(G:G)*2,IF(MOD(ROW(L586),2)=1,INDEX(G:G,(ROW(L586)+1)/2),INDEX(I:I,ROW(L586)/2)),"")</f>
        <v>112.4</v>
      </c>
      <c r="S586" s="21">
        <f t="array" ref="S586">IF(ROW(S586)&lt;=COUNTA(N:N)*2,IF(MOD(ROW(S586),2)=1,INDEX(N:N,(ROW(S586)+1)/2),INDEX(P:P,ROW(S586)/2)),"")</f>
        <v>-684.25</v>
      </c>
      <c r="T586" s="21">
        <f t="array" ref="T586">IF(ROW(T586)&lt;=COUNTA(O:O)*2,IF(MOD(ROW(T586),2)=1,INDEX(O:O,(ROW(T586)+1)/2),INDEX(Q:Q,ROW(T586)/2)),"")</f>
        <v>115</v>
      </c>
      <c r="AA586" s="22">
        <f t="array" ref="AA586">IF(ROW(AA586)&lt;=COUNTA(V:V)*2,IF(MOD(ROW(AA586),2)=1,INDEX(V:V,(ROW(AA586)+1)/2),INDEX(X:X,ROW(AA586)/2)),"")</f>
        <v>-684.25</v>
      </c>
      <c r="AB586" s="22">
        <f t="array" ref="AB586">IF(ROW(AB586)&lt;=COUNTA(W:W)*2,IF(MOD(ROW(AB586),2)=1,INDEX(W:W,(ROW(AB586)+1)/2),INDEX(Y:Y,ROW(AB586)/2)),"")</f>
        <v>122.68205</v>
      </c>
    </row>
    <row r="587" spans="1:28" x14ac:dyDescent="0.25">
      <c r="A587" s="19"/>
      <c r="B587" s="20"/>
      <c r="C587" s="21"/>
      <c r="D587" s="22"/>
      <c r="K587" s="34">
        <f t="array" ref="K587">IF(ROW(K587)&lt;=COUNTA(F:F)*2,IF(MOD(ROW(K587),2)=1,INDEX(F:F,(ROW(K587)+1)/2),INDEX(H:H,ROW(K587)/2)),"")</f>
        <v>-684.25</v>
      </c>
      <c r="L587" s="34">
        <f t="array" ref="L587">IF(ROW(L587)&lt;=COUNTA(G:G)*2,IF(MOD(ROW(L587),2)=1,INDEX(G:G,(ROW(L587)+1)/2),INDEX(I:I,ROW(L587)/2)),"")</f>
        <v>112.4</v>
      </c>
      <c r="S587" s="21">
        <f t="array" ref="S587">IF(ROW(S587)&lt;=COUNTA(N:N)*2,IF(MOD(ROW(S587),2)=1,INDEX(N:N,(ROW(S587)+1)/2),INDEX(P:P,ROW(S587)/2)),"")</f>
        <v>-684.25</v>
      </c>
      <c r="T587" s="21">
        <f t="array" ref="T587">IF(ROW(T587)&lt;=COUNTA(O:O)*2,IF(MOD(ROW(T587),2)=1,INDEX(O:O,(ROW(T587)+1)/2),INDEX(Q:Q,ROW(T587)/2)),"")</f>
        <v>112.5</v>
      </c>
      <c r="AA587" s="22">
        <f t="array" ref="AA587">IF(ROW(AA587)&lt;=COUNTA(V:V)*2,IF(MOD(ROW(AA587),2)=1,INDEX(V:V,(ROW(AA587)+1)/2),INDEX(X:X,ROW(AA587)/2)),"")</f>
        <v>-684.25</v>
      </c>
      <c r="AB587" s="22">
        <f t="array" ref="AB587">IF(ROW(AB587)&lt;=COUNTA(W:W)*2,IF(MOD(ROW(AB587),2)=1,INDEX(W:W,(ROW(AB587)+1)/2),INDEX(Y:Y,ROW(AB587)/2)),"")</f>
        <v>122.7277</v>
      </c>
    </row>
    <row r="588" spans="1:28" x14ac:dyDescent="0.25">
      <c r="A588" s="19"/>
      <c r="B588" s="20"/>
      <c r="C588" s="21"/>
      <c r="D588" s="22"/>
      <c r="K588" s="34">
        <f t="array" ref="K588">IF(ROW(K588)&lt;=COUNTA(F:F)*2,IF(MOD(ROW(K588),2)=1,INDEX(F:F,(ROW(K588)+1)/2),INDEX(H:H,ROW(K588)/2)),"")</f>
        <v>-685.75</v>
      </c>
      <c r="L588" s="34">
        <f t="array" ref="L588">IF(ROW(L588)&lt;=COUNTA(G:G)*2,IF(MOD(ROW(L588),2)=1,INDEX(G:G,(ROW(L588)+1)/2),INDEX(I:I,ROW(L588)/2)),"")</f>
        <v>112.4</v>
      </c>
      <c r="S588" s="21">
        <f t="array" ref="S588">IF(ROW(S588)&lt;=COUNTA(N:N)*2,IF(MOD(ROW(S588),2)=1,INDEX(N:N,(ROW(S588)+1)/2),INDEX(P:P,ROW(S588)/2)),"")</f>
        <v>-685.75</v>
      </c>
      <c r="T588" s="21">
        <f t="array" ref="T588">IF(ROW(T588)&lt;=COUNTA(O:O)*2,IF(MOD(ROW(T588),2)=1,INDEX(O:O,(ROW(T588)+1)/2),INDEX(Q:Q,ROW(T588)/2)),"")</f>
        <v>112.5</v>
      </c>
      <c r="AA588" s="22">
        <f t="array" ref="AA588">IF(ROW(AA588)&lt;=COUNTA(V:V)*2,IF(MOD(ROW(AA588),2)=1,INDEX(V:V,(ROW(AA588)+1)/2),INDEX(X:X,ROW(AA588)/2)),"")</f>
        <v>-685.75</v>
      </c>
      <c r="AB588" s="22">
        <f t="array" ref="AB588">IF(ROW(AB588)&lt;=COUNTA(W:W)*2,IF(MOD(ROW(AB588),2)=1,INDEX(W:W,(ROW(AB588)+1)/2),INDEX(Y:Y,ROW(AB588)/2)),"")</f>
        <v>122.7277</v>
      </c>
    </row>
    <row r="589" spans="1:28" x14ac:dyDescent="0.25">
      <c r="A589" s="19"/>
      <c r="B589" s="20"/>
      <c r="C589" s="21"/>
      <c r="D589" s="22"/>
      <c r="K589" s="34">
        <f t="array" ref="K589">IF(ROW(K589)&lt;=COUNTA(F:F)*2,IF(MOD(ROW(K589),2)=1,INDEX(F:F,(ROW(K589)+1)/2),INDEX(H:H,ROW(K589)/2)),"")</f>
        <v>-685.75</v>
      </c>
      <c r="L589" s="34">
        <f t="array" ref="L589">IF(ROW(L589)&lt;=COUNTA(G:G)*2,IF(MOD(ROW(L589),2)=1,INDEX(G:G,(ROW(L589)+1)/2),INDEX(I:I,ROW(L589)/2)),"")</f>
        <v>112.4</v>
      </c>
      <c r="S589" s="21">
        <f t="array" ref="S589">IF(ROW(S589)&lt;=COUNTA(N:N)*2,IF(MOD(ROW(S589),2)=1,INDEX(N:N,(ROW(S589)+1)/2),INDEX(P:P,ROW(S589)/2)),"")</f>
        <v>-685.75</v>
      </c>
      <c r="T589" s="21">
        <f t="array" ref="T589">IF(ROW(T589)&lt;=COUNTA(O:O)*2,IF(MOD(ROW(T589),2)=1,INDEX(O:O,(ROW(T589)+1)/2),INDEX(Q:Q,ROW(T589)/2)),"")</f>
        <v>113.4</v>
      </c>
      <c r="AA589" s="22">
        <f t="array" ref="AA589">IF(ROW(AA589)&lt;=COUNTA(V:V)*2,IF(MOD(ROW(AA589),2)=1,INDEX(V:V,(ROW(AA589)+1)/2),INDEX(X:X,ROW(AA589)/2)),"")</f>
        <v>-685.75</v>
      </c>
      <c r="AB589" s="22">
        <f t="array" ref="AB589">IF(ROW(AB589)&lt;=COUNTA(W:W)*2,IF(MOD(ROW(AB589),2)=1,INDEX(W:W,(ROW(AB589)+1)/2),INDEX(Y:Y,ROW(AB589)/2)),"")</f>
        <v>122.751275</v>
      </c>
    </row>
    <row r="590" spans="1:28" x14ac:dyDescent="0.25">
      <c r="A590" s="19"/>
      <c r="B590" s="20"/>
      <c r="C590" s="21"/>
      <c r="D590" s="22"/>
      <c r="K590" s="34">
        <f t="array" ref="K590">IF(ROW(K590)&lt;=COUNTA(F:F)*2,IF(MOD(ROW(K590),2)=1,INDEX(F:F,(ROW(K590)+1)/2),INDEX(H:H,ROW(K590)/2)),"")</f>
        <v>-687.25</v>
      </c>
      <c r="L590" s="34">
        <f t="array" ref="L590">IF(ROW(L590)&lt;=COUNTA(G:G)*2,IF(MOD(ROW(L590),2)=1,INDEX(G:G,(ROW(L590)+1)/2),INDEX(I:I,ROW(L590)/2)),"")</f>
        <v>112.4</v>
      </c>
      <c r="S590" s="21">
        <f t="array" ref="S590">IF(ROW(S590)&lt;=COUNTA(N:N)*2,IF(MOD(ROW(S590),2)=1,INDEX(N:N,(ROW(S590)+1)/2),INDEX(P:P,ROW(S590)/2)),"")</f>
        <v>-687.25</v>
      </c>
      <c r="T590" s="21">
        <f t="array" ref="T590">IF(ROW(T590)&lt;=COUNTA(O:O)*2,IF(MOD(ROW(T590),2)=1,INDEX(O:O,(ROW(T590)+1)/2),INDEX(Q:Q,ROW(T590)/2)),"")</f>
        <v>113.4</v>
      </c>
      <c r="AA590" s="22">
        <f t="array" ref="AA590">IF(ROW(AA590)&lt;=COUNTA(V:V)*2,IF(MOD(ROW(AA590),2)=1,INDEX(V:V,(ROW(AA590)+1)/2),INDEX(X:X,ROW(AA590)/2)),"")</f>
        <v>-687.25</v>
      </c>
      <c r="AB590" s="22">
        <f t="array" ref="AB590">IF(ROW(AB590)&lt;=COUNTA(W:W)*2,IF(MOD(ROW(AB590),2)=1,INDEX(W:W,(ROW(AB590)+1)/2),INDEX(Y:Y,ROW(AB590)/2)),"")</f>
        <v>122.751275</v>
      </c>
    </row>
    <row r="591" spans="1:28" x14ac:dyDescent="0.25">
      <c r="A591" s="19"/>
      <c r="B591" s="20"/>
      <c r="C591" s="21"/>
      <c r="D591" s="22"/>
      <c r="K591" s="34">
        <f t="array" ref="K591">IF(ROW(K591)&lt;=COUNTA(F:F)*2,IF(MOD(ROW(K591),2)=1,INDEX(F:F,(ROW(K591)+1)/2),INDEX(H:H,ROW(K591)/2)),"")</f>
        <v>-687.25</v>
      </c>
      <c r="L591" s="34">
        <f t="array" ref="L591">IF(ROW(L591)&lt;=COUNTA(G:G)*2,IF(MOD(ROW(L591),2)=1,INDEX(G:G,(ROW(L591)+1)/2),INDEX(I:I,ROW(L591)/2)),"")</f>
        <v>112.4</v>
      </c>
      <c r="S591" s="21">
        <f t="array" ref="S591">IF(ROW(S591)&lt;=COUNTA(N:N)*2,IF(MOD(ROW(S591),2)=1,INDEX(N:N,(ROW(S591)+1)/2),INDEX(P:P,ROW(S591)/2)),"")</f>
        <v>-687.25</v>
      </c>
      <c r="T591" s="21">
        <f t="array" ref="T591">IF(ROW(T591)&lt;=COUNTA(O:O)*2,IF(MOD(ROW(T591),2)=1,INDEX(O:O,(ROW(T591)+1)/2),INDEX(Q:Q,ROW(T591)/2)),"")</f>
        <v>114.8</v>
      </c>
      <c r="AA591" s="22">
        <f t="array" ref="AA591">IF(ROW(AA591)&lt;=COUNTA(V:V)*2,IF(MOD(ROW(AA591),2)=1,INDEX(V:V,(ROW(AA591)+1)/2),INDEX(X:X,ROW(AA591)/2)),"")</f>
        <v>-687.25</v>
      </c>
      <c r="AB591" s="22">
        <f t="array" ref="AB591">IF(ROW(AB591)&lt;=COUNTA(W:W)*2,IF(MOD(ROW(AB591),2)=1,INDEX(W:W,(ROW(AB591)+1)/2),INDEX(Y:Y,ROW(AB591)/2)),"")</f>
        <v>122.7021</v>
      </c>
    </row>
    <row r="592" spans="1:28" x14ac:dyDescent="0.25">
      <c r="A592" s="19"/>
      <c r="B592" s="20"/>
      <c r="C592" s="21"/>
      <c r="D592" s="22"/>
      <c r="K592" s="34">
        <f t="array" ref="K592">IF(ROW(K592)&lt;=COUNTA(F:F)*2,IF(MOD(ROW(K592),2)=1,INDEX(F:F,(ROW(K592)+1)/2),INDEX(H:H,ROW(K592)/2)),"")</f>
        <v>-688.75</v>
      </c>
      <c r="L592" s="34">
        <f t="array" ref="L592">IF(ROW(L592)&lt;=COUNTA(G:G)*2,IF(MOD(ROW(L592),2)=1,INDEX(G:G,(ROW(L592)+1)/2),INDEX(I:I,ROW(L592)/2)),"")</f>
        <v>112.4</v>
      </c>
      <c r="S592" s="21">
        <f t="array" ref="S592">IF(ROW(S592)&lt;=COUNTA(N:N)*2,IF(MOD(ROW(S592),2)=1,INDEX(N:N,(ROW(S592)+1)/2),INDEX(P:P,ROW(S592)/2)),"")</f>
        <v>-688.75</v>
      </c>
      <c r="T592" s="21">
        <f t="array" ref="T592">IF(ROW(T592)&lt;=COUNTA(O:O)*2,IF(MOD(ROW(T592),2)=1,INDEX(O:O,(ROW(T592)+1)/2),INDEX(Q:Q,ROW(T592)/2)),"")</f>
        <v>114.8</v>
      </c>
      <c r="AA592" s="22">
        <f t="array" ref="AA592">IF(ROW(AA592)&lt;=COUNTA(V:V)*2,IF(MOD(ROW(AA592),2)=1,INDEX(V:V,(ROW(AA592)+1)/2),INDEX(X:X,ROW(AA592)/2)),"")</f>
        <v>-688.75</v>
      </c>
      <c r="AB592" s="22">
        <f t="array" ref="AB592">IF(ROW(AB592)&lt;=COUNTA(W:W)*2,IF(MOD(ROW(AB592),2)=1,INDEX(W:W,(ROW(AB592)+1)/2),INDEX(Y:Y,ROW(AB592)/2)),"")</f>
        <v>122.7021</v>
      </c>
    </row>
    <row r="593" spans="1:28" x14ac:dyDescent="0.25">
      <c r="A593" s="19"/>
      <c r="B593" s="20"/>
      <c r="C593" s="21"/>
      <c r="D593" s="22"/>
      <c r="K593" s="34">
        <f t="array" ref="K593">IF(ROW(K593)&lt;=COUNTA(F:F)*2,IF(MOD(ROW(K593),2)=1,INDEX(F:F,(ROW(K593)+1)/2),INDEX(H:H,ROW(K593)/2)),"")</f>
        <v>-688.75</v>
      </c>
      <c r="L593" s="34">
        <f t="array" ref="L593">IF(ROW(L593)&lt;=COUNTA(G:G)*2,IF(MOD(ROW(L593),2)=1,INDEX(G:G,(ROW(L593)+1)/2),INDEX(I:I,ROW(L593)/2)),"")</f>
        <v>112.4</v>
      </c>
      <c r="S593" s="21">
        <f t="array" ref="S593">IF(ROW(S593)&lt;=COUNTA(N:N)*2,IF(MOD(ROW(S593),2)=1,INDEX(N:N,(ROW(S593)+1)/2),INDEX(P:P,ROW(S593)/2)),"")</f>
        <v>-688.75</v>
      </c>
      <c r="T593" s="21">
        <f t="array" ref="T593">IF(ROW(T593)&lt;=COUNTA(O:O)*2,IF(MOD(ROW(T593),2)=1,INDEX(O:O,(ROW(T593)+1)/2),INDEX(Q:Q,ROW(T593)/2)),"")</f>
        <v>113.3</v>
      </c>
      <c r="AA593" s="22">
        <f t="array" ref="AA593">IF(ROW(AA593)&lt;=COUNTA(V:V)*2,IF(MOD(ROW(AA593),2)=1,INDEX(V:V,(ROW(AA593)+1)/2),INDEX(X:X,ROW(AA593)/2)),"")</f>
        <v>-688.75</v>
      </c>
      <c r="AB593" s="22">
        <f t="array" ref="AB593">IF(ROW(AB593)&lt;=COUNTA(W:W)*2,IF(MOD(ROW(AB593),2)=1,INDEX(W:W,(ROW(AB593)+1)/2),INDEX(Y:Y,ROW(AB593)/2)),"")</f>
        <v>122.668725</v>
      </c>
    </row>
    <row r="594" spans="1:28" x14ac:dyDescent="0.25">
      <c r="A594" s="19"/>
      <c r="B594" s="20"/>
      <c r="C594" s="21"/>
      <c r="D594" s="22"/>
      <c r="K594" s="34">
        <f t="array" ref="K594">IF(ROW(K594)&lt;=COUNTA(F:F)*2,IF(MOD(ROW(K594),2)=1,INDEX(F:F,(ROW(K594)+1)/2),INDEX(H:H,ROW(K594)/2)),"")</f>
        <v>-690.25</v>
      </c>
      <c r="L594" s="34">
        <f t="array" ref="L594">IF(ROW(L594)&lt;=COUNTA(G:G)*2,IF(MOD(ROW(L594),2)=1,INDEX(G:G,(ROW(L594)+1)/2),INDEX(I:I,ROW(L594)/2)),"")</f>
        <v>112.4</v>
      </c>
      <c r="S594" s="21">
        <f t="array" ref="S594">IF(ROW(S594)&lt;=COUNTA(N:N)*2,IF(MOD(ROW(S594),2)=1,INDEX(N:N,(ROW(S594)+1)/2),INDEX(P:P,ROW(S594)/2)),"")</f>
        <v>-690.25</v>
      </c>
      <c r="T594" s="21">
        <f t="array" ref="T594">IF(ROW(T594)&lt;=COUNTA(O:O)*2,IF(MOD(ROW(T594),2)=1,INDEX(O:O,(ROW(T594)+1)/2),INDEX(Q:Q,ROW(T594)/2)),"")</f>
        <v>113.3</v>
      </c>
      <c r="AA594" s="22">
        <f t="array" ref="AA594">IF(ROW(AA594)&lt;=COUNTA(V:V)*2,IF(MOD(ROW(AA594),2)=1,INDEX(V:V,(ROW(AA594)+1)/2),INDEX(X:X,ROW(AA594)/2)),"")</f>
        <v>-690.25</v>
      </c>
      <c r="AB594" s="22">
        <f t="array" ref="AB594">IF(ROW(AB594)&lt;=COUNTA(W:W)*2,IF(MOD(ROW(AB594),2)=1,INDEX(W:W,(ROW(AB594)+1)/2),INDEX(Y:Y,ROW(AB594)/2)),"")</f>
        <v>122.668725</v>
      </c>
    </row>
    <row r="595" spans="1:28" x14ac:dyDescent="0.25">
      <c r="A595" s="19"/>
      <c r="B595" s="20"/>
      <c r="C595" s="21"/>
      <c r="D595" s="22"/>
      <c r="K595" s="34">
        <f t="array" ref="K595">IF(ROW(K595)&lt;=COUNTA(F:F)*2,IF(MOD(ROW(K595),2)=1,INDEX(F:F,(ROW(K595)+1)/2),INDEX(H:H,ROW(K595)/2)),"")</f>
        <v>-690.25</v>
      </c>
      <c r="L595" s="34">
        <f t="array" ref="L595">IF(ROW(L595)&lt;=COUNTA(G:G)*2,IF(MOD(ROW(L595),2)=1,INDEX(G:G,(ROW(L595)+1)/2),INDEX(I:I,ROW(L595)/2)),"")</f>
        <v>112.4</v>
      </c>
      <c r="S595" s="21">
        <f t="array" ref="S595">IF(ROW(S595)&lt;=COUNTA(N:N)*2,IF(MOD(ROW(S595),2)=1,INDEX(N:N,(ROW(S595)+1)/2),INDEX(P:P,ROW(S595)/2)),"")</f>
        <v>-690.25</v>
      </c>
      <c r="T595" s="21">
        <f t="array" ref="T595">IF(ROW(T595)&lt;=COUNTA(O:O)*2,IF(MOD(ROW(T595),2)=1,INDEX(O:O,(ROW(T595)+1)/2),INDEX(Q:Q,ROW(T595)/2)),"")</f>
        <v>119</v>
      </c>
      <c r="AA595" s="22">
        <f t="array" ref="AA595">IF(ROW(AA595)&lt;=COUNTA(V:V)*2,IF(MOD(ROW(AA595),2)=1,INDEX(V:V,(ROW(AA595)+1)/2),INDEX(X:X,ROW(AA595)/2)),"")</f>
        <v>-690.25</v>
      </c>
      <c r="AB595" s="22">
        <f t="array" ref="AB595">IF(ROW(AB595)&lt;=COUNTA(W:W)*2,IF(MOD(ROW(AB595),2)=1,INDEX(W:W,(ROW(AB595)+1)/2),INDEX(Y:Y,ROW(AB595)/2)),"")</f>
        <v>122.6713</v>
      </c>
    </row>
    <row r="596" spans="1:28" x14ac:dyDescent="0.25">
      <c r="A596" s="19"/>
      <c r="B596" s="20"/>
      <c r="C596" s="21"/>
      <c r="D596" s="22"/>
      <c r="K596" s="34">
        <f t="array" ref="K596">IF(ROW(K596)&lt;=COUNTA(F:F)*2,IF(MOD(ROW(K596),2)=1,INDEX(F:F,(ROW(K596)+1)/2),INDEX(H:H,ROW(K596)/2)),"")</f>
        <v>-691.75</v>
      </c>
      <c r="L596" s="34">
        <f t="array" ref="L596">IF(ROW(L596)&lt;=COUNTA(G:G)*2,IF(MOD(ROW(L596),2)=1,INDEX(G:G,(ROW(L596)+1)/2),INDEX(I:I,ROW(L596)/2)),"")</f>
        <v>112.4</v>
      </c>
      <c r="S596" s="21">
        <f t="array" ref="S596">IF(ROW(S596)&lt;=COUNTA(N:N)*2,IF(MOD(ROW(S596),2)=1,INDEX(N:N,(ROW(S596)+1)/2),INDEX(P:P,ROW(S596)/2)),"")</f>
        <v>-691.75</v>
      </c>
      <c r="T596" s="21">
        <f t="array" ref="T596">IF(ROW(T596)&lt;=COUNTA(O:O)*2,IF(MOD(ROW(T596),2)=1,INDEX(O:O,(ROW(T596)+1)/2),INDEX(Q:Q,ROW(T596)/2)),"")</f>
        <v>119</v>
      </c>
      <c r="AA596" s="22">
        <f t="array" ref="AA596">IF(ROW(AA596)&lt;=COUNTA(V:V)*2,IF(MOD(ROW(AA596),2)=1,INDEX(V:V,(ROW(AA596)+1)/2),INDEX(X:X,ROW(AA596)/2)),"")</f>
        <v>-691.75</v>
      </c>
      <c r="AB596" s="22">
        <f t="array" ref="AB596">IF(ROW(AB596)&lt;=COUNTA(W:W)*2,IF(MOD(ROW(AB596),2)=1,INDEX(W:W,(ROW(AB596)+1)/2),INDEX(Y:Y,ROW(AB596)/2)),"")</f>
        <v>122.6713</v>
      </c>
    </row>
    <row r="597" spans="1:28" x14ac:dyDescent="0.25">
      <c r="A597" s="19"/>
      <c r="B597" s="20"/>
      <c r="C597" s="21"/>
      <c r="D597" s="22"/>
      <c r="K597" s="34">
        <f t="array" ref="K597">IF(ROW(K597)&lt;=COUNTA(F:F)*2,IF(MOD(ROW(K597),2)=1,INDEX(F:F,(ROW(K597)+1)/2),INDEX(H:H,ROW(K597)/2)),"")</f>
        <v>-691.75</v>
      </c>
      <c r="L597" s="34">
        <f t="array" ref="L597">IF(ROW(L597)&lt;=COUNTA(G:G)*2,IF(MOD(ROW(L597),2)=1,INDEX(G:G,(ROW(L597)+1)/2),INDEX(I:I,ROW(L597)/2)),"")</f>
        <v>112.4</v>
      </c>
      <c r="S597" s="21">
        <f t="array" ref="S597">IF(ROW(S597)&lt;=COUNTA(N:N)*2,IF(MOD(ROW(S597),2)=1,INDEX(N:N,(ROW(S597)+1)/2),INDEX(P:P,ROW(S597)/2)),"")</f>
        <v>-691.75</v>
      </c>
      <c r="T597" s="21">
        <f t="array" ref="T597">IF(ROW(T597)&lt;=COUNTA(O:O)*2,IF(MOD(ROW(T597),2)=1,INDEX(O:O,(ROW(T597)+1)/2),INDEX(Q:Q,ROW(T597)/2)),"")</f>
        <v>115.6</v>
      </c>
      <c r="AA597" s="22">
        <f t="array" ref="AA597">IF(ROW(AA597)&lt;=COUNTA(V:V)*2,IF(MOD(ROW(AA597),2)=1,INDEX(V:V,(ROW(AA597)+1)/2),INDEX(X:X,ROW(AA597)/2)),"")</f>
        <v>-691.75</v>
      </c>
      <c r="AB597" s="22">
        <f t="array" ref="AB597">IF(ROW(AB597)&lt;=COUNTA(W:W)*2,IF(MOD(ROW(AB597),2)=1,INDEX(W:W,(ROW(AB597)+1)/2),INDEX(Y:Y,ROW(AB597)/2)),"")</f>
        <v>122.668</v>
      </c>
    </row>
    <row r="598" spans="1:28" x14ac:dyDescent="0.25">
      <c r="A598" s="19"/>
      <c r="B598" s="20"/>
      <c r="C598" s="21"/>
      <c r="D598" s="22"/>
      <c r="K598" s="34">
        <f t="array" ref="K598">IF(ROW(K598)&lt;=COUNTA(F:F)*2,IF(MOD(ROW(K598),2)=1,INDEX(F:F,(ROW(K598)+1)/2),INDEX(H:H,ROW(K598)/2)),"")</f>
        <v>-693.25</v>
      </c>
      <c r="L598" s="34">
        <f t="array" ref="L598">IF(ROW(L598)&lt;=COUNTA(G:G)*2,IF(MOD(ROW(L598),2)=1,INDEX(G:G,(ROW(L598)+1)/2),INDEX(I:I,ROW(L598)/2)),"")</f>
        <v>112.4</v>
      </c>
      <c r="S598" s="21">
        <f t="array" ref="S598">IF(ROW(S598)&lt;=COUNTA(N:N)*2,IF(MOD(ROW(S598),2)=1,INDEX(N:N,(ROW(S598)+1)/2),INDEX(P:P,ROW(S598)/2)),"")</f>
        <v>-693.25</v>
      </c>
      <c r="T598" s="21">
        <f t="array" ref="T598">IF(ROW(T598)&lt;=COUNTA(O:O)*2,IF(MOD(ROW(T598),2)=1,INDEX(O:O,(ROW(T598)+1)/2),INDEX(Q:Q,ROW(T598)/2)),"")</f>
        <v>115.6</v>
      </c>
      <c r="AA598" s="22">
        <f t="array" ref="AA598">IF(ROW(AA598)&lt;=COUNTA(V:V)*2,IF(MOD(ROW(AA598),2)=1,INDEX(V:V,(ROW(AA598)+1)/2),INDEX(X:X,ROW(AA598)/2)),"")</f>
        <v>-693.25</v>
      </c>
      <c r="AB598" s="22">
        <f t="array" ref="AB598">IF(ROW(AB598)&lt;=COUNTA(W:W)*2,IF(MOD(ROW(AB598),2)=1,INDEX(W:W,(ROW(AB598)+1)/2),INDEX(Y:Y,ROW(AB598)/2)),"")</f>
        <v>122.668</v>
      </c>
    </row>
    <row r="599" spans="1:28" x14ac:dyDescent="0.25">
      <c r="A599" s="19"/>
      <c r="B599" s="20"/>
      <c r="C599" s="21"/>
      <c r="D599" s="22"/>
      <c r="K599" s="34">
        <f t="array" ref="K599">IF(ROW(K599)&lt;=COUNTA(F:F)*2,IF(MOD(ROW(K599),2)=1,INDEX(F:F,(ROW(K599)+1)/2),INDEX(H:H,ROW(K599)/2)),"")</f>
        <v>-693.25</v>
      </c>
      <c r="L599" s="34">
        <f t="array" ref="L599">IF(ROW(L599)&lt;=COUNTA(G:G)*2,IF(MOD(ROW(L599),2)=1,INDEX(G:G,(ROW(L599)+1)/2),INDEX(I:I,ROW(L599)/2)),"")</f>
        <v>112.4</v>
      </c>
      <c r="S599" s="21">
        <f t="array" ref="S599">IF(ROW(S599)&lt;=COUNTA(N:N)*2,IF(MOD(ROW(S599),2)=1,INDEX(N:N,(ROW(S599)+1)/2),INDEX(P:P,ROW(S599)/2)),"")</f>
        <v>-693.25</v>
      </c>
      <c r="T599" s="21">
        <f t="array" ref="T599">IF(ROW(T599)&lt;=COUNTA(O:O)*2,IF(MOD(ROW(T599),2)=1,INDEX(O:O,(ROW(T599)+1)/2),INDEX(Q:Q,ROW(T599)/2)),"")</f>
        <v>118.2</v>
      </c>
      <c r="AA599" s="22">
        <f t="array" ref="AA599">IF(ROW(AA599)&lt;=COUNTA(V:V)*2,IF(MOD(ROW(AA599),2)=1,INDEX(V:V,(ROW(AA599)+1)/2),INDEX(X:X,ROW(AA599)/2)),"")</f>
        <v>-693.25</v>
      </c>
      <c r="AB599" s="22">
        <f t="array" ref="AB599">IF(ROW(AB599)&lt;=COUNTA(W:W)*2,IF(MOD(ROW(AB599),2)=1,INDEX(W:W,(ROW(AB599)+1)/2),INDEX(Y:Y,ROW(AB599)/2)),"")</f>
        <v>122.66605</v>
      </c>
    </row>
    <row r="600" spans="1:28" x14ac:dyDescent="0.25">
      <c r="A600" s="19"/>
      <c r="B600" s="20"/>
      <c r="C600" s="21"/>
      <c r="D600" s="22"/>
      <c r="K600" s="34">
        <f t="array" ref="K600">IF(ROW(K600)&lt;=COUNTA(F:F)*2,IF(MOD(ROW(K600),2)=1,INDEX(F:F,(ROW(K600)+1)/2),INDEX(H:H,ROW(K600)/2)),"")</f>
        <v>-694.75</v>
      </c>
      <c r="L600" s="34">
        <f t="array" ref="L600">IF(ROW(L600)&lt;=COUNTA(G:G)*2,IF(MOD(ROW(L600),2)=1,INDEX(G:G,(ROW(L600)+1)/2),INDEX(I:I,ROW(L600)/2)),"")</f>
        <v>112.4</v>
      </c>
      <c r="S600" s="21">
        <f t="array" ref="S600">IF(ROW(S600)&lt;=COUNTA(N:N)*2,IF(MOD(ROW(S600),2)=1,INDEX(N:N,(ROW(S600)+1)/2),INDEX(P:P,ROW(S600)/2)),"")</f>
        <v>-694.75</v>
      </c>
      <c r="T600" s="21">
        <f t="array" ref="T600">IF(ROW(T600)&lt;=COUNTA(O:O)*2,IF(MOD(ROW(T600),2)=1,INDEX(O:O,(ROW(T600)+1)/2),INDEX(Q:Q,ROW(T600)/2)),"")</f>
        <v>118.2</v>
      </c>
      <c r="AA600" s="22">
        <f t="array" ref="AA600">IF(ROW(AA600)&lt;=COUNTA(V:V)*2,IF(MOD(ROW(AA600),2)=1,INDEX(V:V,(ROW(AA600)+1)/2),INDEX(X:X,ROW(AA600)/2)),"")</f>
        <v>-694.75</v>
      </c>
      <c r="AB600" s="22">
        <f t="array" ref="AB600">IF(ROW(AB600)&lt;=COUNTA(W:W)*2,IF(MOD(ROW(AB600),2)=1,INDEX(W:W,(ROW(AB600)+1)/2),INDEX(Y:Y,ROW(AB600)/2)),"")</f>
        <v>122.66605</v>
      </c>
    </row>
    <row r="601" spans="1:28" x14ac:dyDescent="0.25">
      <c r="A601" s="19"/>
      <c r="B601" s="20"/>
      <c r="C601" s="21"/>
      <c r="D601" s="22"/>
      <c r="K601" s="34">
        <f t="array" ref="K601">IF(ROW(K601)&lt;=COUNTA(F:F)*2,IF(MOD(ROW(K601),2)=1,INDEX(F:F,(ROW(K601)+1)/2),INDEX(H:H,ROW(K601)/2)),"")</f>
        <v>-694.75</v>
      </c>
      <c r="L601" s="34">
        <f t="array" ref="L601">IF(ROW(L601)&lt;=COUNTA(G:G)*2,IF(MOD(ROW(L601),2)=1,INDEX(G:G,(ROW(L601)+1)/2),INDEX(I:I,ROW(L601)/2)),"")</f>
        <v>112.4</v>
      </c>
      <c r="S601" s="21">
        <f t="array" ref="S601">IF(ROW(S601)&lt;=COUNTA(N:N)*2,IF(MOD(ROW(S601),2)=1,INDEX(N:N,(ROW(S601)+1)/2),INDEX(P:P,ROW(S601)/2)),"")</f>
        <v>-694.75</v>
      </c>
      <c r="T601" s="21">
        <f t="array" ref="T601">IF(ROW(T601)&lt;=COUNTA(O:O)*2,IF(MOD(ROW(T601),2)=1,INDEX(O:O,(ROW(T601)+1)/2),INDEX(Q:Q,ROW(T601)/2)),"")</f>
        <v>112.5</v>
      </c>
      <c r="AA601" s="22">
        <f t="array" ref="AA601">IF(ROW(AA601)&lt;=COUNTA(V:V)*2,IF(MOD(ROW(AA601),2)=1,INDEX(V:V,(ROW(AA601)+1)/2),INDEX(X:X,ROW(AA601)/2)),"")</f>
        <v>-694.75</v>
      </c>
      <c r="AB601" s="22">
        <f t="array" ref="AB601">IF(ROW(AB601)&lt;=COUNTA(W:W)*2,IF(MOD(ROW(AB601),2)=1,INDEX(W:W,(ROW(AB601)+1)/2),INDEX(Y:Y,ROW(AB601)/2)),"")</f>
        <v>122.5</v>
      </c>
    </row>
    <row r="602" spans="1:28" x14ac:dyDescent="0.25">
      <c r="A602" s="19"/>
      <c r="B602" s="20"/>
      <c r="C602" s="21"/>
      <c r="D602" s="22"/>
      <c r="K602" s="34">
        <f t="array" ref="K602">IF(ROW(K602)&lt;=COUNTA(F:F)*2,IF(MOD(ROW(K602),2)=1,INDEX(F:F,(ROW(K602)+1)/2),INDEX(H:H,ROW(K602)/2)),"")</f>
        <v>-696.25</v>
      </c>
      <c r="L602" s="34">
        <f t="array" ref="L602">IF(ROW(L602)&lt;=COUNTA(G:G)*2,IF(MOD(ROW(L602),2)=1,INDEX(G:G,(ROW(L602)+1)/2),INDEX(I:I,ROW(L602)/2)),"")</f>
        <v>112.4</v>
      </c>
      <c r="S602" s="21">
        <f t="array" ref="S602">IF(ROW(S602)&lt;=COUNTA(N:N)*2,IF(MOD(ROW(S602),2)=1,INDEX(N:N,(ROW(S602)+1)/2),INDEX(P:P,ROW(S602)/2)),"")</f>
        <v>-696.25</v>
      </c>
      <c r="T602" s="21">
        <f t="array" ref="T602">IF(ROW(T602)&lt;=COUNTA(O:O)*2,IF(MOD(ROW(T602),2)=1,INDEX(O:O,(ROW(T602)+1)/2),INDEX(Q:Q,ROW(T602)/2)),"")</f>
        <v>112.5</v>
      </c>
      <c r="AA602" s="22">
        <f t="array" ref="AA602">IF(ROW(AA602)&lt;=COUNTA(V:V)*2,IF(MOD(ROW(AA602),2)=1,INDEX(V:V,(ROW(AA602)+1)/2),INDEX(X:X,ROW(AA602)/2)),"")</f>
        <v>-696.25</v>
      </c>
      <c r="AB602" s="22">
        <f t="array" ref="AB602">IF(ROW(AB602)&lt;=COUNTA(W:W)*2,IF(MOD(ROW(AB602),2)=1,INDEX(W:W,(ROW(AB602)+1)/2),INDEX(Y:Y,ROW(AB602)/2)),"")</f>
        <v>122.5</v>
      </c>
    </row>
    <row r="603" spans="1:28" x14ac:dyDescent="0.25">
      <c r="A603" s="19"/>
      <c r="B603" s="20"/>
      <c r="C603" s="21"/>
      <c r="D603" s="22"/>
      <c r="K603" s="34">
        <f t="array" ref="K603">IF(ROW(K603)&lt;=COUNTA(F:F)*2,IF(MOD(ROW(K603),2)=1,INDEX(F:F,(ROW(K603)+1)/2),INDEX(H:H,ROW(K603)/2)),"")</f>
        <v>-696.25</v>
      </c>
      <c r="L603" s="34">
        <f t="array" ref="L603">IF(ROW(L603)&lt;=COUNTA(G:G)*2,IF(MOD(ROW(L603),2)=1,INDEX(G:G,(ROW(L603)+1)/2),INDEX(I:I,ROW(L603)/2)),"")</f>
        <v>102.5</v>
      </c>
      <c r="S603" s="21">
        <f t="array" ref="S603">IF(ROW(S603)&lt;=COUNTA(N:N)*2,IF(MOD(ROW(S603),2)=1,INDEX(N:N,(ROW(S603)+1)/2),INDEX(P:P,ROW(S603)/2)),"")</f>
        <v>-696.25</v>
      </c>
      <c r="T603" s="21">
        <f t="array" ref="T603">IF(ROW(T603)&lt;=COUNTA(O:O)*2,IF(MOD(ROW(T603),2)=1,INDEX(O:O,(ROW(T603)+1)/2),INDEX(Q:Q,ROW(T603)/2)),"")</f>
        <v>112.5</v>
      </c>
      <c r="AA603" s="22">
        <f t="array" ref="AA603">IF(ROW(AA603)&lt;=COUNTA(V:V)*2,IF(MOD(ROW(AA603),2)=1,INDEX(V:V,(ROW(AA603)+1)/2),INDEX(X:X,ROW(AA603)/2)),"")</f>
        <v>-696.25</v>
      </c>
      <c r="AB603" s="22">
        <f t="array" ref="AB603">IF(ROW(AB603)&lt;=COUNTA(W:W)*2,IF(MOD(ROW(AB603),2)=1,INDEX(W:W,(ROW(AB603)+1)/2),INDEX(Y:Y,ROW(AB603)/2)),"")</f>
        <v>122.5</v>
      </c>
    </row>
    <row r="604" spans="1:28" x14ac:dyDescent="0.25">
      <c r="A604" s="19"/>
      <c r="B604" s="20"/>
      <c r="C604" s="21"/>
      <c r="D604" s="22"/>
      <c r="K604" s="34">
        <f t="array" ref="K604">IF(ROW(K604)&lt;=COUNTA(F:F)*2,IF(MOD(ROW(K604),2)=1,INDEX(F:F,(ROW(K604)+1)/2),INDEX(H:H,ROW(K604)/2)),"")</f>
        <v>0</v>
      </c>
      <c r="L604" s="34">
        <f t="array" ref="L604">IF(ROW(L604)&lt;=COUNTA(G:G)*2,IF(MOD(ROW(L604),2)=1,INDEX(G:G,(ROW(L604)+1)/2),INDEX(I:I,ROW(L604)/2)),"")</f>
        <v>102.5</v>
      </c>
      <c r="S604" s="21">
        <f t="array" ref="S604">IF(ROW(S604)&lt;=COUNTA(N:N)*2,IF(MOD(ROW(S604),2)=1,INDEX(N:N,(ROW(S604)+1)/2),INDEX(P:P,ROW(S604)/2)),"")</f>
        <v>0</v>
      </c>
      <c r="T604" s="21">
        <f t="array" ref="T604">IF(ROW(T604)&lt;=COUNTA(O:O)*2,IF(MOD(ROW(T604),2)=1,INDEX(O:O,(ROW(T604)+1)/2),INDEX(Q:Q,ROW(T604)/2)),"")</f>
        <v>112.5</v>
      </c>
      <c r="AA604" s="22">
        <f t="array" ref="AA604">IF(ROW(AA604)&lt;=COUNTA(V:V)*2,IF(MOD(ROW(AA604),2)=1,INDEX(V:V,(ROW(AA604)+1)/2),INDEX(X:X,ROW(AA604)/2)),"")</f>
        <v>0</v>
      </c>
      <c r="AB604" s="22">
        <f t="array" ref="AB604">IF(ROW(AB604)&lt;=COUNTA(W:W)*2,IF(MOD(ROW(AB604),2)=1,INDEX(W:W,(ROW(AB604)+1)/2),INDEX(Y:Y,ROW(AB604)/2)),"")</f>
        <v>122.5</v>
      </c>
    </row>
    <row r="605" spans="1:28" x14ac:dyDescent="0.25">
      <c r="A605" s="19"/>
      <c r="B605" s="20"/>
      <c r="C605" s="21"/>
      <c r="D605" s="22"/>
      <c r="K605" s="34">
        <f t="array" ref="K605">IF(ROW(K605)&lt;=COUNTA(F:F)*2,IF(MOD(ROW(K605),2)=1,INDEX(F:F,(ROW(K605)+1)/2),INDEX(H:H,ROW(K605)/2)),"")</f>
        <v>0</v>
      </c>
      <c r="L605" s="34">
        <f t="array" ref="L605">IF(ROW(L605)&lt;=COUNTA(G:G)*2,IF(MOD(ROW(L605),2)=1,INDEX(G:G,(ROW(L605)+1)/2),INDEX(I:I,ROW(L605)/2)),"")</f>
        <v>102.5</v>
      </c>
      <c r="S605" s="21">
        <f t="array" ref="S605">IF(ROW(S605)&lt;=COUNTA(N:N)*2,IF(MOD(ROW(S605),2)=1,INDEX(N:N,(ROW(S605)+1)/2),INDEX(P:P,ROW(S605)/2)),"")</f>
        <v>0</v>
      </c>
      <c r="T605" s="21">
        <f t="array" ref="T605">IF(ROW(T605)&lt;=COUNTA(O:O)*2,IF(MOD(ROW(T605),2)=1,INDEX(O:O,(ROW(T605)+1)/2),INDEX(Q:Q,ROW(T605)/2)),"")</f>
        <v>112.5</v>
      </c>
      <c r="AA605" s="22">
        <f t="array" ref="AA605">IF(ROW(AA605)&lt;=COUNTA(V:V)*2,IF(MOD(ROW(AA605),2)=1,INDEX(V:V,(ROW(AA605)+1)/2),INDEX(X:X,ROW(AA605)/2)),"")</f>
        <v>0</v>
      </c>
      <c r="AB605" s="22">
        <f t="array" ref="AB605">IF(ROW(AB605)&lt;=COUNTA(W:W)*2,IF(MOD(ROW(AB605),2)=1,INDEX(W:W,(ROW(AB605)+1)/2),INDEX(Y:Y,ROW(AB605)/2)),"")</f>
        <v>122.5</v>
      </c>
    </row>
    <row r="606" spans="1:28" x14ac:dyDescent="0.25">
      <c r="A606" s="19"/>
      <c r="B606" s="20"/>
      <c r="C606" s="21"/>
      <c r="D606" s="22"/>
      <c r="K606" s="34">
        <f t="array" ref="K606">IF(ROW(K606)&lt;=COUNTA(F:F)*2,IF(MOD(ROW(K606),2)=1,INDEX(F:F,(ROW(K606)+1)/2),INDEX(H:H,ROW(K606)/2)),"")</f>
        <v>0</v>
      </c>
      <c r="L606" s="34">
        <f t="array" ref="L606">IF(ROW(L606)&lt;=COUNTA(G:G)*2,IF(MOD(ROW(L606),2)=1,INDEX(G:G,(ROW(L606)+1)/2),INDEX(I:I,ROW(L606)/2)),"")</f>
        <v>102.5</v>
      </c>
      <c r="S606" s="21">
        <f t="array" ref="S606">IF(ROW(S606)&lt;=COUNTA(N:N)*2,IF(MOD(ROW(S606),2)=1,INDEX(N:N,(ROW(S606)+1)/2),INDEX(P:P,ROW(S606)/2)),"")</f>
        <v>0</v>
      </c>
      <c r="T606" s="21">
        <f t="array" ref="T606">IF(ROW(T606)&lt;=COUNTA(O:O)*2,IF(MOD(ROW(T606),2)=1,INDEX(O:O,(ROW(T606)+1)/2),INDEX(Q:Q,ROW(T606)/2)),"")</f>
        <v>112.5</v>
      </c>
      <c r="AA606" s="22">
        <f t="array" ref="AA606">IF(ROW(AA606)&lt;=COUNTA(V:V)*2,IF(MOD(ROW(AA606),2)=1,INDEX(V:V,(ROW(AA606)+1)/2),INDEX(X:X,ROW(AA606)/2)),"")</f>
        <v>0</v>
      </c>
      <c r="AB606" s="22">
        <f t="array" ref="AB606">IF(ROW(AB606)&lt;=COUNTA(W:W)*2,IF(MOD(ROW(AB606),2)=1,INDEX(W:W,(ROW(AB606)+1)/2),INDEX(Y:Y,ROW(AB606)/2)),"")</f>
        <v>122.5</v>
      </c>
    </row>
    <row r="607" spans="1:28" x14ac:dyDescent="0.25">
      <c r="A607" s="19"/>
      <c r="B607" s="20"/>
      <c r="C607" s="21"/>
      <c r="D607" s="22"/>
      <c r="K607" s="34">
        <f t="array" ref="K607">IF(ROW(K607)&lt;=COUNTA(F:F)*2,IF(MOD(ROW(K607),2)=1,INDEX(F:F,(ROW(K607)+1)/2),INDEX(H:H,ROW(K607)/2)),"")</f>
        <v>0</v>
      </c>
      <c r="L607" s="34">
        <f t="array" ref="L607">IF(ROW(L607)&lt;=COUNTA(G:G)*2,IF(MOD(ROW(L607),2)=1,INDEX(G:G,(ROW(L607)+1)/2),INDEX(I:I,ROW(L607)/2)),"")</f>
        <v>102.5</v>
      </c>
      <c r="S607" s="21">
        <f t="array" ref="S607">IF(ROW(S607)&lt;=COUNTA(N:N)*2,IF(MOD(ROW(S607),2)=1,INDEX(N:N,(ROW(S607)+1)/2),INDEX(P:P,ROW(S607)/2)),"")</f>
        <v>0</v>
      </c>
      <c r="T607" s="21">
        <f t="array" ref="T607">IF(ROW(T607)&lt;=COUNTA(O:O)*2,IF(MOD(ROW(T607),2)=1,INDEX(O:O,(ROW(T607)+1)/2),INDEX(Q:Q,ROW(T607)/2)),"")</f>
        <v>112.5</v>
      </c>
      <c r="AA607" s="22">
        <f t="array" ref="AA607">IF(ROW(AA607)&lt;=COUNTA(V:V)*2,IF(MOD(ROW(AA607),2)=1,INDEX(V:V,(ROW(AA607)+1)/2),INDEX(X:X,ROW(AA607)/2)),"")</f>
        <v>0</v>
      </c>
      <c r="AB607" s="22">
        <f t="array" ref="AB607">IF(ROW(AB607)&lt;=COUNTA(W:W)*2,IF(MOD(ROW(AB607),2)=1,INDEX(W:W,(ROW(AB607)+1)/2),INDEX(Y:Y,ROW(AB607)/2)),"")</f>
        <v>122.5</v>
      </c>
    </row>
    <row r="608" spans="1:28" x14ac:dyDescent="0.25">
      <c r="A608" s="19"/>
      <c r="B608" s="20"/>
      <c r="C608" s="21"/>
      <c r="D608" s="22"/>
      <c r="K608" s="34">
        <f t="array" ref="K608">IF(ROW(K608)&lt;=COUNTA(F:F)*2,IF(MOD(ROW(K608),2)=1,INDEX(F:F,(ROW(K608)+1)/2),INDEX(H:H,ROW(K608)/2)),"")</f>
        <v>0</v>
      </c>
      <c r="L608" s="34">
        <f t="array" ref="L608">IF(ROW(L608)&lt;=COUNTA(G:G)*2,IF(MOD(ROW(L608),2)=1,INDEX(G:G,(ROW(L608)+1)/2),INDEX(I:I,ROW(L608)/2)),"")</f>
        <v>102.5</v>
      </c>
      <c r="S608" s="21">
        <f t="array" ref="S608">IF(ROW(S608)&lt;=COUNTA(N:N)*2,IF(MOD(ROW(S608),2)=1,INDEX(N:N,(ROW(S608)+1)/2),INDEX(P:P,ROW(S608)/2)),"")</f>
        <v>0</v>
      </c>
      <c r="T608" s="21">
        <f t="array" ref="T608">IF(ROW(T608)&lt;=COUNTA(O:O)*2,IF(MOD(ROW(T608),2)=1,INDEX(O:O,(ROW(T608)+1)/2),INDEX(Q:Q,ROW(T608)/2)),"")</f>
        <v>112.5</v>
      </c>
      <c r="AA608" s="22">
        <f t="array" ref="AA608">IF(ROW(AA608)&lt;=COUNTA(V:V)*2,IF(MOD(ROW(AA608),2)=1,INDEX(V:V,(ROW(AA608)+1)/2),INDEX(X:X,ROW(AA608)/2)),"")</f>
        <v>0</v>
      </c>
      <c r="AB608" s="22">
        <f t="array" ref="AB608">IF(ROW(AB608)&lt;=COUNTA(W:W)*2,IF(MOD(ROW(AB608),2)=1,INDEX(W:W,(ROW(AB608)+1)/2),INDEX(Y:Y,ROW(AB608)/2)),"")</f>
        <v>122.5</v>
      </c>
    </row>
    <row r="609" spans="1:28" x14ac:dyDescent="0.25">
      <c r="A609" s="19"/>
      <c r="B609" s="20"/>
      <c r="C609" s="21"/>
      <c r="D609" s="22"/>
      <c r="K609" s="34">
        <f t="array" ref="K609">IF(ROW(K609)&lt;=COUNTA(F:F)*2,IF(MOD(ROW(K609),2)=1,INDEX(F:F,(ROW(K609)+1)/2),INDEX(H:H,ROW(K609)/2)),"")</f>
        <v>0</v>
      </c>
      <c r="L609" s="34">
        <f t="array" ref="L609">IF(ROW(L609)&lt;=COUNTA(G:G)*2,IF(MOD(ROW(L609),2)=1,INDEX(G:G,(ROW(L609)+1)/2),INDEX(I:I,ROW(L609)/2)),"")</f>
        <v>102.5</v>
      </c>
      <c r="S609" s="21">
        <f t="array" ref="S609">IF(ROW(S609)&lt;=COUNTA(N:N)*2,IF(MOD(ROW(S609),2)=1,INDEX(N:N,(ROW(S609)+1)/2),INDEX(P:P,ROW(S609)/2)),"")</f>
        <v>0</v>
      </c>
      <c r="T609" s="21">
        <f t="array" ref="T609">IF(ROW(T609)&lt;=COUNTA(O:O)*2,IF(MOD(ROW(T609),2)=1,INDEX(O:O,(ROW(T609)+1)/2),INDEX(Q:Q,ROW(T609)/2)),"")</f>
        <v>112.5</v>
      </c>
      <c r="AA609" s="22">
        <f t="array" ref="AA609">IF(ROW(AA609)&lt;=COUNTA(V:V)*2,IF(MOD(ROW(AA609),2)=1,INDEX(V:V,(ROW(AA609)+1)/2),INDEX(X:X,ROW(AA609)/2)),"")</f>
        <v>0</v>
      </c>
      <c r="AB609" s="22">
        <f t="array" ref="AB609">IF(ROW(AB609)&lt;=COUNTA(W:W)*2,IF(MOD(ROW(AB609),2)=1,INDEX(W:W,(ROW(AB609)+1)/2),INDEX(Y:Y,ROW(AB609)/2)),"")</f>
        <v>122.5</v>
      </c>
    </row>
    <row r="610" spans="1:28" x14ac:dyDescent="0.25">
      <c r="A610" s="19"/>
      <c r="B610" s="20"/>
      <c r="C610" s="21"/>
      <c r="D610" s="22"/>
      <c r="K610" s="34">
        <f t="array" ref="K610">IF(ROW(K610)&lt;=COUNTA(F:F)*2,IF(MOD(ROW(K610),2)=1,INDEX(F:F,(ROW(K610)+1)/2),INDEX(H:H,ROW(K610)/2)),"")</f>
        <v>0</v>
      </c>
      <c r="L610" s="34">
        <f t="array" ref="L610">IF(ROW(L610)&lt;=COUNTA(G:G)*2,IF(MOD(ROW(L610),2)=1,INDEX(G:G,(ROW(L610)+1)/2),INDEX(I:I,ROW(L610)/2)),"")</f>
        <v>102.5</v>
      </c>
      <c r="S610" s="21">
        <f t="array" ref="S610">IF(ROW(S610)&lt;=COUNTA(N:N)*2,IF(MOD(ROW(S610),2)=1,INDEX(N:N,(ROW(S610)+1)/2),INDEX(P:P,ROW(S610)/2)),"")</f>
        <v>0</v>
      </c>
      <c r="T610" s="21">
        <f t="array" ref="T610">IF(ROW(T610)&lt;=COUNTA(O:O)*2,IF(MOD(ROW(T610),2)=1,INDEX(O:O,(ROW(T610)+1)/2),INDEX(Q:Q,ROW(T610)/2)),"")</f>
        <v>112.5</v>
      </c>
      <c r="AA610" s="22">
        <f t="array" ref="AA610">IF(ROW(AA610)&lt;=COUNTA(V:V)*2,IF(MOD(ROW(AA610),2)=1,INDEX(V:V,(ROW(AA610)+1)/2),INDEX(X:X,ROW(AA610)/2)),"")</f>
        <v>0</v>
      </c>
      <c r="AB610" s="22">
        <f t="array" ref="AB610">IF(ROW(AB610)&lt;=COUNTA(W:W)*2,IF(MOD(ROW(AB610),2)=1,INDEX(W:W,(ROW(AB610)+1)/2),INDEX(Y:Y,ROW(AB610)/2)),"")</f>
        <v>122.5</v>
      </c>
    </row>
    <row r="611" spans="1:28" x14ac:dyDescent="0.25">
      <c r="A611" s="19"/>
      <c r="B611" s="20"/>
      <c r="C611" s="21"/>
      <c r="D611" s="22"/>
      <c r="K611" s="34">
        <f t="array" ref="K611">IF(ROW(K611)&lt;=COUNTA(F:F)*2,IF(MOD(ROW(K611),2)=1,INDEX(F:F,(ROW(K611)+1)/2),INDEX(H:H,ROW(K611)/2)),"")</f>
        <v>0</v>
      </c>
      <c r="L611" s="34">
        <f t="array" ref="L611">IF(ROW(L611)&lt;=COUNTA(G:G)*2,IF(MOD(ROW(L611),2)=1,INDEX(G:G,(ROW(L611)+1)/2),INDEX(I:I,ROW(L611)/2)),"")</f>
        <v>102.5</v>
      </c>
      <c r="S611" s="21">
        <f t="array" ref="S611">IF(ROW(S611)&lt;=COUNTA(N:N)*2,IF(MOD(ROW(S611),2)=1,INDEX(N:N,(ROW(S611)+1)/2),INDEX(P:P,ROW(S611)/2)),"")</f>
        <v>0</v>
      </c>
      <c r="T611" s="21">
        <f t="array" ref="T611">IF(ROW(T611)&lt;=COUNTA(O:O)*2,IF(MOD(ROW(T611),2)=1,INDEX(O:O,(ROW(T611)+1)/2),INDEX(Q:Q,ROW(T611)/2)),"")</f>
        <v>112.5</v>
      </c>
      <c r="AA611" s="22">
        <f t="array" ref="AA611">IF(ROW(AA611)&lt;=COUNTA(V:V)*2,IF(MOD(ROW(AA611),2)=1,INDEX(V:V,(ROW(AA611)+1)/2),INDEX(X:X,ROW(AA611)/2)),"")</f>
        <v>0</v>
      </c>
      <c r="AB611" s="22">
        <f t="array" ref="AB611">IF(ROW(AB611)&lt;=COUNTA(W:W)*2,IF(MOD(ROW(AB611),2)=1,INDEX(W:W,(ROW(AB611)+1)/2),INDEX(Y:Y,ROW(AB611)/2)),"")</f>
        <v>122.5</v>
      </c>
    </row>
    <row r="612" spans="1:28" x14ac:dyDescent="0.25">
      <c r="A612" s="19"/>
      <c r="B612" s="20"/>
      <c r="C612" s="21"/>
      <c r="D612" s="22"/>
      <c r="K612" s="34">
        <f t="array" ref="K612">IF(ROW(K612)&lt;=COUNTA(F:F)*2,IF(MOD(ROW(K612),2)=1,INDEX(F:F,(ROW(K612)+1)/2),INDEX(H:H,ROW(K612)/2)),"")</f>
        <v>0</v>
      </c>
      <c r="L612" s="34">
        <f t="array" ref="L612">IF(ROW(L612)&lt;=COUNTA(G:G)*2,IF(MOD(ROW(L612),2)=1,INDEX(G:G,(ROW(L612)+1)/2),INDEX(I:I,ROW(L612)/2)),"")</f>
        <v>102.5</v>
      </c>
      <c r="S612" s="21">
        <f t="array" ref="S612">IF(ROW(S612)&lt;=COUNTA(N:N)*2,IF(MOD(ROW(S612),2)=1,INDEX(N:N,(ROW(S612)+1)/2),INDEX(P:P,ROW(S612)/2)),"")</f>
        <v>0</v>
      </c>
      <c r="T612" s="21">
        <f t="array" ref="T612">IF(ROW(T612)&lt;=COUNTA(O:O)*2,IF(MOD(ROW(T612),2)=1,INDEX(O:O,(ROW(T612)+1)/2),INDEX(Q:Q,ROW(T612)/2)),"")</f>
        <v>112.5</v>
      </c>
      <c r="AA612" s="22">
        <f t="array" ref="AA612">IF(ROW(AA612)&lt;=COUNTA(V:V)*2,IF(MOD(ROW(AA612),2)=1,INDEX(V:V,(ROW(AA612)+1)/2),INDEX(X:X,ROW(AA612)/2)),"")</f>
        <v>0</v>
      </c>
      <c r="AB612" s="22">
        <f t="array" ref="AB612">IF(ROW(AB612)&lt;=COUNTA(W:W)*2,IF(MOD(ROW(AB612),2)=1,INDEX(W:W,(ROW(AB612)+1)/2),INDEX(Y:Y,ROW(AB612)/2)),"")</f>
        <v>122.5</v>
      </c>
    </row>
    <row r="613" spans="1:28" x14ac:dyDescent="0.25">
      <c r="A613" s="19"/>
      <c r="B613" s="20"/>
      <c r="C613" s="21"/>
      <c r="D613" s="22"/>
      <c r="K613" s="34">
        <f t="array" ref="K613">IF(ROW(K613)&lt;=COUNTA(F:F)*2,IF(MOD(ROW(K613),2)=1,INDEX(F:F,(ROW(K613)+1)/2),INDEX(H:H,ROW(K613)/2)),"")</f>
        <v>0</v>
      </c>
      <c r="L613" s="34">
        <f t="array" ref="L613">IF(ROW(L613)&lt;=COUNTA(G:G)*2,IF(MOD(ROW(L613),2)=1,INDEX(G:G,(ROW(L613)+1)/2),INDEX(I:I,ROW(L613)/2)),"")</f>
        <v>102.5</v>
      </c>
      <c r="S613" s="21">
        <f t="array" ref="S613">IF(ROW(S613)&lt;=COUNTA(N:N)*2,IF(MOD(ROW(S613),2)=1,INDEX(N:N,(ROW(S613)+1)/2),INDEX(P:P,ROW(S613)/2)),"")</f>
        <v>0</v>
      </c>
      <c r="T613" s="21">
        <f t="array" ref="T613">IF(ROW(T613)&lt;=COUNTA(O:O)*2,IF(MOD(ROW(T613),2)=1,INDEX(O:O,(ROW(T613)+1)/2),INDEX(Q:Q,ROW(T613)/2)),"")</f>
        <v>112.5</v>
      </c>
      <c r="AA613" s="22">
        <f t="array" ref="AA613">IF(ROW(AA613)&lt;=COUNTA(V:V)*2,IF(MOD(ROW(AA613),2)=1,INDEX(V:V,(ROW(AA613)+1)/2),INDEX(X:X,ROW(AA613)/2)),"")</f>
        <v>0</v>
      </c>
      <c r="AB613" s="22">
        <f t="array" ref="AB613">IF(ROW(AB613)&lt;=COUNTA(W:W)*2,IF(MOD(ROW(AB613),2)=1,INDEX(W:W,(ROW(AB613)+1)/2),INDEX(Y:Y,ROW(AB613)/2)),"")</f>
        <v>122.5</v>
      </c>
    </row>
    <row r="614" spans="1:28" x14ac:dyDescent="0.25">
      <c r="A614" s="19"/>
      <c r="B614" s="20"/>
      <c r="C614" s="21"/>
      <c r="D614" s="22"/>
      <c r="K614" s="34">
        <f t="array" ref="K614">IF(ROW(K614)&lt;=COUNTA(F:F)*2,IF(MOD(ROW(K614),2)=1,INDEX(F:F,(ROW(K614)+1)/2),INDEX(H:H,ROW(K614)/2)),"")</f>
        <v>0</v>
      </c>
      <c r="L614" s="34">
        <f t="array" ref="L614">IF(ROW(L614)&lt;=COUNTA(G:G)*2,IF(MOD(ROW(L614),2)=1,INDEX(G:G,(ROW(L614)+1)/2),INDEX(I:I,ROW(L614)/2)),"")</f>
        <v>102.5</v>
      </c>
      <c r="S614" s="21">
        <f t="array" ref="S614">IF(ROW(S614)&lt;=COUNTA(N:N)*2,IF(MOD(ROW(S614),2)=1,INDEX(N:N,(ROW(S614)+1)/2),INDEX(P:P,ROW(S614)/2)),"")</f>
        <v>0</v>
      </c>
      <c r="T614" s="21">
        <f t="array" ref="T614">IF(ROW(T614)&lt;=COUNTA(O:O)*2,IF(MOD(ROW(T614),2)=1,INDEX(O:O,(ROW(T614)+1)/2),INDEX(Q:Q,ROW(T614)/2)),"")</f>
        <v>112.5</v>
      </c>
      <c r="AA614" s="22">
        <f t="array" ref="AA614">IF(ROW(AA614)&lt;=COUNTA(V:V)*2,IF(MOD(ROW(AA614),2)=1,INDEX(V:V,(ROW(AA614)+1)/2),INDEX(X:X,ROW(AA614)/2)),"")</f>
        <v>0</v>
      </c>
      <c r="AB614" s="22">
        <f t="array" ref="AB614">IF(ROW(AB614)&lt;=COUNTA(W:W)*2,IF(MOD(ROW(AB614),2)=1,INDEX(W:W,(ROW(AB614)+1)/2),INDEX(Y:Y,ROW(AB614)/2)),"")</f>
        <v>122.5</v>
      </c>
    </row>
    <row r="615" spans="1:28" x14ac:dyDescent="0.25">
      <c r="A615" s="19"/>
      <c r="B615" s="20"/>
      <c r="C615" s="21"/>
      <c r="D615" s="22"/>
      <c r="K615" s="34">
        <f t="array" ref="K615">IF(ROW(K615)&lt;=COUNTA(F:F)*2,IF(MOD(ROW(K615),2)=1,INDEX(F:F,(ROW(K615)+1)/2),INDEX(H:H,ROW(K615)/2)),"")</f>
        <v>0</v>
      </c>
      <c r="L615" s="34">
        <f t="array" ref="L615">IF(ROW(L615)&lt;=COUNTA(G:G)*2,IF(MOD(ROW(L615),2)=1,INDEX(G:G,(ROW(L615)+1)/2),INDEX(I:I,ROW(L615)/2)),"")</f>
        <v>102.5</v>
      </c>
      <c r="S615" s="21">
        <f t="array" ref="S615">IF(ROW(S615)&lt;=COUNTA(N:N)*2,IF(MOD(ROW(S615),2)=1,INDEX(N:N,(ROW(S615)+1)/2),INDEX(P:P,ROW(S615)/2)),"")</f>
        <v>0</v>
      </c>
      <c r="T615" s="21">
        <f t="array" ref="T615">IF(ROW(T615)&lt;=COUNTA(O:O)*2,IF(MOD(ROW(T615),2)=1,INDEX(O:O,(ROW(T615)+1)/2),INDEX(Q:Q,ROW(T615)/2)),"")</f>
        <v>112.5</v>
      </c>
      <c r="AA615" s="22">
        <f t="array" ref="AA615">IF(ROW(AA615)&lt;=COUNTA(V:V)*2,IF(MOD(ROW(AA615),2)=1,INDEX(V:V,(ROW(AA615)+1)/2),INDEX(X:X,ROW(AA615)/2)),"")</f>
        <v>0</v>
      </c>
      <c r="AB615" s="22">
        <f t="array" ref="AB615">IF(ROW(AB615)&lt;=COUNTA(W:W)*2,IF(MOD(ROW(AB615),2)=1,INDEX(W:W,(ROW(AB615)+1)/2),INDEX(Y:Y,ROW(AB615)/2)),"")</f>
        <v>122.5</v>
      </c>
    </row>
    <row r="616" spans="1:28" x14ac:dyDescent="0.25">
      <c r="A616" s="19"/>
      <c r="B616" s="20"/>
      <c r="C616" s="21"/>
      <c r="D616" s="22"/>
      <c r="K616" s="34">
        <f t="array" ref="K616">IF(ROW(K616)&lt;=COUNTA(F:F)*2,IF(MOD(ROW(K616),2)=1,INDEX(F:F,(ROW(K616)+1)/2),INDEX(H:H,ROW(K616)/2)),"")</f>
        <v>0</v>
      </c>
      <c r="L616" s="34">
        <f t="array" ref="L616">IF(ROW(L616)&lt;=COUNTA(G:G)*2,IF(MOD(ROW(L616),2)=1,INDEX(G:G,(ROW(L616)+1)/2),INDEX(I:I,ROW(L616)/2)),"")</f>
        <v>102.5</v>
      </c>
      <c r="S616" s="21">
        <f t="array" ref="S616">IF(ROW(S616)&lt;=COUNTA(N:N)*2,IF(MOD(ROW(S616),2)=1,INDEX(N:N,(ROW(S616)+1)/2),INDEX(P:P,ROW(S616)/2)),"")</f>
        <v>0</v>
      </c>
      <c r="T616" s="21">
        <f t="array" ref="T616">IF(ROW(T616)&lt;=COUNTA(O:O)*2,IF(MOD(ROW(T616),2)=1,INDEX(O:O,(ROW(T616)+1)/2),INDEX(Q:Q,ROW(T616)/2)),"")</f>
        <v>112.5</v>
      </c>
      <c r="AA616" s="22">
        <f t="array" ref="AA616">IF(ROW(AA616)&lt;=COUNTA(V:V)*2,IF(MOD(ROW(AA616),2)=1,INDEX(V:V,(ROW(AA616)+1)/2),INDEX(X:X,ROW(AA616)/2)),"")</f>
        <v>0</v>
      </c>
      <c r="AB616" s="22">
        <f t="array" ref="AB616">IF(ROW(AB616)&lt;=COUNTA(W:W)*2,IF(MOD(ROW(AB616),2)=1,INDEX(W:W,(ROW(AB616)+1)/2),INDEX(Y:Y,ROW(AB616)/2)),"")</f>
        <v>122.5</v>
      </c>
    </row>
    <row r="617" spans="1:28" x14ac:dyDescent="0.25">
      <c r="A617" s="19"/>
      <c r="B617" s="20"/>
      <c r="C617" s="21"/>
      <c r="D617" s="22"/>
      <c r="K617" s="34">
        <f t="array" ref="K617">IF(ROW(K617)&lt;=COUNTA(F:F)*2,IF(MOD(ROW(K617),2)=1,INDEX(F:F,(ROW(K617)+1)/2),INDEX(H:H,ROW(K617)/2)),"")</f>
        <v>0</v>
      </c>
      <c r="L617" s="34">
        <f t="array" ref="L617">IF(ROW(L617)&lt;=COUNTA(G:G)*2,IF(MOD(ROW(L617),2)=1,INDEX(G:G,(ROW(L617)+1)/2),INDEX(I:I,ROW(L617)/2)),"")</f>
        <v>102.5</v>
      </c>
      <c r="S617" s="21">
        <f t="array" ref="S617">IF(ROW(S617)&lt;=COUNTA(N:N)*2,IF(MOD(ROW(S617),2)=1,INDEX(N:N,(ROW(S617)+1)/2),INDEX(P:P,ROW(S617)/2)),"")</f>
        <v>0</v>
      </c>
      <c r="T617" s="21">
        <f t="array" ref="T617">IF(ROW(T617)&lt;=COUNTA(O:O)*2,IF(MOD(ROW(T617),2)=1,INDEX(O:O,(ROW(T617)+1)/2),INDEX(Q:Q,ROW(T617)/2)),"")</f>
        <v>112.5</v>
      </c>
      <c r="AA617" s="22">
        <f t="array" ref="AA617">IF(ROW(AA617)&lt;=COUNTA(V:V)*2,IF(MOD(ROW(AA617),2)=1,INDEX(V:V,(ROW(AA617)+1)/2),INDEX(X:X,ROW(AA617)/2)),"")</f>
        <v>0</v>
      </c>
      <c r="AB617" s="22">
        <f t="array" ref="AB617">IF(ROW(AB617)&lt;=COUNTA(W:W)*2,IF(MOD(ROW(AB617),2)=1,INDEX(W:W,(ROW(AB617)+1)/2),INDEX(Y:Y,ROW(AB617)/2)),"")</f>
        <v>122.5</v>
      </c>
    </row>
    <row r="618" spans="1:28" x14ac:dyDescent="0.25">
      <c r="A618" s="19"/>
      <c r="B618" s="20"/>
      <c r="C618" s="21"/>
      <c r="D618" s="22"/>
      <c r="K618" s="34">
        <f t="array" ref="K618">IF(ROW(K618)&lt;=COUNTA(F:F)*2,IF(MOD(ROW(K618),2)=1,INDEX(F:F,(ROW(K618)+1)/2),INDEX(H:H,ROW(K618)/2)),"")</f>
        <v>0</v>
      </c>
      <c r="L618" s="34">
        <f t="array" ref="L618">IF(ROW(L618)&lt;=COUNTA(G:G)*2,IF(MOD(ROW(L618),2)=1,INDEX(G:G,(ROW(L618)+1)/2),INDEX(I:I,ROW(L618)/2)),"")</f>
        <v>102.5</v>
      </c>
      <c r="S618" s="21">
        <f t="array" ref="S618">IF(ROW(S618)&lt;=COUNTA(N:N)*2,IF(MOD(ROW(S618),2)=1,INDEX(N:N,(ROW(S618)+1)/2),INDEX(P:P,ROW(S618)/2)),"")</f>
        <v>0</v>
      </c>
      <c r="T618" s="21">
        <f t="array" ref="T618">IF(ROW(T618)&lt;=COUNTA(O:O)*2,IF(MOD(ROW(T618),2)=1,INDEX(O:O,(ROW(T618)+1)/2),INDEX(Q:Q,ROW(T618)/2)),"")</f>
        <v>112.5</v>
      </c>
      <c r="AA618" s="22">
        <f t="array" ref="AA618">IF(ROW(AA618)&lt;=COUNTA(V:V)*2,IF(MOD(ROW(AA618),2)=1,INDEX(V:V,(ROW(AA618)+1)/2),INDEX(X:X,ROW(AA618)/2)),"")</f>
        <v>0</v>
      </c>
      <c r="AB618" s="22">
        <f t="array" ref="AB618">IF(ROW(AB618)&lt;=COUNTA(W:W)*2,IF(MOD(ROW(AB618),2)=1,INDEX(W:W,(ROW(AB618)+1)/2),INDEX(Y:Y,ROW(AB618)/2)),"")</f>
        <v>122.5</v>
      </c>
    </row>
    <row r="619" spans="1:28" x14ac:dyDescent="0.25">
      <c r="A619" s="19"/>
      <c r="B619" s="20"/>
      <c r="C619" s="21"/>
      <c r="D619" s="22"/>
      <c r="K619" s="34">
        <f t="array" ref="K619">IF(ROW(K619)&lt;=COUNTA(F:F)*2,IF(MOD(ROW(K619),2)=1,INDEX(F:F,(ROW(K619)+1)/2),INDEX(H:H,ROW(K619)/2)),"")</f>
        <v>0</v>
      </c>
      <c r="L619" s="34">
        <f t="array" ref="L619">IF(ROW(L619)&lt;=COUNTA(G:G)*2,IF(MOD(ROW(L619),2)=1,INDEX(G:G,(ROW(L619)+1)/2),INDEX(I:I,ROW(L619)/2)),"")</f>
        <v>102.5</v>
      </c>
      <c r="S619" s="21">
        <f t="array" ref="S619">IF(ROW(S619)&lt;=COUNTA(N:N)*2,IF(MOD(ROW(S619),2)=1,INDEX(N:N,(ROW(S619)+1)/2),INDEX(P:P,ROW(S619)/2)),"")</f>
        <v>0</v>
      </c>
      <c r="T619" s="21">
        <f t="array" ref="T619">IF(ROW(T619)&lt;=COUNTA(O:O)*2,IF(MOD(ROW(T619),2)=1,INDEX(O:O,(ROW(T619)+1)/2),INDEX(Q:Q,ROW(T619)/2)),"")</f>
        <v>112.5</v>
      </c>
      <c r="AA619" s="22">
        <f t="array" ref="AA619">IF(ROW(AA619)&lt;=COUNTA(V:V)*2,IF(MOD(ROW(AA619),2)=1,INDEX(V:V,(ROW(AA619)+1)/2),INDEX(X:X,ROW(AA619)/2)),"")</f>
        <v>0</v>
      </c>
      <c r="AB619" s="22">
        <f t="array" ref="AB619">IF(ROW(AB619)&lt;=COUNTA(W:W)*2,IF(MOD(ROW(AB619),2)=1,INDEX(W:W,(ROW(AB619)+1)/2),INDEX(Y:Y,ROW(AB619)/2)),"")</f>
        <v>122.5</v>
      </c>
    </row>
    <row r="620" spans="1:28" x14ac:dyDescent="0.25">
      <c r="A620" s="19"/>
      <c r="B620" s="20"/>
      <c r="C620" s="21"/>
      <c r="D620" s="22"/>
      <c r="K620" s="34">
        <f t="array" ref="K620">IF(ROW(K620)&lt;=COUNTA(F:F)*2,IF(MOD(ROW(K620),2)=1,INDEX(F:F,(ROW(K620)+1)/2),INDEX(H:H,ROW(K620)/2)),"")</f>
        <v>0</v>
      </c>
      <c r="L620" s="34">
        <f t="array" ref="L620">IF(ROW(L620)&lt;=COUNTA(G:G)*2,IF(MOD(ROW(L620),2)=1,INDEX(G:G,(ROW(L620)+1)/2),INDEX(I:I,ROW(L620)/2)),"")</f>
        <v>102.5</v>
      </c>
      <c r="S620" s="21">
        <f t="array" ref="S620">IF(ROW(S620)&lt;=COUNTA(N:N)*2,IF(MOD(ROW(S620),2)=1,INDEX(N:N,(ROW(S620)+1)/2),INDEX(P:P,ROW(S620)/2)),"")</f>
        <v>0</v>
      </c>
      <c r="T620" s="21">
        <f t="array" ref="T620">IF(ROW(T620)&lt;=COUNTA(O:O)*2,IF(MOD(ROW(T620),2)=1,INDEX(O:O,(ROW(T620)+1)/2),INDEX(Q:Q,ROW(T620)/2)),"")</f>
        <v>112.5</v>
      </c>
      <c r="AA620" s="22">
        <f t="array" ref="AA620">IF(ROW(AA620)&lt;=COUNTA(V:V)*2,IF(MOD(ROW(AA620),2)=1,INDEX(V:V,(ROW(AA620)+1)/2),INDEX(X:X,ROW(AA620)/2)),"")</f>
        <v>0</v>
      </c>
      <c r="AB620" s="22">
        <f t="array" ref="AB620">IF(ROW(AB620)&lt;=COUNTA(W:W)*2,IF(MOD(ROW(AB620),2)=1,INDEX(W:W,(ROW(AB620)+1)/2),INDEX(Y:Y,ROW(AB620)/2)),"")</f>
        <v>122.5</v>
      </c>
    </row>
    <row r="621" spans="1:28" x14ac:dyDescent="0.25">
      <c r="A621" s="19"/>
      <c r="B621" s="20"/>
      <c r="C621" s="21"/>
      <c r="D621" s="22"/>
      <c r="K621" s="34">
        <f t="array" ref="K621">IF(ROW(K621)&lt;=COUNTA(F:F)*2,IF(MOD(ROW(K621),2)=1,INDEX(F:F,(ROW(K621)+1)/2),INDEX(H:H,ROW(K621)/2)),"")</f>
        <v>0</v>
      </c>
      <c r="L621" s="34">
        <f t="array" ref="L621">IF(ROW(L621)&lt;=COUNTA(G:G)*2,IF(MOD(ROW(L621),2)=1,INDEX(G:G,(ROW(L621)+1)/2),INDEX(I:I,ROW(L621)/2)),"")</f>
        <v>102.5</v>
      </c>
      <c r="S621" s="21">
        <f t="array" ref="S621">IF(ROW(S621)&lt;=COUNTA(N:N)*2,IF(MOD(ROW(S621),2)=1,INDEX(N:N,(ROW(S621)+1)/2),INDEX(P:P,ROW(S621)/2)),"")</f>
        <v>0</v>
      </c>
      <c r="T621" s="21">
        <f t="array" ref="T621">IF(ROW(T621)&lt;=COUNTA(O:O)*2,IF(MOD(ROW(T621),2)=1,INDEX(O:O,(ROW(T621)+1)/2),INDEX(Q:Q,ROW(T621)/2)),"")</f>
        <v>112.5</v>
      </c>
      <c r="AA621" s="22">
        <f t="array" ref="AA621">IF(ROW(AA621)&lt;=COUNTA(V:V)*2,IF(MOD(ROW(AA621),2)=1,INDEX(V:V,(ROW(AA621)+1)/2),INDEX(X:X,ROW(AA621)/2)),"")</f>
        <v>0</v>
      </c>
      <c r="AB621" s="22">
        <f t="array" ref="AB621">IF(ROW(AB621)&lt;=COUNTA(W:W)*2,IF(MOD(ROW(AB621),2)=1,INDEX(W:W,(ROW(AB621)+1)/2),INDEX(Y:Y,ROW(AB621)/2)),"")</f>
        <v>122.5</v>
      </c>
    </row>
    <row r="622" spans="1:28" x14ac:dyDescent="0.25">
      <c r="A622" s="19"/>
      <c r="B622" s="20"/>
      <c r="C622" s="21"/>
      <c r="D622" s="22"/>
      <c r="K622" s="34">
        <f t="array" ref="K622">IF(ROW(K622)&lt;=COUNTA(F:F)*2,IF(MOD(ROW(K622),2)=1,INDEX(F:F,(ROW(K622)+1)/2),INDEX(H:H,ROW(K622)/2)),"")</f>
        <v>0</v>
      </c>
      <c r="L622" s="34">
        <f t="array" ref="L622">IF(ROW(L622)&lt;=COUNTA(G:G)*2,IF(MOD(ROW(L622),2)=1,INDEX(G:G,(ROW(L622)+1)/2),INDEX(I:I,ROW(L622)/2)),"")</f>
        <v>102.5</v>
      </c>
      <c r="S622" s="21">
        <f t="array" ref="S622">IF(ROW(S622)&lt;=COUNTA(N:N)*2,IF(MOD(ROW(S622),2)=1,INDEX(N:N,(ROW(S622)+1)/2),INDEX(P:P,ROW(S622)/2)),"")</f>
        <v>0</v>
      </c>
      <c r="T622" s="21">
        <f t="array" ref="T622">IF(ROW(T622)&lt;=COUNTA(O:O)*2,IF(MOD(ROW(T622),2)=1,INDEX(O:O,(ROW(T622)+1)/2),INDEX(Q:Q,ROW(T622)/2)),"")</f>
        <v>112.5</v>
      </c>
      <c r="AA622" s="22">
        <f t="array" ref="AA622">IF(ROW(AA622)&lt;=COUNTA(V:V)*2,IF(MOD(ROW(AA622),2)=1,INDEX(V:V,(ROW(AA622)+1)/2),INDEX(X:X,ROW(AA622)/2)),"")</f>
        <v>0</v>
      </c>
      <c r="AB622" s="22">
        <f t="array" ref="AB622">IF(ROW(AB622)&lt;=COUNTA(W:W)*2,IF(MOD(ROW(AB622),2)=1,INDEX(W:W,(ROW(AB622)+1)/2),INDEX(Y:Y,ROW(AB622)/2)),"")</f>
        <v>122.5</v>
      </c>
    </row>
    <row r="623" spans="1:28" x14ac:dyDescent="0.25">
      <c r="A623" s="19"/>
      <c r="B623" s="20"/>
      <c r="C623" s="21"/>
      <c r="D623" s="22"/>
      <c r="K623" s="34">
        <f t="array" ref="K623">IF(ROW(K623)&lt;=COUNTA(F:F)*2,IF(MOD(ROW(K623),2)=1,INDEX(F:F,(ROW(K623)+1)/2),INDEX(H:H,ROW(K623)/2)),"")</f>
        <v>0</v>
      </c>
      <c r="L623" s="34">
        <f t="array" ref="L623">IF(ROW(L623)&lt;=COUNTA(G:G)*2,IF(MOD(ROW(L623),2)=1,INDEX(G:G,(ROW(L623)+1)/2),INDEX(I:I,ROW(L623)/2)),"")</f>
        <v>102.5</v>
      </c>
      <c r="S623" s="21">
        <f t="array" ref="S623">IF(ROW(S623)&lt;=COUNTA(N:N)*2,IF(MOD(ROW(S623),2)=1,INDEX(N:N,(ROW(S623)+1)/2),INDEX(P:P,ROW(S623)/2)),"")</f>
        <v>0</v>
      </c>
      <c r="T623" s="21">
        <f t="array" ref="T623">IF(ROW(T623)&lt;=COUNTA(O:O)*2,IF(MOD(ROW(T623),2)=1,INDEX(O:O,(ROW(T623)+1)/2),INDEX(Q:Q,ROW(T623)/2)),"")</f>
        <v>112.5</v>
      </c>
      <c r="AA623" s="22">
        <f t="array" ref="AA623">IF(ROW(AA623)&lt;=COUNTA(V:V)*2,IF(MOD(ROW(AA623),2)=1,INDEX(V:V,(ROW(AA623)+1)/2),INDEX(X:X,ROW(AA623)/2)),"")</f>
        <v>0</v>
      </c>
      <c r="AB623" s="22">
        <f t="array" ref="AB623">IF(ROW(AB623)&lt;=COUNTA(W:W)*2,IF(MOD(ROW(AB623),2)=1,INDEX(W:W,(ROW(AB623)+1)/2),INDEX(Y:Y,ROW(AB623)/2)),"")</f>
        <v>122.5</v>
      </c>
    </row>
    <row r="624" spans="1:28" x14ac:dyDescent="0.25">
      <c r="A624" s="19"/>
      <c r="B624" s="20"/>
      <c r="C624" s="21"/>
      <c r="D624" s="22"/>
      <c r="K624" s="34">
        <f t="array" ref="K624">IF(ROW(K624)&lt;=COUNTA(F:F)*2,IF(MOD(ROW(K624),2)=1,INDEX(F:F,(ROW(K624)+1)/2),INDEX(H:H,ROW(K624)/2)),"")</f>
        <v>0</v>
      </c>
      <c r="L624" s="34">
        <f t="array" ref="L624">IF(ROW(L624)&lt;=COUNTA(G:G)*2,IF(MOD(ROW(L624),2)=1,INDEX(G:G,(ROW(L624)+1)/2),INDEX(I:I,ROW(L624)/2)),"")</f>
        <v>102.5</v>
      </c>
      <c r="S624" s="21">
        <f t="array" ref="S624">IF(ROW(S624)&lt;=COUNTA(N:N)*2,IF(MOD(ROW(S624),2)=1,INDEX(N:N,(ROW(S624)+1)/2),INDEX(P:P,ROW(S624)/2)),"")</f>
        <v>0</v>
      </c>
      <c r="T624" s="21">
        <f t="array" ref="T624">IF(ROW(T624)&lt;=COUNTA(O:O)*2,IF(MOD(ROW(T624),2)=1,INDEX(O:O,(ROW(T624)+1)/2),INDEX(Q:Q,ROW(T624)/2)),"")</f>
        <v>112.5</v>
      </c>
      <c r="AA624" s="22">
        <f t="array" ref="AA624">IF(ROW(AA624)&lt;=COUNTA(V:V)*2,IF(MOD(ROW(AA624),2)=1,INDEX(V:V,(ROW(AA624)+1)/2),INDEX(X:X,ROW(AA624)/2)),"")</f>
        <v>0</v>
      </c>
      <c r="AB624" s="22">
        <f t="array" ref="AB624">IF(ROW(AB624)&lt;=COUNTA(W:W)*2,IF(MOD(ROW(AB624),2)=1,INDEX(W:W,(ROW(AB624)+1)/2),INDEX(Y:Y,ROW(AB624)/2)),"")</f>
        <v>122.5</v>
      </c>
    </row>
    <row r="625" spans="1:28" x14ac:dyDescent="0.25">
      <c r="A625" s="19"/>
      <c r="B625" s="20"/>
      <c r="C625" s="21"/>
      <c r="D625" s="22"/>
      <c r="K625" s="34">
        <f t="array" ref="K625">IF(ROW(K625)&lt;=COUNTA(F:F)*2,IF(MOD(ROW(K625),2)=1,INDEX(F:F,(ROW(K625)+1)/2),INDEX(H:H,ROW(K625)/2)),"")</f>
        <v>0</v>
      </c>
      <c r="L625" s="34">
        <f t="array" ref="L625">IF(ROW(L625)&lt;=COUNTA(G:G)*2,IF(MOD(ROW(L625),2)=1,INDEX(G:G,(ROW(L625)+1)/2),INDEX(I:I,ROW(L625)/2)),"")</f>
        <v>102.5</v>
      </c>
      <c r="S625" s="21">
        <f t="array" ref="S625">IF(ROW(S625)&lt;=COUNTA(N:N)*2,IF(MOD(ROW(S625),2)=1,INDEX(N:N,(ROW(S625)+1)/2),INDEX(P:P,ROW(S625)/2)),"")</f>
        <v>0</v>
      </c>
      <c r="T625" s="21">
        <f t="array" ref="T625">IF(ROW(T625)&lt;=COUNTA(O:O)*2,IF(MOD(ROW(T625),2)=1,INDEX(O:O,(ROW(T625)+1)/2),INDEX(Q:Q,ROW(T625)/2)),"")</f>
        <v>112.5</v>
      </c>
      <c r="AA625" s="22">
        <f t="array" ref="AA625">IF(ROW(AA625)&lt;=COUNTA(V:V)*2,IF(MOD(ROW(AA625),2)=1,INDEX(V:V,(ROW(AA625)+1)/2),INDEX(X:X,ROW(AA625)/2)),"")</f>
        <v>0</v>
      </c>
      <c r="AB625" s="22">
        <f t="array" ref="AB625">IF(ROW(AB625)&lt;=COUNTA(W:W)*2,IF(MOD(ROW(AB625),2)=1,INDEX(W:W,(ROW(AB625)+1)/2),INDEX(Y:Y,ROW(AB625)/2)),"")</f>
        <v>122.5</v>
      </c>
    </row>
    <row r="626" spans="1:28" x14ac:dyDescent="0.25">
      <c r="A626" s="19"/>
      <c r="B626" s="20"/>
      <c r="C626" s="21"/>
      <c r="D626" s="22"/>
      <c r="K626" s="34">
        <f t="array" ref="K626">IF(ROW(K626)&lt;=COUNTA(F:F)*2,IF(MOD(ROW(K626),2)=1,INDEX(F:F,(ROW(K626)+1)/2),INDEX(H:H,ROW(K626)/2)),"")</f>
        <v>0</v>
      </c>
      <c r="L626" s="34">
        <f t="array" ref="L626">IF(ROW(L626)&lt;=COUNTA(G:G)*2,IF(MOD(ROW(L626),2)=1,INDEX(G:G,(ROW(L626)+1)/2),INDEX(I:I,ROW(L626)/2)),"")</f>
        <v>102.5</v>
      </c>
      <c r="S626" s="21">
        <f t="array" ref="S626">IF(ROW(S626)&lt;=COUNTA(N:N)*2,IF(MOD(ROW(S626),2)=1,INDEX(N:N,(ROW(S626)+1)/2),INDEX(P:P,ROW(S626)/2)),"")</f>
        <v>0</v>
      </c>
      <c r="T626" s="21">
        <f t="array" ref="T626">IF(ROW(T626)&lt;=COUNTA(O:O)*2,IF(MOD(ROW(T626),2)=1,INDEX(O:O,(ROW(T626)+1)/2),INDEX(Q:Q,ROW(T626)/2)),"")</f>
        <v>112.5</v>
      </c>
      <c r="AA626" s="22">
        <f t="array" ref="AA626">IF(ROW(AA626)&lt;=COUNTA(V:V)*2,IF(MOD(ROW(AA626),2)=1,INDEX(V:V,(ROW(AA626)+1)/2),INDEX(X:X,ROW(AA626)/2)),"")</f>
        <v>0</v>
      </c>
      <c r="AB626" s="22">
        <f t="array" ref="AB626">IF(ROW(AB626)&lt;=COUNTA(W:W)*2,IF(MOD(ROW(AB626),2)=1,INDEX(W:W,(ROW(AB626)+1)/2),INDEX(Y:Y,ROW(AB626)/2)),"")</f>
        <v>122.5</v>
      </c>
    </row>
    <row r="627" spans="1:28" x14ac:dyDescent="0.25">
      <c r="A627" s="19"/>
      <c r="B627" s="20"/>
      <c r="C627" s="21"/>
      <c r="D627" s="22"/>
      <c r="K627" s="34">
        <f t="array" ref="K627">IF(ROW(K627)&lt;=COUNTA(F:F)*2,IF(MOD(ROW(K627),2)=1,INDEX(F:F,(ROW(K627)+1)/2),INDEX(H:H,ROW(K627)/2)),"")</f>
        <v>0</v>
      </c>
      <c r="L627" s="34">
        <f t="array" ref="L627">IF(ROW(L627)&lt;=COUNTA(G:G)*2,IF(MOD(ROW(L627),2)=1,INDEX(G:G,(ROW(L627)+1)/2),INDEX(I:I,ROW(L627)/2)),"")</f>
        <v>102.5</v>
      </c>
      <c r="S627" s="21">
        <f t="array" ref="S627">IF(ROW(S627)&lt;=COUNTA(N:N)*2,IF(MOD(ROW(S627),2)=1,INDEX(N:N,(ROW(S627)+1)/2),INDEX(P:P,ROW(S627)/2)),"")</f>
        <v>0</v>
      </c>
      <c r="T627" s="21">
        <f t="array" ref="T627">IF(ROW(T627)&lt;=COUNTA(O:O)*2,IF(MOD(ROW(T627),2)=1,INDEX(O:O,(ROW(T627)+1)/2),INDEX(Q:Q,ROW(T627)/2)),"")</f>
        <v>112.5</v>
      </c>
      <c r="AA627" s="22">
        <f t="array" ref="AA627">IF(ROW(AA627)&lt;=COUNTA(V:V)*2,IF(MOD(ROW(AA627),2)=1,INDEX(V:V,(ROW(AA627)+1)/2),INDEX(X:X,ROW(AA627)/2)),"")</f>
        <v>0</v>
      </c>
      <c r="AB627" s="22">
        <f t="array" ref="AB627">IF(ROW(AB627)&lt;=COUNTA(W:W)*2,IF(MOD(ROW(AB627),2)=1,INDEX(W:W,(ROW(AB627)+1)/2),INDEX(Y:Y,ROW(AB627)/2)),"")</f>
        <v>122.5</v>
      </c>
    </row>
    <row r="628" spans="1:28" x14ac:dyDescent="0.25">
      <c r="A628" s="19"/>
      <c r="B628" s="20"/>
      <c r="C628" s="21"/>
      <c r="D628" s="22"/>
      <c r="K628" s="34">
        <f t="array" ref="K628">IF(ROW(K628)&lt;=COUNTA(F:F)*2,IF(MOD(ROW(K628),2)=1,INDEX(F:F,(ROW(K628)+1)/2),INDEX(H:H,ROW(K628)/2)),"")</f>
        <v>0</v>
      </c>
      <c r="L628" s="34">
        <f t="array" ref="L628">IF(ROW(L628)&lt;=COUNTA(G:G)*2,IF(MOD(ROW(L628),2)=1,INDEX(G:G,(ROW(L628)+1)/2),INDEX(I:I,ROW(L628)/2)),"")</f>
        <v>102.5</v>
      </c>
      <c r="S628" s="21">
        <f t="array" ref="S628">IF(ROW(S628)&lt;=COUNTA(N:N)*2,IF(MOD(ROW(S628),2)=1,INDEX(N:N,(ROW(S628)+1)/2),INDEX(P:P,ROW(S628)/2)),"")</f>
        <v>0</v>
      </c>
      <c r="T628" s="21">
        <f t="array" ref="T628">IF(ROW(T628)&lt;=COUNTA(O:O)*2,IF(MOD(ROW(T628),2)=1,INDEX(O:O,(ROW(T628)+1)/2),INDEX(Q:Q,ROW(T628)/2)),"")</f>
        <v>112.5</v>
      </c>
      <c r="AA628" s="22">
        <f t="array" ref="AA628">IF(ROW(AA628)&lt;=COUNTA(V:V)*2,IF(MOD(ROW(AA628),2)=1,INDEX(V:V,(ROW(AA628)+1)/2),INDEX(X:X,ROW(AA628)/2)),"")</f>
        <v>0</v>
      </c>
      <c r="AB628" s="22">
        <f t="array" ref="AB628">IF(ROW(AB628)&lt;=COUNTA(W:W)*2,IF(MOD(ROW(AB628),2)=1,INDEX(W:W,(ROW(AB628)+1)/2),INDEX(Y:Y,ROW(AB628)/2)),"")</f>
        <v>122.5</v>
      </c>
    </row>
    <row r="629" spans="1:28" x14ac:dyDescent="0.25">
      <c r="A629" s="19"/>
      <c r="B629" s="20"/>
      <c r="C629" s="21"/>
      <c r="D629" s="22"/>
      <c r="K629" s="34">
        <f t="array" ref="K629">IF(ROW(K629)&lt;=COUNTA(F:F)*2,IF(MOD(ROW(K629),2)=1,INDEX(F:F,(ROW(K629)+1)/2),INDEX(H:H,ROW(K629)/2)),"")</f>
        <v>0</v>
      </c>
      <c r="L629" s="34">
        <f t="array" ref="L629">IF(ROW(L629)&lt;=COUNTA(G:G)*2,IF(MOD(ROW(L629),2)=1,INDEX(G:G,(ROW(L629)+1)/2),INDEX(I:I,ROW(L629)/2)),"")</f>
        <v>102.5</v>
      </c>
      <c r="S629" s="21">
        <f t="array" ref="S629">IF(ROW(S629)&lt;=COUNTA(N:N)*2,IF(MOD(ROW(S629),2)=1,INDEX(N:N,(ROW(S629)+1)/2),INDEX(P:P,ROW(S629)/2)),"")</f>
        <v>0</v>
      </c>
      <c r="T629" s="21">
        <f t="array" ref="T629">IF(ROW(T629)&lt;=COUNTA(O:O)*2,IF(MOD(ROW(T629),2)=1,INDEX(O:O,(ROW(T629)+1)/2),INDEX(Q:Q,ROW(T629)/2)),"")</f>
        <v>112.5</v>
      </c>
      <c r="AA629" s="22">
        <f t="array" ref="AA629">IF(ROW(AA629)&lt;=COUNTA(V:V)*2,IF(MOD(ROW(AA629),2)=1,INDEX(V:V,(ROW(AA629)+1)/2),INDEX(X:X,ROW(AA629)/2)),"")</f>
        <v>0</v>
      </c>
      <c r="AB629" s="22">
        <f t="array" ref="AB629">IF(ROW(AB629)&lt;=COUNTA(W:W)*2,IF(MOD(ROW(AB629),2)=1,INDEX(W:W,(ROW(AB629)+1)/2),INDEX(Y:Y,ROW(AB629)/2)),"")</f>
        <v>122.5</v>
      </c>
    </row>
    <row r="630" spans="1:28" x14ac:dyDescent="0.25">
      <c r="A630" s="19"/>
      <c r="B630" s="20"/>
      <c r="C630" s="21"/>
      <c r="D630" s="22"/>
      <c r="K630" s="34">
        <f t="array" ref="K630">IF(ROW(K630)&lt;=COUNTA(F:F)*2,IF(MOD(ROW(K630),2)=1,INDEX(F:F,(ROW(K630)+1)/2),INDEX(H:H,ROW(K630)/2)),"")</f>
        <v>0</v>
      </c>
      <c r="L630" s="34">
        <f t="array" ref="L630">IF(ROW(L630)&lt;=COUNTA(G:G)*2,IF(MOD(ROW(L630),2)=1,INDEX(G:G,(ROW(L630)+1)/2),INDEX(I:I,ROW(L630)/2)),"")</f>
        <v>102.5</v>
      </c>
      <c r="S630" s="21">
        <f t="array" ref="S630">IF(ROW(S630)&lt;=COUNTA(N:N)*2,IF(MOD(ROW(S630),2)=1,INDEX(N:N,(ROW(S630)+1)/2),INDEX(P:P,ROW(S630)/2)),"")</f>
        <v>0</v>
      </c>
      <c r="T630" s="21">
        <f t="array" ref="T630">IF(ROW(T630)&lt;=COUNTA(O:O)*2,IF(MOD(ROW(T630),2)=1,INDEX(O:O,(ROW(T630)+1)/2),INDEX(Q:Q,ROW(T630)/2)),"")</f>
        <v>112.5</v>
      </c>
      <c r="AA630" s="22">
        <f t="array" ref="AA630">IF(ROW(AA630)&lt;=COUNTA(V:V)*2,IF(MOD(ROW(AA630),2)=1,INDEX(V:V,(ROW(AA630)+1)/2),INDEX(X:X,ROW(AA630)/2)),"")</f>
        <v>0</v>
      </c>
      <c r="AB630" s="22">
        <f t="array" ref="AB630">IF(ROW(AB630)&lt;=COUNTA(W:W)*2,IF(MOD(ROW(AB630),2)=1,INDEX(W:W,(ROW(AB630)+1)/2),INDEX(Y:Y,ROW(AB630)/2)),"")</f>
        <v>122.5</v>
      </c>
    </row>
    <row r="631" spans="1:28" x14ac:dyDescent="0.25">
      <c r="A631" s="19"/>
      <c r="B631" s="20"/>
      <c r="C631" s="21"/>
      <c r="D631" s="22"/>
      <c r="K631" s="34">
        <f t="array" ref="K631">IF(ROW(K631)&lt;=COUNTA(F:F)*2,IF(MOD(ROW(K631),2)=1,INDEX(F:F,(ROW(K631)+1)/2),INDEX(H:H,ROW(K631)/2)),"")</f>
        <v>0</v>
      </c>
      <c r="L631" s="34">
        <f t="array" ref="L631">IF(ROW(L631)&lt;=COUNTA(G:G)*2,IF(MOD(ROW(L631),2)=1,INDEX(G:G,(ROW(L631)+1)/2),INDEX(I:I,ROW(L631)/2)),"")</f>
        <v>102.5</v>
      </c>
      <c r="S631" s="21">
        <f t="array" ref="S631">IF(ROW(S631)&lt;=COUNTA(N:N)*2,IF(MOD(ROW(S631),2)=1,INDEX(N:N,(ROW(S631)+1)/2),INDEX(P:P,ROW(S631)/2)),"")</f>
        <v>0</v>
      </c>
      <c r="T631" s="21">
        <f t="array" ref="T631">IF(ROW(T631)&lt;=COUNTA(O:O)*2,IF(MOD(ROW(T631),2)=1,INDEX(O:O,(ROW(T631)+1)/2),INDEX(Q:Q,ROW(T631)/2)),"")</f>
        <v>112.5</v>
      </c>
      <c r="AA631" s="22">
        <f t="array" ref="AA631">IF(ROW(AA631)&lt;=COUNTA(V:V)*2,IF(MOD(ROW(AA631),2)=1,INDEX(V:V,(ROW(AA631)+1)/2),INDEX(X:X,ROW(AA631)/2)),"")</f>
        <v>0</v>
      </c>
      <c r="AB631" s="22">
        <f t="array" ref="AB631">IF(ROW(AB631)&lt;=COUNTA(W:W)*2,IF(MOD(ROW(AB631),2)=1,INDEX(W:W,(ROW(AB631)+1)/2),INDEX(Y:Y,ROW(AB631)/2)),"")</f>
        <v>122.5</v>
      </c>
    </row>
    <row r="632" spans="1:28" x14ac:dyDescent="0.25">
      <c r="A632" s="19"/>
      <c r="B632" s="20"/>
      <c r="C632" s="21"/>
      <c r="D632" s="22"/>
      <c r="K632" s="34">
        <f t="array" ref="K632">IF(ROW(K632)&lt;=COUNTA(F:F)*2,IF(MOD(ROW(K632),2)=1,INDEX(F:F,(ROW(K632)+1)/2),INDEX(H:H,ROW(K632)/2)),"")</f>
        <v>0</v>
      </c>
      <c r="L632" s="34">
        <f t="array" ref="L632">IF(ROW(L632)&lt;=COUNTA(G:G)*2,IF(MOD(ROW(L632),2)=1,INDEX(G:G,(ROW(L632)+1)/2),INDEX(I:I,ROW(L632)/2)),"")</f>
        <v>102.5</v>
      </c>
      <c r="S632" s="21">
        <f t="array" ref="S632">IF(ROW(S632)&lt;=COUNTA(N:N)*2,IF(MOD(ROW(S632),2)=1,INDEX(N:N,(ROW(S632)+1)/2),INDEX(P:P,ROW(S632)/2)),"")</f>
        <v>0</v>
      </c>
      <c r="T632" s="21">
        <f t="array" ref="T632">IF(ROW(T632)&lt;=COUNTA(O:O)*2,IF(MOD(ROW(T632),2)=1,INDEX(O:O,(ROW(T632)+1)/2),INDEX(Q:Q,ROW(T632)/2)),"")</f>
        <v>112.5</v>
      </c>
      <c r="AA632" s="22">
        <f t="array" ref="AA632">IF(ROW(AA632)&lt;=COUNTA(V:V)*2,IF(MOD(ROW(AA632),2)=1,INDEX(V:V,(ROW(AA632)+1)/2),INDEX(X:X,ROW(AA632)/2)),"")</f>
        <v>0</v>
      </c>
      <c r="AB632" s="22">
        <f t="array" ref="AB632">IF(ROW(AB632)&lt;=COUNTA(W:W)*2,IF(MOD(ROW(AB632),2)=1,INDEX(W:W,(ROW(AB632)+1)/2),INDEX(Y:Y,ROW(AB632)/2)),"")</f>
        <v>122.5</v>
      </c>
    </row>
    <row r="633" spans="1:28" x14ac:dyDescent="0.25">
      <c r="A633" s="19"/>
      <c r="B633" s="20"/>
      <c r="C633" s="21"/>
      <c r="D633" s="22"/>
      <c r="K633" s="34">
        <f t="array" ref="K633">IF(ROW(K633)&lt;=COUNTA(F:F)*2,IF(MOD(ROW(K633),2)=1,INDEX(F:F,(ROW(K633)+1)/2),INDEX(H:H,ROW(K633)/2)),"")</f>
        <v>0</v>
      </c>
      <c r="L633" s="34">
        <f t="array" ref="L633">IF(ROW(L633)&lt;=COUNTA(G:G)*2,IF(MOD(ROW(L633),2)=1,INDEX(G:G,(ROW(L633)+1)/2),INDEX(I:I,ROW(L633)/2)),"")</f>
        <v>102.5</v>
      </c>
      <c r="S633" s="21">
        <f t="array" ref="S633">IF(ROW(S633)&lt;=COUNTA(N:N)*2,IF(MOD(ROW(S633),2)=1,INDEX(N:N,(ROW(S633)+1)/2),INDEX(P:P,ROW(S633)/2)),"")</f>
        <v>0</v>
      </c>
      <c r="T633" s="21">
        <f t="array" ref="T633">IF(ROW(T633)&lt;=COUNTA(O:O)*2,IF(MOD(ROW(T633),2)=1,INDEX(O:O,(ROW(T633)+1)/2),INDEX(Q:Q,ROW(T633)/2)),"")</f>
        <v>112.5</v>
      </c>
      <c r="AA633" s="22">
        <f t="array" ref="AA633">IF(ROW(AA633)&lt;=COUNTA(V:V)*2,IF(MOD(ROW(AA633),2)=1,INDEX(V:V,(ROW(AA633)+1)/2),INDEX(X:X,ROW(AA633)/2)),"")</f>
        <v>0</v>
      </c>
      <c r="AB633" s="22">
        <f t="array" ref="AB633">IF(ROW(AB633)&lt;=COUNTA(W:W)*2,IF(MOD(ROW(AB633),2)=1,INDEX(W:W,(ROW(AB633)+1)/2),INDEX(Y:Y,ROW(AB633)/2)),"")</f>
        <v>122.5</v>
      </c>
    </row>
    <row r="634" spans="1:28" x14ac:dyDescent="0.25">
      <c r="A634" s="19"/>
      <c r="B634" s="20"/>
      <c r="C634" s="21"/>
      <c r="D634" s="22"/>
      <c r="K634" s="34">
        <f t="array" ref="K634">IF(ROW(K634)&lt;=COUNTA(F:F)*2,IF(MOD(ROW(K634),2)=1,INDEX(F:F,(ROW(K634)+1)/2),INDEX(H:H,ROW(K634)/2)),"")</f>
        <v>0</v>
      </c>
      <c r="L634" s="34">
        <f t="array" ref="L634">IF(ROW(L634)&lt;=COUNTA(G:G)*2,IF(MOD(ROW(L634),2)=1,INDEX(G:G,(ROW(L634)+1)/2),INDEX(I:I,ROW(L634)/2)),"")</f>
        <v>102.5</v>
      </c>
      <c r="S634" s="21">
        <f t="array" ref="S634">IF(ROW(S634)&lt;=COUNTA(N:N)*2,IF(MOD(ROW(S634),2)=1,INDEX(N:N,(ROW(S634)+1)/2),INDEX(P:P,ROW(S634)/2)),"")</f>
        <v>0</v>
      </c>
      <c r="T634" s="21">
        <f t="array" ref="T634">IF(ROW(T634)&lt;=COUNTA(O:O)*2,IF(MOD(ROW(T634),2)=1,INDEX(O:O,(ROW(T634)+1)/2),INDEX(Q:Q,ROW(T634)/2)),"")</f>
        <v>112.5</v>
      </c>
      <c r="AA634" s="22">
        <f t="array" ref="AA634">IF(ROW(AA634)&lt;=COUNTA(V:V)*2,IF(MOD(ROW(AA634),2)=1,INDEX(V:V,(ROW(AA634)+1)/2),INDEX(X:X,ROW(AA634)/2)),"")</f>
        <v>0</v>
      </c>
      <c r="AB634" s="22">
        <f t="array" ref="AB634">IF(ROW(AB634)&lt;=COUNTA(W:W)*2,IF(MOD(ROW(AB634),2)=1,INDEX(W:W,(ROW(AB634)+1)/2),INDEX(Y:Y,ROW(AB634)/2)),"")</f>
        <v>122.5</v>
      </c>
    </row>
    <row r="635" spans="1:28" x14ac:dyDescent="0.25">
      <c r="A635" s="19"/>
      <c r="B635" s="20"/>
      <c r="C635" s="21"/>
      <c r="D635" s="22"/>
      <c r="K635" s="34">
        <f t="array" ref="K635">IF(ROW(K635)&lt;=COUNTA(F:F)*2,IF(MOD(ROW(K635),2)=1,INDEX(F:F,(ROW(K635)+1)/2),INDEX(H:H,ROW(K635)/2)),"")</f>
        <v>0</v>
      </c>
      <c r="L635" s="34">
        <f t="array" ref="L635">IF(ROW(L635)&lt;=COUNTA(G:G)*2,IF(MOD(ROW(L635),2)=1,INDEX(G:G,(ROW(L635)+1)/2),INDEX(I:I,ROW(L635)/2)),"")</f>
        <v>102.5</v>
      </c>
      <c r="S635" s="21">
        <f t="array" ref="S635">IF(ROW(S635)&lt;=COUNTA(N:N)*2,IF(MOD(ROW(S635),2)=1,INDEX(N:N,(ROW(S635)+1)/2),INDEX(P:P,ROW(S635)/2)),"")</f>
        <v>0</v>
      </c>
      <c r="T635" s="21">
        <f t="array" ref="T635">IF(ROW(T635)&lt;=COUNTA(O:O)*2,IF(MOD(ROW(T635),2)=1,INDEX(O:O,(ROW(T635)+1)/2),INDEX(Q:Q,ROW(T635)/2)),"")</f>
        <v>112.5</v>
      </c>
      <c r="AA635" s="22">
        <f t="array" ref="AA635">IF(ROW(AA635)&lt;=COUNTA(V:V)*2,IF(MOD(ROW(AA635),2)=1,INDEX(V:V,(ROW(AA635)+1)/2),INDEX(X:X,ROW(AA635)/2)),"")</f>
        <v>0</v>
      </c>
      <c r="AB635" s="22">
        <f t="array" ref="AB635">IF(ROW(AB635)&lt;=COUNTA(W:W)*2,IF(MOD(ROW(AB635),2)=1,INDEX(W:W,(ROW(AB635)+1)/2),INDEX(Y:Y,ROW(AB635)/2)),"")</f>
        <v>122.5</v>
      </c>
    </row>
    <row r="636" spans="1:28" x14ac:dyDescent="0.25">
      <c r="A636" s="19"/>
      <c r="B636" s="20"/>
      <c r="C636" s="21"/>
      <c r="D636" s="22"/>
      <c r="K636" s="34">
        <f t="array" ref="K636">IF(ROW(K636)&lt;=COUNTA(F:F)*2,IF(MOD(ROW(K636),2)=1,INDEX(F:F,(ROW(K636)+1)/2),INDEX(H:H,ROW(K636)/2)),"")</f>
        <v>0</v>
      </c>
      <c r="L636" s="34">
        <f t="array" ref="L636">IF(ROW(L636)&lt;=COUNTA(G:G)*2,IF(MOD(ROW(L636),2)=1,INDEX(G:G,(ROW(L636)+1)/2),INDEX(I:I,ROW(L636)/2)),"")</f>
        <v>102.5</v>
      </c>
      <c r="S636" s="21">
        <f t="array" ref="S636">IF(ROW(S636)&lt;=COUNTA(N:N)*2,IF(MOD(ROW(S636),2)=1,INDEX(N:N,(ROW(S636)+1)/2),INDEX(P:P,ROW(S636)/2)),"")</f>
        <v>0</v>
      </c>
      <c r="T636" s="21">
        <f t="array" ref="T636">IF(ROW(T636)&lt;=COUNTA(O:O)*2,IF(MOD(ROW(T636),2)=1,INDEX(O:O,(ROW(T636)+1)/2),INDEX(Q:Q,ROW(T636)/2)),"")</f>
        <v>112.5</v>
      </c>
      <c r="AA636" s="22">
        <f t="array" ref="AA636">IF(ROW(AA636)&lt;=COUNTA(V:V)*2,IF(MOD(ROW(AA636),2)=1,INDEX(V:V,(ROW(AA636)+1)/2),INDEX(X:X,ROW(AA636)/2)),"")</f>
        <v>0</v>
      </c>
      <c r="AB636" s="22">
        <f t="array" ref="AB636">IF(ROW(AB636)&lt;=COUNTA(W:W)*2,IF(MOD(ROW(AB636),2)=1,INDEX(W:W,(ROW(AB636)+1)/2),INDEX(Y:Y,ROW(AB636)/2)),"")</f>
        <v>122.5</v>
      </c>
    </row>
    <row r="637" spans="1:28" x14ac:dyDescent="0.25">
      <c r="A637" s="19"/>
      <c r="B637" s="20"/>
      <c r="C637" s="21"/>
      <c r="D637" s="22"/>
      <c r="K637" s="34">
        <f t="array" ref="K637">IF(ROW(K637)&lt;=COUNTA(F:F)*2,IF(MOD(ROW(K637),2)=1,INDEX(F:F,(ROW(K637)+1)/2),INDEX(H:H,ROW(K637)/2)),"")</f>
        <v>0</v>
      </c>
      <c r="L637" s="34">
        <f t="array" ref="L637">IF(ROW(L637)&lt;=COUNTA(G:G)*2,IF(MOD(ROW(L637),2)=1,INDEX(G:G,(ROW(L637)+1)/2),INDEX(I:I,ROW(L637)/2)),"")</f>
        <v>102.5</v>
      </c>
      <c r="S637" s="21">
        <f t="array" ref="S637">IF(ROW(S637)&lt;=COUNTA(N:N)*2,IF(MOD(ROW(S637),2)=1,INDEX(N:N,(ROW(S637)+1)/2),INDEX(P:P,ROW(S637)/2)),"")</f>
        <v>0</v>
      </c>
      <c r="T637" s="21">
        <f t="array" ref="T637">IF(ROW(T637)&lt;=COUNTA(O:O)*2,IF(MOD(ROW(T637),2)=1,INDEX(O:O,(ROW(T637)+1)/2),INDEX(Q:Q,ROW(T637)/2)),"")</f>
        <v>112.5</v>
      </c>
      <c r="AA637" s="22">
        <f t="array" ref="AA637">IF(ROW(AA637)&lt;=COUNTA(V:V)*2,IF(MOD(ROW(AA637),2)=1,INDEX(V:V,(ROW(AA637)+1)/2),INDEX(X:X,ROW(AA637)/2)),"")</f>
        <v>0</v>
      </c>
      <c r="AB637" s="22">
        <f t="array" ref="AB637">IF(ROW(AB637)&lt;=COUNTA(W:W)*2,IF(MOD(ROW(AB637),2)=1,INDEX(W:W,(ROW(AB637)+1)/2),INDEX(Y:Y,ROW(AB637)/2)),"")</f>
        <v>122.5</v>
      </c>
    </row>
    <row r="638" spans="1:28" x14ac:dyDescent="0.25">
      <c r="A638" s="19"/>
      <c r="B638" s="20"/>
      <c r="C638" s="21"/>
      <c r="D638" s="22"/>
      <c r="K638" s="34">
        <f t="array" ref="K638">IF(ROW(K638)&lt;=COUNTA(F:F)*2,IF(MOD(ROW(K638),2)=1,INDEX(F:F,(ROW(K638)+1)/2),INDEX(H:H,ROW(K638)/2)),"")</f>
        <v>0</v>
      </c>
      <c r="L638" s="34">
        <f t="array" ref="L638">IF(ROW(L638)&lt;=COUNTA(G:G)*2,IF(MOD(ROW(L638),2)=1,INDEX(G:G,(ROW(L638)+1)/2),INDEX(I:I,ROW(L638)/2)),"")</f>
        <v>102.5</v>
      </c>
      <c r="S638" s="21">
        <f t="array" ref="S638">IF(ROW(S638)&lt;=COUNTA(N:N)*2,IF(MOD(ROW(S638),2)=1,INDEX(N:N,(ROW(S638)+1)/2),INDEX(P:P,ROW(S638)/2)),"")</f>
        <v>0</v>
      </c>
      <c r="T638" s="21">
        <f t="array" ref="T638">IF(ROW(T638)&lt;=COUNTA(O:O)*2,IF(MOD(ROW(T638),2)=1,INDEX(O:O,(ROW(T638)+1)/2),INDEX(Q:Q,ROW(T638)/2)),"")</f>
        <v>112.5</v>
      </c>
      <c r="AA638" s="22">
        <f t="array" ref="AA638">IF(ROW(AA638)&lt;=COUNTA(V:V)*2,IF(MOD(ROW(AA638),2)=1,INDEX(V:V,(ROW(AA638)+1)/2),INDEX(X:X,ROW(AA638)/2)),"")</f>
        <v>0</v>
      </c>
      <c r="AB638" s="22">
        <f t="array" ref="AB638">IF(ROW(AB638)&lt;=COUNTA(W:W)*2,IF(MOD(ROW(AB638),2)=1,INDEX(W:W,(ROW(AB638)+1)/2),INDEX(Y:Y,ROW(AB638)/2)),"")</f>
        <v>122.5</v>
      </c>
    </row>
    <row r="639" spans="1:28" x14ac:dyDescent="0.25">
      <c r="A639" s="19"/>
      <c r="B639" s="20"/>
      <c r="C639" s="21"/>
      <c r="D639" s="22"/>
      <c r="K639" s="34">
        <f t="array" ref="K639">IF(ROW(K639)&lt;=COUNTA(F:F)*2,IF(MOD(ROW(K639),2)=1,INDEX(F:F,(ROW(K639)+1)/2),INDEX(H:H,ROW(K639)/2)),"")</f>
        <v>0</v>
      </c>
      <c r="L639" s="34">
        <f t="array" ref="L639">IF(ROW(L639)&lt;=COUNTA(G:G)*2,IF(MOD(ROW(L639),2)=1,INDEX(G:G,(ROW(L639)+1)/2),INDEX(I:I,ROW(L639)/2)),"")</f>
        <v>102.5</v>
      </c>
      <c r="S639" s="21">
        <f t="array" ref="S639">IF(ROW(S639)&lt;=COUNTA(N:N)*2,IF(MOD(ROW(S639),2)=1,INDEX(N:N,(ROW(S639)+1)/2),INDEX(P:P,ROW(S639)/2)),"")</f>
        <v>0</v>
      </c>
      <c r="T639" s="21">
        <f t="array" ref="T639">IF(ROW(T639)&lt;=COUNTA(O:O)*2,IF(MOD(ROW(T639),2)=1,INDEX(O:O,(ROW(T639)+1)/2),INDEX(Q:Q,ROW(T639)/2)),"")</f>
        <v>112.5</v>
      </c>
      <c r="AA639" s="22">
        <f t="array" ref="AA639">IF(ROW(AA639)&lt;=COUNTA(V:V)*2,IF(MOD(ROW(AA639),2)=1,INDEX(V:V,(ROW(AA639)+1)/2),INDEX(X:X,ROW(AA639)/2)),"")</f>
        <v>0</v>
      </c>
      <c r="AB639" s="22">
        <f t="array" ref="AB639">IF(ROW(AB639)&lt;=COUNTA(W:W)*2,IF(MOD(ROW(AB639),2)=1,INDEX(W:W,(ROW(AB639)+1)/2),INDEX(Y:Y,ROW(AB639)/2)),"")</f>
        <v>122.5</v>
      </c>
    </row>
    <row r="640" spans="1:28" x14ac:dyDescent="0.25">
      <c r="A640" s="19"/>
      <c r="B640" s="20"/>
      <c r="C640" s="21"/>
      <c r="D640" s="22"/>
      <c r="K640" s="34">
        <f t="array" ref="K640">IF(ROW(K640)&lt;=COUNTA(F:F)*2,IF(MOD(ROW(K640),2)=1,INDEX(F:F,(ROW(K640)+1)/2),INDEX(H:H,ROW(K640)/2)),"")</f>
        <v>0</v>
      </c>
      <c r="L640" s="34">
        <f t="array" ref="L640">IF(ROW(L640)&lt;=COUNTA(G:G)*2,IF(MOD(ROW(L640),2)=1,INDEX(G:G,(ROW(L640)+1)/2),INDEX(I:I,ROW(L640)/2)),"")</f>
        <v>102.5</v>
      </c>
      <c r="S640" s="21">
        <f t="array" ref="S640">IF(ROW(S640)&lt;=COUNTA(N:N)*2,IF(MOD(ROW(S640),2)=1,INDEX(N:N,(ROW(S640)+1)/2),INDEX(P:P,ROW(S640)/2)),"")</f>
        <v>0</v>
      </c>
      <c r="T640" s="21">
        <f t="array" ref="T640">IF(ROW(T640)&lt;=COUNTA(O:O)*2,IF(MOD(ROW(T640),2)=1,INDEX(O:O,(ROW(T640)+1)/2),INDEX(Q:Q,ROW(T640)/2)),"")</f>
        <v>112.5</v>
      </c>
      <c r="AA640" s="22">
        <f t="array" ref="AA640">IF(ROW(AA640)&lt;=COUNTA(V:V)*2,IF(MOD(ROW(AA640),2)=1,INDEX(V:V,(ROW(AA640)+1)/2),INDEX(X:X,ROW(AA640)/2)),"")</f>
        <v>0</v>
      </c>
      <c r="AB640" s="22">
        <f t="array" ref="AB640">IF(ROW(AB640)&lt;=COUNTA(W:W)*2,IF(MOD(ROW(AB640),2)=1,INDEX(W:W,(ROW(AB640)+1)/2),INDEX(Y:Y,ROW(AB640)/2)),"")</f>
        <v>122.5</v>
      </c>
    </row>
    <row r="641" spans="1:28" x14ac:dyDescent="0.25">
      <c r="A641" s="19"/>
      <c r="B641" s="20"/>
      <c r="C641" s="21"/>
      <c r="D641" s="22"/>
      <c r="K641" s="34">
        <f t="array" ref="K641">IF(ROW(K641)&lt;=COUNTA(F:F)*2,IF(MOD(ROW(K641),2)=1,INDEX(F:F,(ROW(K641)+1)/2),INDEX(H:H,ROW(K641)/2)),"")</f>
        <v>0</v>
      </c>
      <c r="L641" s="34">
        <f t="array" ref="L641">IF(ROW(L641)&lt;=COUNTA(G:G)*2,IF(MOD(ROW(L641),2)=1,INDEX(G:G,(ROW(L641)+1)/2),INDEX(I:I,ROW(L641)/2)),"")</f>
        <v>102.5</v>
      </c>
      <c r="S641" s="21">
        <f t="array" ref="S641">IF(ROW(S641)&lt;=COUNTA(N:N)*2,IF(MOD(ROW(S641),2)=1,INDEX(N:N,(ROW(S641)+1)/2),INDEX(P:P,ROW(S641)/2)),"")</f>
        <v>0</v>
      </c>
      <c r="T641" s="21">
        <f t="array" ref="T641">IF(ROW(T641)&lt;=COUNTA(O:O)*2,IF(MOD(ROW(T641),2)=1,INDEX(O:O,(ROW(T641)+1)/2),INDEX(Q:Q,ROW(T641)/2)),"")</f>
        <v>112.5</v>
      </c>
      <c r="AA641" s="22">
        <f t="array" ref="AA641">IF(ROW(AA641)&lt;=COUNTA(V:V)*2,IF(MOD(ROW(AA641),2)=1,INDEX(V:V,(ROW(AA641)+1)/2),INDEX(X:X,ROW(AA641)/2)),"")</f>
        <v>0</v>
      </c>
      <c r="AB641" s="22">
        <f t="array" ref="AB641">IF(ROW(AB641)&lt;=COUNTA(W:W)*2,IF(MOD(ROW(AB641),2)=1,INDEX(W:W,(ROW(AB641)+1)/2),INDEX(Y:Y,ROW(AB641)/2)),"")</f>
        <v>122.5</v>
      </c>
    </row>
    <row r="642" spans="1:28" x14ac:dyDescent="0.25">
      <c r="A642" s="19"/>
      <c r="B642" s="20"/>
      <c r="C642" s="21"/>
      <c r="D642" s="22"/>
      <c r="K642" s="34">
        <f t="array" ref="K642">IF(ROW(K642)&lt;=COUNTA(F:F)*2,IF(MOD(ROW(K642),2)=1,INDEX(F:F,(ROW(K642)+1)/2),INDEX(H:H,ROW(K642)/2)),"")</f>
        <v>0</v>
      </c>
      <c r="L642" s="34">
        <f t="array" ref="L642">IF(ROW(L642)&lt;=COUNTA(G:G)*2,IF(MOD(ROW(L642),2)=1,INDEX(G:G,(ROW(L642)+1)/2),INDEX(I:I,ROW(L642)/2)),"")</f>
        <v>102.5</v>
      </c>
      <c r="S642" s="21">
        <f t="array" ref="S642">IF(ROW(S642)&lt;=COUNTA(N:N)*2,IF(MOD(ROW(S642),2)=1,INDEX(N:N,(ROW(S642)+1)/2),INDEX(P:P,ROW(S642)/2)),"")</f>
        <v>0</v>
      </c>
      <c r="T642" s="21">
        <f t="array" ref="T642">IF(ROW(T642)&lt;=COUNTA(O:O)*2,IF(MOD(ROW(T642),2)=1,INDEX(O:O,(ROW(T642)+1)/2),INDEX(Q:Q,ROW(T642)/2)),"")</f>
        <v>112.5</v>
      </c>
      <c r="AA642" s="22">
        <f t="array" ref="AA642">IF(ROW(AA642)&lt;=COUNTA(V:V)*2,IF(MOD(ROW(AA642),2)=1,INDEX(V:V,(ROW(AA642)+1)/2),INDEX(X:X,ROW(AA642)/2)),"")</f>
        <v>0</v>
      </c>
      <c r="AB642" s="22">
        <f t="array" ref="AB642">IF(ROW(AB642)&lt;=COUNTA(W:W)*2,IF(MOD(ROW(AB642),2)=1,INDEX(W:W,(ROW(AB642)+1)/2),INDEX(Y:Y,ROW(AB642)/2)),"")</f>
        <v>122.5</v>
      </c>
    </row>
    <row r="643" spans="1:28" x14ac:dyDescent="0.25">
      <c r="A643" s="19"/>
      <c r="B643" s="20"/>
      <c r="C643" s="21"/>
      <c r="D643" s="22"/>
      <c r="K643" s="34">
        <f t="array" ref="K643">IF(ROW(K643)&lt;=COUNTA(F:F)*2,IF(MOD(ROW(K643),2)=1,INDEX(F:F,(ROW(K643)+1)/2),INDEX(H:H,ROW(K643)/2)),"")</f>
        <v>0</v>
      </c>
      <c r="L643" s="34">
        <f t="array" ref="L643">IF(ROW(L643)&lt;=COUNTA(G:G)*2,IF(MOD(ROW(L643),2)=1,INDEX(G:G,(ROW(L643)+1)/2),INDEX(I:I,ROW(L643)/2)),"")</f>
        <v>102.5</v>
      </c>
      <c r="AA643" s="22">
        <f t="array" ref="AA643">IF(ROW(AA643)&lt;=COUNTA(V:V)*2,IF(MOD(ROW(AA643),2)=1,INDEX(V:V,(ROW(AA643)+1)/2),INDEX(X:X,ROW(AA643)/2)),"")</f>
        <v>0</v>
      </c>
      <c r="AB643" s="22">
        <f t="array" ref="AB643">IF(ROW(AB643)&lt;=COUNTA(W:W)*2,IF(MOD(ROW(AB643),2)=1,INDEX(W:W,(ROW(AB643)+1)/2),INDEX(Y:Y,ROW(AB643)/2)),"")</f>
        <v>122.5</v>
      </c>
    </row>
    <row r="644" spans="1:28" x14ac:dyDescent="0.25">
      <c r="A644" s="19"/>
      <c r="B644" s="20"/>
      <c r="C644" s="21"/>
      <c r="D644" s="22"/>
      <c r="K644" s="34">
        <f t="array" ref="K644">IF(ROW(K644)&lt;=COUNTA(F:F)*2,IF(MOD(ROW(K644),2)=1,INDEX(F:F,(ROW(K644)+1)/2),INDEX(H:H,ROW(K644)/2)),"")</f>
        <v>0</v>
      </c>
      <c r="L644" s="34">
        <f t="array" ref="L644">IF(ROW(L644)&lt;=COUNTA(G:G)*2,IF(MOD(ROW(L644),2)=1,INDEX(G:G,(ROW(L644)+1)/2),INDEX(I:I,ROW(L644)/2)),"")</f>
        <v>102.5</v>
      </c>
      <c r="AA644" s="22">
        <f t="array" ref="AA644">IF(ROW(AA644)&lt;=COUNTA(V:V)*2,IF(MOD(ROW(AA644),2)=1,INDEX(V:V,(ROW(AA644)+1)/2),INDEX(X:X,ROW(AA644)/2)),"")</f>
        <v>0</v>
      </c>
      <c r="AB644" s="22">
        <f t="array" ref="AB644">IF(ROW(AB644)&lt;=COUNTA(W:W)*2,IF(MOD(ROW(AB644),2)=1,INDEX(W:W,(ROW(AB644)+1)/2),INDEX(Y:Y,ROW(AB644)/2)),"")</f>
        <v>122.5</v>
      </c>
    </row>
    <row r="645" spans="1:28" x14ac:dyDescent="0.25">
      <c r="A645" s="19"/>
      <c r="B645" s="20"/>
      <c r="C645" s="21"/>
      <c r="D645" s="22"/>
      <c r="K645" s="34">
        <f t="array" ref="K645">IF(ROW(K645)&lt;=COUNTA(F:F)*2,IF(MOD(ROW(K645),2)=1,INDEX(F:F,(ROW(K645)+1)/2),INDEX(H:H,ROW(K645)/2)),"")</f>
        <v>0</v>
      </c>
      <c r="L645" s="34">
        <f t="array" ref="L645">IF(ROW(L645)&lt;=COUNTA(G:G)*2,IF(MOD(ROW(L645),2)=1,INDEX(G:G,(ROW(L645)+1)/2),INDEX(I:I,ROW(L645)/2)),"")</f>
        <v>102.5</v>
      </c>
      <c r="AA645" s="22">
        <f t="array" ref="AA645">IF(ROW(AA645)&lt;=COUNTA(V:V)*2,IF(MOD(ROW(AA645),2)=1,INDEX(V:V,(ROW(AA645)+1)/2),INDEX(X:X,ROW(AA645)/2)),"")</f>
        <v>0</v>
      </c>
      <c r="AB645" s="22">
        <f t="array" ref="AB645">IF(ROW(AB645)&lt;=COUNTA(W:W)*2,IF(MOD(ROW(AB645),2)=1,INDEX(W:W,(ROW(AB645)+1)/2),INDEX(Y:Y,ROW(AB645)/2)),"")</f>
        <v>122.5</v>
      </c>
    </row>
    <row r="646" spans="1:28" x14ac:dyDescent="0.25">
      <c r="A646" s="19"/>
      <c r="B646" s="20"/>
      <c r="C646" s="21"/>
      <c r="D646" s="22"/>
      <c r="K646" s="34">
        <f t="array" ref="K646">IF(ROW(K646)&lt;=COUNTA(F:F)*2,IF(MOD(ROW(K646),2)=1,INDEX(F:F,(ROW(K646)+1)/2),INDEX(H:H,ROW(K646)/2)),"")</f>
        <v>0</v>
      </c>
      <c r="L646" s="34">
        <f t="array" ref="L646">IF(ROW(L646)&lt;=COUNTA(G:G)*2,IF(MOD(ROW(L646),2)=1,INDEX(G:G,(ROW(L646)+1)/2),INDEX(I:I,ROW(L646)/2)),"")</f>
        <v>102.5</v>
      </c>
      <c r="AA646" s="22">
        <f t="array" ref="AA646">IF(ROW(AA646)&lt;=COUNTA(V:V)*2,IF(MOD(ROW(AA646),2)=1,INDEX(V:V,(ROW(AA646)+1)/2),INDEX(X:X,ROW(AA646)/2)),"")</f>
        <v>0</v>
      </c>
      <c r="AB646" s="22">
        <f t="array" ref="AB646">IF(ROW(AB646)&lt;=COUNTA(W:W)*2,IF(MOD(ROW(AB646),2)=1,INDEX(W:W,(ROW(AB646)+1)/2),INDEX(Y:Y,ROW(AB646)/2)),"")</f>
        <v>122.5</v>
      </c>
    </row>
    <row r="647" spans="1:28" x14ac:dyDescent="0.25">
      <c r="A647" s="19"/>
      <c r="B647" s="20"/>
      <c r="C647" s="21"/>
      <c r="D647" s="22"/>
      <c r="K647" s="34">
        <f t="array" ref="K647">IF(ROW(K647)&lt;=COUNTA(F:F)*2,IF(MOD(ROW(K647),2)=1,INDEX(F:F,(ROW(K647)+1)/2),INDEX(H:H,ROW(K647)/2)),"")</f>
        <v>0</v>
      </c>
      <c r="L647" s="34">
        <f t="array" ref="L647">IF(ROW(L647)&lt;=COUNTA(G:G)*2,IF(MOD(ROW(L647),2)=1,INDEX(G:G,(ROW(L647)+1)/2),INDEX(I:I,ROW(L647)/2)),"")</f>
        <v>102.5</v>
      </c>
      <c r="AA647" s="22">
        <f t="array" ref="AA647">IF(ROW(AA647)&lt;=COUNTA(V:V)*2,IF(MOD(ROW(AA647),2)=1,INDEX(V:V,(ROW(AA647)+1)/2),INDEX(X:X,ROW(AA647)/2)),"")</f>
        <v>0</v>
      </c>
      <c r="AB647" s="22">
        <f t="array" ref="AB647">IF(ROW(AB647)&lt;=COUNTA(W:W)*2,IF(MOD(ROW(AB647),2)=1,INDEX(W:W,(ROW(AB647)+1)/2),INDEX(Y:Y,ROW(AB647)/2)),"")</f>
        <v>122.5</v>
      </c>
    </row>
    <row r="648" spans="1:28" x14ac:dyDescent="0.25">
      <c r="A648" s="19"/>
      <c r="B648" s="20"/>
      <c r="C648" s="21"/>
      <c r="D648" s="22"/>
      <c r="K648" s="34">
        <f t="array" ref="K648">IF(ROW(K648)&lt;=COUNTA(F:F)*2,IF(MOD(ROW(K648),2)=1,INDEX(F:F,(ROW(K648)+1)/2),INDEX(H:H,ROW(K648)/2)),"")</f>
        <v>0</v>
      </c>
      <c r="L648" s="34">
        <f t="array" ref="L648">IF(ROW(L648)&lt;=COUNTA(G:G)*2,IF(MOD(ROW(L648),2)=1,INDEX(G:G,(ROW(L648)+1)/2),INDEX(I:I,ROW(L648)/2)),"")</f>
        <v>102.5</v>
      </c>
      <c r="AA648" s="22">
        <f t="array" ref="AA648">IF(ROW(AA648)&lt;=COUNTA(V:V)*2,IF(MOD(ROW(AA648),2)=1,INDEX(V:V,(ROW(AA648)+1)/2),INDEX(X:X,ROW(AA648)/2)),"")</f>
        <v>0</v>
      </c>
      <c r="AB648" s="22">
        <f t="array" ref="AB648">IF(ROW(AB648)&lt;=COUNTA(W:W)*2,IF(MOD(ROW(AB648),2)=1,INDEX(W:W,(ROW(AB648)+1)/2),INDEX(Y:Y,ROW(AB648)/2)),"")</f>
        <v>122.5</v>
      </c>
    </row>
    <row r="649" spans="1:28" x14ac:dyDescent="0.25">
      <c r="A649" s="19"/>
      <c r="B649" s="20"/>
      <c r="C649" s="21"/>
      <c r="D649" s="22"/>
      <c r="K649" s="34">
        <f t="array" ref="K649">IF(ROW(K649)&lt;=COUNTA(F:F)*2,IF(MOD(ROW(K649),2)=1,INDEX(F:F,(ROW(K649)+1)/2),INDEX(H:H,ROW(K649)/2)),"")</f>
        <v>0</v>
      </c>
      <c r="L649" s="34">
        <f t="array" ref="L649">IF(ROW(L649)&lt;=COUNTA(G:G)*2,IF(MOD(ROW(L649),2)=1,INDEX(G:G,(ROW(L649)+1)/2),INDEX(I:I,ROW(L649)/2)),"")</f>
        <v>102.5</v>
      </c>
      <c r="AA649" s="22">
        <f t="array" ref="AA649">IF(ROW(AA649)&lt;=COUNTA(V:V)*2,IF(MOD(ROW(AA649),2)=1,INDEX(V:V,(ROW(AA649)+1)/2),INDEX(X:X,ROW(AA649)/2)),"")</f>
        <v>0</v>
      </c>
      <c r="AB649" s="22">
        <f t="array" ref="AB649">IF(ROW(AB649)&lt;=COUNTA(W:W)*2,IF(MOD(ROW(AB649),2)=1,INDEX(W:W,(ROW(AB649)+1)/2),INDEX(Y:Y,ROW(AB649)/2)),"")</f>
        <v>122.5</v>
      </c>
    </row>
    <row r="650" spans="1:28" x14ac:dyDescent="0.25">
      <c r="A650" s="19"/>
      <c r="B650" s="20"/>
      <c r="C650" s="21"/>
      <c r="D650" s="22"/>
      <c r="K650" s="34">
        <f t="array" ref="K650">IF(ROW(K650)&lt;=COUNTA(F:F)*2,IF(MOD(ROW(K650),2)=1,INDEX(F:F,(ROW(K650)+1)/2),INDEX(H:H,ROW(K650)/2)),"")</f>
        <v>0</v>
      </c>
      <c r="L650" s="34">
        <f t="array" ref="L650">IF(ROW(L650)&lt;=COUNTA(G:G)*2,IF(MOD(ROW(L650),2)=1,INDEX(G:G,(ROW(L650)+1)/2),INDEX(I:I,ROW(L650)/2)),"")</f>
        <v>102.5</v>
      </c>
      <c r="AA650" s="22">
        <f t="array" ref="AA650">IF(ROW(AA650)&lt;=COUNTA(V:V)*2,IF(MOD(ROW(AA650),2)=1,INDEX(V:V,(ROW(AA650)+1)/2),INDEX(X:X,ROW(AA650)/2)),"")</f>
        <v>0</v>
      </c>
      <c r="AB650" s="22">
        <f t="array" ref="AB650">IF(ROW(AB650)&lt;=COUNTA(W:W)*2,IF(MOD(ROW(AB650),2)=1,INDEX(W:W,(ROW(AB650)+1)/2),INDEX(Y:Y,ROW(AB650)/2)),"")</f>
        <v>122.5</v>
      </c>
    </row>
    <row r="651" spans="1:28" x14ac:dyDescent="0.25">
      <c r="A651" s="19"/>
      <c r="B651" s="20"/>
      <c r="C651" s="21"/>
      <c r="D651" s="22"/>
      <c r="K651" s="34">
        <f t="array" ref="K651">IF(ROW(K651)&lt;=COUNTA(F:F)*2,IF(MOD(ROW(K651),2)=1,INDEX(F:F,(ROW(K651)+1)/2),INDEX(H:H,ROW(K651)/2)),"")</f>
        <v>0</v>
      </c>
      <c r="L651" s="34">
        <f t="array" ref="L651">IF(ROW(L651)&lt;=COUNTA(G:G)*2,IF(MOD(ROW(L651),2)=1,INDEX(G:G,(ROW(L651)+1)/2),INDEX(I:I,ROW(L651)/2)),"")</f>
        <v>102.5</v>
      </c>
      <c r="AA651" s="22">
        <f t="array" ref="AA651">IF(ROW(AA651)&lt;=COUNTA(V:V)*2,IF(MOD(ROW(AA651),2)=1,INDEX(V:V,(ROW(AA651)+1)/2),INDEX(X:X,ROW(AA651)/2)),"")</f>
        <v>0</v>
      </c>
      <c r="AB651" s="22">
        <f t="array" ref="AB651">IF(ROW(AB651)&lt;=COUNTA(W:W)*2,IF(MOD(ROW(AB651),2)=1,INDEX(W:W,(ROW(AB651)+1)/2),INDEX(Y:Y,ROW(AB651)/2)),"")</f>
        <v>122.5</v>
      </c>
    </row>
    <row r="652" spans="1:28" x14ac:dyDescent="0.25">
      <c r="A652" s="19"/>
      <c r="B652" s="20"/>
      <c r="C652" s="21"/>
      <c r="D652" s="22"/>
      <c r="K652" s="34">
        <f t="array" ref="K652">IF(ROW(K652)&lt;=COUNTA(F:F)*2,IF(MOD(ROW(K652),2)=1,INDEX(F:F,(ROW(K652)+1)/2),INDEX(H:H,ROW(K652)/2)),"")</f>
        <v>0</v>
      </c>
      <c r="L652" s="34">
        <f t="array" ref="L652">IF(ROW(L652)&lt;=COUNTA(G:G)*2,IF(MOD(ROW(L652),2)=1,INDEX(G:G,(ROW(L652)+1)/2),INDEX(I:I,ROW(L652)/2)),"")</f>
        <v>102.5</v>
      </c>
      <c r="AA652" s="22">
        <f t="array" ref="AA652">IF(ROW(AA652)&lt;=COUNTA(V:V)*2,IF(MOD(ROW(AA652),2)=1,INDEX(V:V,(ROW(AA652)+1)/2),INDEX(X:X,ROW(AA652)/2)),"")</f>
        <v>0</v>
      </c>
      <c r="AB652" s="22">
        <f t="array" ref="AB652">IF(ROW(AB652)&lt;=COUNTA(W:W)*2,IF(MOD(ROW(AB652),2)=1,INDEX(W:W,(ROW(AB652)+1)/2),INDEX(Y:Y,ROW(AB652)/2)),"")</f>
        <v>122.5</v>
      </c>
    </row>
    <row r="653" spans="1:28" x14ac:dyDescent="0.25">
      <c r="A653" s="19"/>
      <c r="B653" s="20"/>
      <c r="C653" s="21"/>
      <c r="D653" s="22"/>
      <c r="K653" s="34">
        <f t="array" ref="K653">IF(ROW(K653)&lt;=COUNTA(F:F)*2,IF(MOD(ROW(K653),2)=1,INDEX(F:F,(ROW(K653)+1)/2),INDEX(H:H,ROW(K653)/2)),"")</f>
        <v>0</v>
      </c>
      <c r="L653" s="34">
        <f t="array" ref="L653">IF(ROW(L653)&lt;=COUNTA(G:G)*2,IF(MOD(ROW(L653),2)=1,INDEX(G:G,(ROW(L653)+1)/2),INDEX(I:I,ROW(L653)/2)),"")</f>
        <v>102.5</v>
      </c>
      <c r="AA653" s="22">
        <f t="array" ref="AA653">IF(ROW(AA653)&lt;=COUNTA(V:V)*2,IF(MOD(ROW(AA653),2)=1,INDEX(V:V,(ROW(AA653)+1)/2),INDEX(X:X,ROW(AA653)/2)),"")</f>
        <v>0</v>
      </c>
      <c r="AB653" s="22">
        <f t="array" ref="AB653">IF(ROW(AB653)&lt;=COUNTA(W:W)*2,IF(MOD(ROW(AB653),2)=1,INDEX(W:W,(ROW(AB653)+1)/2),INDEX(Y:Y,ROW(AB653)/2)),"")</f>
        <v>122.5</v>
      </c>
    </row>
    <row r="654" spans="1:28" x14ac:dyDescent="0.25">
      <c r="A654" s="19"/>
      <c r="B654" s="20"/>
      <c r="C654" s="21"/>
      <c r="D654" s="22"/>
      <c r="K654" s="34">
        <f t="array" ref="K654">IF(ROW(K654)&lt;=COUNTA(F:F)*2,IF(MOD(ROW(K654),2)=1,INDEX(F:F,(ROW(K654)+1)/2),INDEX(H:H,ROW(K654)/2)),"")</f>
        <v>0</v>
      </c>
      <c r="L654" s="34">
        <f t="array" ref="L654">IF(ROW(L654)&lt;=COUNTA(G:G)*2,IF(MOD(ROW(L654),2)=1,INDEX(G:G,(ROW(L654)+1)/2),INDEX(I:I,ROW(L654)/2)),"")</f>
        <v>102.5</v>
      </c>
      <c r="AA654" s="22">
        <f t="array" ref="AA654">IF(ROW(AA654)&lt;=COUNTA(V:V)*2,IF(MOD(ROW(AA654),2)=1,INDEX(V:V,(ROW(AA654)+1)/2),INDEX(X:X,ROW(AA654)/2)),"")</f>
        <v>0</v>
      </c>
      <c r="AB654" s="22">
        <f t="array" ref="AB654">IF(ROW(AB654)&lt;=COUNTA(W:W)*2,IF(MOD(ROW(AB654),2)=1,INDEX(W:W,(ROW(AB654)+1)/2),INDEX(Y:Y,ROW(AB654)/2)),"")</f>
        <v>122.5</v>
      </c>
    </row>
    <row r="655" spans="1:28" x14ac:dyDescent="0.25">
      <c r="A655" s="19"/>
      <c r="B655" s="20"/>
      <c r="C655" s="21"/>
      <c r="D655" s="22"/>
      <c r="K655" s="34">
        <f t="array" ref="K655">IF(ROW(K655)&lt;=COUNTA(F:F)*2,IF(MOD(ROW(K655),2)=1,INDEX(F:F,(ROW(K655)+1)/2),INDEX(H:H,ROW(K655)/2)),"")</f>
        <v>0</v>
      </c>
      <c r="L655" s="34">
        <f t="array" ref="L655">IF(ROW(L655)&lt;=COUNTA(G:G)*2,IF(MOD(ROW(L655),2)=1,INDEX(G:G,(ROW(L655)+1)/2),INDEX(I:I,ROW(L655)/2)),"")</f>
        <v>102.5</v>
      </c>
      <c r="AA655" s="22">
        <f t="array" ref="AA655">IF(ROW(AA655)&lt;=COUNTA(V:V)*2,IF(MOD(ROW(AA655),2)=1,INDEX(V:V,(ROW(AA655)+1)/2),INDEX(X:X,ROW(AA655)/2)),"")</f>
        <v>0</v>
      </c>
      <c r="AB655" s="22">
        <f t="array" ref="AB655">IF(ROW(AB655)&lt;=COUNTA(W:W)*2,IF(MOD(ROW(AB655),2)=1,INDEX(W:W,(ROW(AB655)+1)/2),INDEX(Y:Y,ROW(AB655)/2)),"")</f>
        <v>122.5</v>
      </c>
    </row>
    <row r="656" spans="1:28" x14ac:dyDescent="0.25">
      <c r="A656" s="19"/>
      <c r="B656" s="20"/>
      <c r="C656" s="21"/>
      <c r="D656" s="22"/>
      <c r="K656" s="34">
        <f t="array" ref="K656">IF(ROW(K656)&lt;=COUNTA(F:F)*2,IF(MOD(ROW(K656),2)=1,INDEX(F:F,(ROW(K656)+1)/2),INDEX(H:H,ROW(K656)/2)),"")</f>
        <v>0</v>
      </c>
      <c r="L656" s="34">
        <f t="array" ref="L656">IF(ROW(L656)&lt;=COUNTA(G:G)*2,IF(MOD(ROW(L656),2)=1,INDEX(G:G,(ROW(L656)+1)/2),INDEX(I:I,ROW(L656)/2)),"")</f>
        <v>102.5</v>
      </c>
      <c r="AA656" s="22">
        <f t="array" ref="AA656">IF(ROW(AA656)&lt;=COUNTA(V:V)*2,IF(MOD(ROW(AA656),2)=1,INDEX(V:V,(ROW(AA656)+1)/2),INDEX(X:X,ROW(AA656)/2)),"")</f>
        <v>0</v>
      </c>
      <c r="AB656" s="22">
        <f t="array" ref="AB656">IF(ROW(AB656)&lt;=COUNTA(W:W)*2,IF(MOD(ROW(AB656),2)=1,INDEX(W:W,(ROW(AB656)+1)/2),INDEX(Y:Y,ROW(AB656)/2)),"")</f>
        <v>122.5</v>
      </c>
    </row>
    <row r="657" spans="1:28" x14ac:dyDescent="0.25">
      <c r="A657" s="19"/>
      <c r="B657" s="20"/>
      <c r="C657" s="21"/>
      <c r="D657" s="22"/>
      <c r="K657" s="34">
        <f t="array" ref="K657">IF(ROW(K657)&lt;=COUNTA(F:F)*2,IF(MOD(ROW(K657),2)=1,INDEX(F:F,(ROW(K657)+1)/2),INDEX(H:H,ROW(K657)/2)),"")</f>
        <v>0</v>
      </c>
      <c r="L657" s="34">
        <f t="array" ref="L657">IF(ROW(L657)&lt;=COUNTA(G:G)*2,IF(MOD(ROW(L657),2)=1,INDEX(G:G,(ROW(L657)+1)/2),INDEX(I:I,ROW(L657)/2)),"")</f>
        <v>102.5</v>
      </c>
      <c r="AA657" s="22">
        <f t="array" ref="AA657">IF(ROW(AA657)&lt;=COUNTA(V:V)*2,IF(MOD(ROW(AA657),2)=1,INDEX(V:V,(ROW(AA657)+1)/2),INDEX(X:X,ROW(AA657)/2)),"")</f>
        <v>0</v>
      </c>
      <c r="AB657" s="22">
        <f t="array" ref="AB657">IF(ROW(AB657)&lt;=COUNTA(W:W)*2,IF(MOD(ROW(AB657),2)=1,INDEX(W:W,(ROW(AB657)+1)/2),INDEX(Y:Y,ROW(AB657)/2)),"")</f>
        <v>122.5</v>
      </c>
    </row>
    <row r="658" spans="1:28" x14ac:dyDescent="0.25">
      <c r="A658" s="19"/>
      <c r="B658" s="20"/>
      <c r="C658" s="21"/>
      <c r="D658" s="22"/>
      <c r="K658" s="34">
        <f t="array" ref="K658">IF(ROW(K658)&lt;=COUNTA(F:F)*2,IF(MOD(ROW(K658),2)=1,INDEX(F:F,(ROW(K658)+1)/2),INDEX(H:H,ROW(K658)/2)),"")</f>
        <v>0</v>
      </c>
      <c r="L658" s="34">
        <f t="array" ref="L658">IF(ROW(L658)&lt;=COUNTA(G:G)*2,IF(MOD(ROW(L658),2)=1,INDEX(G:G,(ROW(L658)+1)/2),INDEX(I:I,ROW(L658)/2)),"")</f>
        <v>102.5</v>
      </c>
      <c r="AA658" s="22">
        <f t="array" ref="AA658">IF(ROW(AA658)&lt;=COUNTA(V:V)*2,IF(MOD(ROW(AA658),2)=1,INDEX(V:V,(ROW(AA658)+1)/2),INDEX(X:X,ROW(AA658)/2)),"")</f>
        <v>0</v>
      </c>
      <c r="AB658" s="22">
        <f t="array" ref="AB658">IF(ROW(AB658)&lt;=COUNTA(W:W)*2,IF(MOD(ROW(AB658),2)=1,INDEX(W:W,(ROW(AB658)+1)/2),INDEX(Y:Y,ROW(AB658)/2)),"")</f>
        <v>122.5</v>
      </c>
    </row>
    <row r="659" spans="1:28" x14ac:dyDescent="0.25">
      <c r="A659" s="19"/>
      <c r="B659" s="20"/>
      <c r="C659" s="21"/>
      <c r="D659" s="22"/>
      <c r="K659" s="34">
        <f t="array" ref="K659">IF(ROW(K659)&lt;=COUNTA(F:F)*2,IF(MOD(ROW(K659),2)=1,INDEX(F:F,(ROW(K659)+1)/2),INDEX(H:H,ROW(K659)/2)),"")</f>
        <v>0</v>
      </c>
      <c r="L659" s="34">
        <f t="array" ref="L659">IF(ROW(L659)&lt;=COUNTA(G:G)*2,IF(MOD(ROW(L659),2)=1,INDEX(G:G,(ROW(L659)+1)/2),INDEX(I:I,ROW(L659)/2)),"")</f>
        <v>102.5</v>
      </c>
      <c r="AA659" s="22">
        <f t="array" ref="AA659">IF(ROW(AA659)&lt;=COUNTA(V:V)*2,IF(MOD(ROW(AA659),2)=1,INDEX(V:V,(ROW(AA659)+1)/2),INDEX(X:X,ROW(AA659)/2)),"")</f>
        <v>0</v>
      </c>
      <c r="AB659" s="22">
        <f t="array" ref="AB659">IF(ROW(AB659)&lt;=COUNTA(W:W)*2,IF(MOD(ROW(AB659),2)=1,INDEX(W:W,(ROW(AB659)+1)/2),INDEX(Y:Y,ROW(AB659)/2)),"")</f>
        <v>122.5</v>
      </c>
    </row>
    <row r="660" spans="1:28" x14ac:dyDescent="0.25">
      <c r="A660" s="19"/>
      <c r="B660" s="20"/>
      <c r="C660" s="21"/>
      <c r="D660" s="22"/>
      <c r="K660" s="34">
        <f t="array" ref="K660">IF(ROW(K660)&lt;=COUNTA(F:F)*2,IF(MOD(ROW(K660),2)=1,INDEX(F:F,(ROW(K660)+1)/2),INDEX(H:H,ROW(K660)/2)),"")</f>
        <v>0</v>
      </c>
      <c r="L660" s="34">
        <f t="array" ref="L660">IF(ROW(L660)&lt;=COUNTA(G:G)*2,IF(MOD(ROW(L660),2)=1,INDEX(G:G,(ROW(L660)+1)/2),INDEX(I:I,ROW(L660)/2)),"")</f>
        <v>102.5</v>
      </c>
      <c r="AA660" s="22">
        <f t="array" ref="AA660">IF(ROW(AA660)&lt;=COUNTA(V:V)*2,IF(MOD(ROW(AA660),2)=1,INDEX(V:V,(ROW(AA660)+1)/2),INDEX(X:X,ROW(AA660)/2)),"")</f>
        <v>0</v>
      </c>
      <c r="AB660" s="22">
        <f t="array" ref="AB660">IF(ROW(AB660)&lt;=COUNTA(W:W)*2,IF(MOD(ROW(AB660),2)=1,INDEX(W:W,(ROW(AB660)+1)/2),INDEX(Y:Y,ROW(AB660)/2)),"")</f>
        <v>122.5</v>
      </c>
    </row>
    <row r="661" spans="1:28" x14ac:dyDescent="0.25">
      <c r="A661" s="19"/>
      <c r="B661" s="20"/>
      <c r="C661" s="21"/>
      <c r="D661" s="22"/>
      <c r="K661" s="34">
        <f t="array" ref="K661">IF(ROW(K661)&lt;=COUNTA(F:F)*2,IF(MOD(ROW(K661),2)=1,INDEX(F:F,(ROW(K661)+1)/2),INDEX(H:H,ROW(K661)/2)),"")</f>
        <v>0</v>
      </c>
      <c r="L661" s="34">
        <f t="array" ref="L661">IF(ROW(L661)&lt;=COUNTA(G:G)*2,IF(MOD(ROW(L661),2)=1,INDEX(G:G,(ROW(L661)+1)/2),INDEX(I:I,ROW(L661)/2)),"")</f>
        <v>102.5</v>
      </c>
      <c r="AA661" s="22">
        <f t="array" ref="AA661">IF(ROW(AA661)&lt;=COUNTA(V:V)*2,IF(MOD(ROW(AA661),2)=1,INDEX(V:V,(ROW(AA661)+1)/2),INDEX(X:X,ROW(AA661)/2)),"")</f>
        <v>0</v>
      </c>
      <c r="AB661" s="22">
        <f t="array" ref="AB661">IF(ROW(AB661)&lt;=COUNTA(W:W)*2,IF(MOD(ROW(AB661),2)=1,INDEX(W:W,(ROW(AB661)+1)/2),INDEX(Y:Y,ROW(AB661)/2)),"")</f>
        <v>122.5</v>
      </c>
    </row>
    <row r="662" spans="1:28" x14ac:dyDescent="0.25">
      <c r="A662" s="19"/>
      <c r="B662" s="20"/>
      <c r="C662" s="21"/>
      <c r="D662" s="22"/>
      <c r="AA662" s="22">
        <f t="array" ref="AA662">IF(ROW(AA662)&lt;=COUNTA(V:V)*2,IF(MOD(ROW(AA662),2)=1,INDEX(V:V,(ROW(AA662)+1)/2),INDEX(X:X,ROW(AA662)/2)),"")</f>
        <v>0</v>
      </c>
      <c r="AB662" s="22">
        <f t="array" ref="AB662">IF(ROW(AB662)&lt;=COUNTA(W:W)*2,IF(MOD(ROW(AB662),2)=1,INDEX(W:W,(ROW(AB662)+1)/2),INDEX(Y:Y,ROW(AB662)/2)),"")</f>
        <v>122.5</v>
      </c>
    </row>
    <row r="663" spans="1:28" x14ac:dyDescent="0.25">
      <c r="A663" s="19"/>
      <c r="B663" s="20"/>
      <c r="C663" s="21"/>
      <c r="D663" s="22"/>
      <c r="AA663" s="22">
        <f t="array" ref="AA663">IF(ROW(AA663)&lt;=COUNTA(V:V)*2,IF(MOD(ROW(AA663),2)=1,INDEX(V:V,(ROW(AA663)+1)/2),INDEX(X:X,ROW(AA663)/2)),"")</f>
        <v>0</v>
      </c>
      <c r="AB663" s="22">
        <f t="array" ref="AB663">IF(ROW(AB663)&lt;=COUNTA(W:W)*2,IF(MOD(ROW(AB663),2)=1,INDEX(W:W,(ROW(AB663)+1)/2),INDEX(Y:Y,ROW(AB663)/2)),"")</f>
        <v>122.5</v>
      </c>
    </row>
  </sheetData>
  <mergeCells count="3">
    <mergeCell ref="F1:L1"/>
    <mergeCell ref="N1:T1"/>
    <mergeCell ref="V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前三</vt:lpstr>
      <vt:lpstr>采取率、RQD、冲洗液消耗量</vt:lpstr>
      <vt:lpstr>水位变幅投图</vt:lpstr>
      <vt:lpstr>其他投图</vt:lpstr>
      <vt:lpstr>Sheet1</vt:lpstr>
    </vt:vector>
  </TitlesOfParts>
  <Company>dzd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wbx</dc:creator>
  <cp:lastModifiedBy>zYo</cp:lastModifiedBy>
  <dcterms:created xsi:type="dcterms:W3CDTF">2003-06-05T06:50:00Z</dcterms:created>
  <dcterms:modified xsi:type="dcterms:W3CDTF">2026-10-10T09:26:52Z</dcterms:modified>
</cp:coreProperties>
</file>